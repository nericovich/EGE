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3\"/>
    </mc:Choice>
  </mc:AlternateContent>
  <xr:revisionPtr revIDLastSave="0" documentId="13_ncr:1_{038989DC-B218-4301-9F56-F6114A534006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Меню" sheetId="1" r:id="rId1"/>
    <sheet name="Официанты" sheetId="2" r:id="rId2"/>
    <sheet name="Заказы" sheetId="3" r:id="rId3"/>
    <sheet name="Состав заказов" sheetId="4" r:id="rId4"/>
    <sheet name="Лист1" sheetId="5" r:id="rId5"/>
  </sheets>
  <definedNames>
    <definedName name="_xlnm._FilterDatabase" localSheetId="3" hidden="1">'Состав заказов'!$A$1:$F$7627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7tPJv6q2dRLqDONDmN2JBoC7gKAuVof189E0JfrDqew="/>
    </ext>
  </extLst>
</workbook>
</file>

<file path=xl/calcChain.xml><?xml version="1.0" encoding="utf-8"?>
<calcChain xmlns="http://schemas.openxmlformats.org/spreadsheetml/2006/main">
  <c r="H1" i="5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2" i="4"/>
  <c r="E3" i="4"/>
  <c r="E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2" i="4"/>
</calcChain>
</file>

<file path=xl/sharedStrings.xml><?xml version="1.0" encoding="utf-8"?>
<sst xmlns="http://schemas.openxmlformats.org/spreadsheetml/2006/main" count="1848" uniqueCount="1593">
  <si>
    <t>ID</t>
  </si>
  <si>
    <t>Название блюда</t>
  </si>
  <si>
    <t>Цена</t>
  </si>
  <si>
    <t>Категория</t>
  </si>
  <si>
    <t>Масса блюда</t>
  </si>
  <si>
    <t>Сырники</t>
  </si>
  <si>
    <t>Завтрак</t>
  </si>
  <si>
    <t>Овсянка</t>
  </si>
  <si>
    <t>Яичница</t>
  </si>
  <si>
    <t>Тост с авокадо</t>
  </si>
  <si>
    <t>Крок-мадам</t>
  </si>
  <si>
    <t>Блины с икрой</t>
  </si>
  <si>
    <t>Гречневая каша</t>
  </si>
  <si>
    <t>Йогурт с мюсли</t>
  </si>
  <si>
    <t>Сэндвич с ветчиной и сыром</t>
  </si>
  <si>
    <t>Фруктовый салат</t>
  </si>
  <si>
    <t>Борщ</t>
  </si>
  <si>
    <t>Первое</t>
  </si>
  <si>
    <t>Щи</t>
  </si>
  <si>
    <t>Солянка</t>
  </si>
  <si>
    <t>Уха из трёх видов рыб</t>
  </si>
  <si>
    <t>Томатный суп с базиликом</t>
  </si>
  <si>
    <t>Крем-суп из шампиньонов</t>
  </si>
  <si>
    <t>Чечевичный суп</t>
  </si>
  <si>
    <t>Минестроне</t>
  </si>
  <si>
    <t>Рассольник</t>
  </si>
  <si>
    <t>Гороховый суп</t>
  </si>
  <si>
    <t>Цезарь</t>
  </si>
  <si>
    <t>Салат</t>
  </si>
  <si>
    <t>Греческий</t>
  </si>
  <si>
    <t>Капрезе</t>
  </si>
  <si>
    <t>Нисуаз</t>
  </si>
  <si>
    <t>Оливье</t>
  </si>
  <si>
    <t>Винегрет</t>
  </si>
  <si>
    <t>Салат с курицей и ананасами</t>
  </si>
  <si>
    <t>Салат с креветками и авокадо</t>
  </si>
  <si>
    <t>Салат "Летний"</t>
  </si>
  <si>
    <t>Салат с копчёной грудинкой</t>
  </si>
  <si>
    <t>Медовик</t>
  </si>
  <si>
    <t>Десерт</t>
  </si>
  <si>
    <t>Наполеон</t>
  </si>
  <si>
    <t>Тирамису</t>
  </si>
  <si>
    <t>Чизкейк</t>
  </si>
  <si>
    <t>Штрудель с яблоками</t>
  </si>
  <si>
    <t>Фондан шоколадный</t>
  </si>
  <si>
    <t>Пирожное "Картошка"</t>
  </si>
  <si>
    <t>Фрукты в шоколаде</t>
  </si>
  <si>
    <t>Мороженое</t>
  </si>
  <si>
    <t>Эклеры</t>
  </si>
  <si>
    <t>Калифорния ролл</t>
  </si>
  <si>
    <t>Суши</t>
  </si>
  <si>
    <t>Филадельфия ролл</t>
  </si>
  <si>
    <t>Ролл с угрем</t>
  </si>
  <si>
    <t>Дракон ролл</t>
  </si>
  <si>
    <t>Ролл с тунцом</t>
  </si>
  <si>
    <t>Спайси салмон ролл</t>
  </si>
  <si>
    <t>Каппа маки</t>
  </si>
  <si>
    <t>Текка маки</t>
  </si>
  <si>
    <t>Авокадо ролл</t>
  </si>
  <si>
    <t>Ошинко ролл</t>
  </si>
  <si>
    <t>Унаги нигири</t>
  </si>
  <si>
    <t>Сяке нигири</t>
  </si>
  <si>
    <t>Тамаго нигири</t>
  </si>
  <si>
    <t>Икура гункан</t>
  </si>
  <si>
    <t>Тобико гункан</t>
  </si>
  <si>
    <t>Ролл с креветкой</t>
  </si>
  <si>
    <t>Ролл с омлетом</t>
  </si>
  <si>
    <t>Ролл с огурцом и сыром</t>
  </si>
  <si>
    <t>Сашими ассорти</t>
  </si>
  <si>
    <t>Ролл "Сакура"</t>
  </si>
  <si>
    <t>Фамилия и имя</t>
  </si>
  <si>
    <t>Блохина Октябрина</t>
  </si>
  <si>
    <t>Захаров Кир</t>
  </si>
  <si>
    <t>Ершова Акулина</t>
  </si>
  <si>
    <t>Федорова Нина</t>
  </si>
  <si>
    <t>Рябов Симон</t>
  </si>
  <si>
    <t>Бобылев Феоктист</t>
  </si>
  <si>
    <t>Белоусов Гордей</t>
  </si>
  <si>
    <t>Кузьмин Прокл</t>
  </si>
  <si>
    <t>Овчинникова Клавдия</t>
  </si>
  <si>
    <t>Тарасов Тарас</t>
  </si>
  <si>
    <t>Мельников Прокофий</t>
  </si>
  <si>
    <t>Петрова Фаина</t>
  </si>
  <si>
    <t>Терентьева Эмилия</t>
  </si>
  <si>
    <t>Яковлев Ладислав</t>
  </si>
  <si>
    <t>Кошелева Клавдия</t>
  </si>
  <si>
    <t>ID Официанта</t>
  </si>
  <si>
    <t>Дата и время заказа</t>
  </si>
  <si>
    <t>2023-03-12 19:32:00</t>
  </si>
  <si>
    <t>2023-03-12 20:05:00</t>
  </si>
  <si>
    <t>2023-03-13 15:23:00</t>
  </si>
  <si>
    <t>2023-03-13 16:14:00</t>
  </si>
  <si>
    <t>2023-03-13 16:27:00</t>
  </si>
  <si>
    <t>2023-03-13 16:40:00</t>
  </si>
  <si>
    <t>2023-03-13 18:55:00</t>
  </si>
  <si>
    <t>2023-03-13 20:05:00</t>
  </si>
  <si>
    <t>2023-03-13 22:53:00</t>
  </si>
  <si>
    <t>2023-03-14 15:49:00</t>
  </si>
  <si>
    <t>2023-03-14 15:56:00</t>
  </si>
  <si>
    <t>2023-03-14 17:50:00</t>
  </si>
  <si>
    <t>2023-03-14 21:37:00</t>
  </si>
  <si>
    <t>2023-03-15 16:13:00</t>
  </si>
  <si>
    <t>2023-03-15 20:54:00</t>
  </si>
  <si>
    <t>2023-03-15 21:46:00</t>
  </si>
  <si>
    <t>2023-03-17 15:17:00</t>
  </si>
  <si>
    <t>2023-03-17 20:47:00</t>
  </si>
  <si>
    <t>2023-03-17 21:08:00</t>
  </si>
  <si>
    <t>2023-03-17 22:11:00</t>
  </si>
  <si>
    <t>2023-03-18 19:52:00</t>
  </si>
  <si>
    <t>2023-03-18 22:09:00</t>
  </si>
  <si>
    <t>2023-03-18 22:34:00</t>
  </si>
  <si>
    <t>2023-03-18 22:57:00</t>
  </si>
  <si>
    <t>2023-03-19 17:49:00</t>
  </si>
  <si>
    <t>2023-03-19 18:47:00</t>
  </si>
  <si>
    <t>2023-03-20 15:08:00</t>
  </si>
  <si>
    <t>2023-03-20 16:21:00</t>
  </si>
  <si>
    <t>2023-03-20 18:33:00</t>
  </si>
  <si>
    <t>2023-03-20 22:05:00</t>
  </si>
  <si>
    <t>2023-03-20 22:55:00</t>
  </si>
  <si>
    <t>2023-03-21 15:38:00</t>
  </si>
  <si>
    <t>2023-03-21 17:03:00</t>
  </si>
  <si>
    <t>2023-03-21 18:30:00</t>
  </si>
  <si>
    <t>2023-03-21 19:30:00</t>
  </si>
  <si>
    <t>2023-03-22 19:09:00</t>
  </si>
  <si>
    <t>2023-03-22 21:29:00</t>
  </si>
  <si>
    <t>2023-03-23 15:45:00</t>
  </si>
  <si>
    <t>2023-03-23 16:44:00</t>
  </si>
  <si>
    <t>2023-03-23 18:02:00</t>
  </si>
  <si>
    <t>2023-03-23 18:48:00</t>
  </si>
  <si>
    <t>2023-03-23 19:07:00</t>
  </si>
  <si>
    <t>2023-03-23 19:12:00</t>
  </si>
  <si>
    <t>2023-03-23 20:06:00</t>
  </si>
  <si>
    <t>2023-03-23 20:27:00</t>
  </si>
  <si>
    <t>2023-03-23 21:20:00</t>
  </si>
  <si>
    <t>2023-03-23 22:09:00</t>
  </si>
  <si>
    <t>2023-03-24 17:58:00</t>
  </si>
  <si>
    <t>2023-03-24 18:23:00</t>
  </si>
  <si>
    <t>2023-03-24 18:28:00</t>
  </si>
  <si>
    <t>2023-03-24 20:54:00</t>
  </si>
  <si>
    <t>2023-03-24 20:55:00</t>
  </si>
  <si>
    <t>2023-03-25 18:09:00</t>
  </si>
  <si>
    <t>2023-03-25 18:44:00</t>
  </si>
  <si>
    <t>2023-03-25 18:49:00</t>
  </si>
  <si>
    <t>2023-03-25 19:38:00</t>
  </si>
  <si>
    <t>2023-03-25 20:51:00</t>
  </si>
  <si>
    <t>2023-03-25 21:35:00</t>
  </si>
  <si>
    <t>2023-03-25 21:37:00</t>
  </si>
  <si>
    <t>2023-03-26 16:41:00</t>
  </si>
  <si>
    <t>2023-03-26 18:54:00</t>
  </si>
  <si>
    <t>2023-03-26 20:14:00</t>
  </si>
  <si>
    <t>2023-03-26 22:51:00</t>
  </si>
  <si>
    <t>2023-03-27 15:26:00</t>
  </si>
  <si>
    <t>2023-03-27 18:15:00</t>
  </si>
  <si>
    <t>2023-03-27 19:40:00</t>
  </si>
  <si>
    <t>2023-03-28 16:19:00</t>
  </si>
  <si>
    <t>2023-03-28 20:28:00</t>
  </si>
  <si>
    <t>2023-03-28 21:02:00</t>
  </si>
  <si>
    <t>2023-03-28 21:30:00</t>
  </si>
  <si>
    <t>2023-03-28 22:01:00</t>
  </si>
  <si>
    <t>2023-03-28 22:22:00</t>
  </si>
  <si>
    <t>2023-03-28 22:56:00</t>
  </si>
  <si>
    <t>2023-03-29 17:54:00</t>
  </si>
  <si>
    <t>2023-03-29 18:35:00</t>
  </si>
  <si>
    <t>2023-03-29 19:01:00</t>
  </si>
  <si>
    <t>2023-03-29 19:19:00</t>
  </si>
  <si>
    <t>2023-03-29 21:14:00</t>
  </si>
  <si>
    <t>2023-03-30 15:29:00</t>
  </si>
  <si>
    <t>2023-03-30 15:48:00</t>
  </si>
  <si>
    <t>2023-03-30 17:28:00</t>
  </si>
  <si>
    <t>2023-03-30 17:39:00</t>
  </si>
  <si>
    <t>2023-03-30 18:57:00</t>
  </si>
  <si>
    <t>2023-03-30 19:51:00</t>
  </si>
  <si>
    <t>2023-03-30 22:09:00</t>
  </si>
  <si>
    <t>2023-03-31 19:42:00</t>
  </si>
  <si>
    <t>2023-03-31 20:56:00</t>
  </si>
  <si>
    <t>2023-03-31 21:16:00</t>
  </si>
  <si>
    <t>2023-03-31 21:25:00</t>
  </si>
  <si>
    <t>2023-04-01 15:14:00</t>
  </si>
  <si>
    <t>2023-04-01 15:27:00</t>
  </si>
  <si>
    <t>2023-04-01 15:43:00</t>
  </si>
  <si>
    <t>2023-04-01 19:27:00</t>
  </si>
  <si>
    <t>2023-04-01 19:40:00</t>
  </si>
  <si>
    <t>2023-04-01 20:14:00</t>
  </si>
  <si>
    <t>2023-04-01 21:15:00</t>
  </si>
  <si>
    <t>2023-04-02 15:02:00</t>
  </si>
  <si>
    <t>2023-04-02 16:02:00</t>
  </si>
  <si>
    <t>2023-04-02 17:05:00</t>
  </si>
  <si>
    <t>2023-04-03 16:51:00</t>
  </si>
  <si>
    <t>2023-04-03 17:48:00</t>
  </si>
  <si>
    <t>2023-04-03 19:19:00</t>
  </si>
  <si>
    <t>2023-04-03 20:29:00</t>
  </si>
  <si>
    <t>2023-04-03 21:10:00</t>
  </si>
  <si>
    <t>2023-04-04 17:22:00</t>
  </si>
  <si>
    <t>2023-04-04 17:34:00</t>
  </si>
  <si>
    <t>2023-04-04 20:06:00</t>
  </si>
  <si>
    <t>2023-04-04 21:23:00</t>
  </si>
  <si>
    <t>2023-04-05 15:35:00</t>
  </si>
  <si>
    <t>2023-04-05 16:01:00</t>
  </si>
  <si>
    <t>2023-04-05 17:05:00</t>
  </si>
  <si>
    <t>2023-04-05 19:57:00</t>
  </si>
  <si>
    <t>2023-04-06 15:08:00</t>
  </si>
  <si>
    <t>2023-04-06 16:07:00</t>
  </si>
  <si>
    <t>2023-04-06 17:26:00</t>
  </si>
  <si>
    <t>2023-04-06 17:34:00</t>
  </si>
  <si>
    <t>2023-04-06 22:17:00</t>
  </si>
  <si>
    <t>2023-04-07 15:37:00</t>
  </si>
  <si>
    <t>2023-04-07 17:46:00</t>
  </si>
  <si>
    <t>2023-04-07 18:18:00</t>
  </si>
  <si>
    <t>2023-04-07 19:43:00</t>
  </si>
  <si>
    <t>2023-04-07 21:26:00</t>
  </si>
  <si>
    <t>2023-04-07 21:41:00</t>
  </si>
  <si>
    <t>2023-04-08 15:56:00</t>
  </si>
  <si>
    <t>2023-04-08 19:08:00</t>
  </si>
  <si>
    <t>2023-04-08 22:40:00</t>
  </si>
  <si>
    <t>2023-04-08 22:55:00</t>
  </si>
  <si>
    <t>2023-04-09 18:03:00</t>
  </si>
  <si>
    <t>2023-04-09 19:11:00</t>
  </si>
  <si>
    <t>2023-04-09 22:23:00</t>
  </si>
  <si>
    <t>2023-04-09 22:35:00</t>
  </si>
  <si>
    <t>2023-04-10 15:18:00</t>
  </si>
  <si>
    <t>2023-04-10 18:25:00</t>
  </si>
  <si>
    <t>2023-04-10 20:31:00</t>
  </si>
  <si>
    <t>2023-04-10 22:05:00</t>
  </si>
  <si>
    <t>2023-04-11 16:58:00</t>
  </si>
  <si>
    <t>2023-04-11 17:32:00</t>
  </si>
  <si>
    <t>2023-04-11 17:41:00</t>
  </si>
  <si>
    <t>2023-04-11 18:28:00</t>
  </si>
  <si>
    <t>2023-04-11 20:20:00</t>
  </si>
  <si>
    <t>2023-04-11 20:38:00</t>
  </si>
  <si>
    <t>2023-04-11 21:25:00</t>
  </si>
  <si>
    <t>2023-04-11 21:56:00</t>
  </si>
  <si>
    <t>2023-04-12 19:09:00</t>
  </si>
  <si>
    <t>2023-04-12 20:25:00</t>
  </si>
  <si>
    <t>2023-04-12 21:55:00</t>
  </si>
  <si>
    <t>2023-04-12 22:31:00</t>
  </si>
  <si>
    <t>2023-04-13 18:13:00</t>
  </si>
  <si>
    <t>2023-04-13 20:08:00</t>
  </si>
  <si>
    <t>2023-04-14 15:23:00</t>
  </si>
  <si>
    <t>2023-04-14 16:04:00</t>
  </si>
  <si>
    <t>2023-04-14 18:36:00</t>
  </si>
  <si>
    <t>2023-04-14 22:55:00</t>
  </si>
  <si>
    <t>2023-04-15 16:03:00</t>
  </si>
  <si>
    <t>2023-04-15 16:15:00</t>
  </si>
  <si>
    <t>2023-04-15 20:35:00</t>
  </si>
  <si>
    <t>2023-04-15 21:27:00</t>
  </si>
  <si>
    <t>2023-04-15 22:33:00</t>
  </si>
  <si>
    <t>2023-04-16 15:06:00</t>
  </si>
  <si>
    <t>2023-04-16 16:30:00</t>
  </si>
  <si>
    <t>2023-04-16 17:39:00</t>
  </si>
  <si>
    <t>2023-04-16 18:30:00</t>
  </si>
  <si>
    <t>2023-04-17 17:07:00</t>
  </si>
  <si>
    <t>2023-04-17 18:13:00</t>
  </si>
  <si>
    <t>2023-04-17 19:50:00</t>
  </si>
  <si>
    <t>2023-04-17 21:15:00</t>
  </si>
  <si>
    <t>2023-04-18 16:25:00</t>
  </si>
  <si>
    <t>2023-04-18 19:26:00</t>
  </si>
  <si>
    <t>2023-04-18 20:00:00</t>
  </si>
  <si>
    <t>2023-04-18 20:22:00</t>
  </si>
  <si>
    <t>2023-04-18 20:29:00</t>
  </si>
  <si>
    <t>2023-04-18 22:53:00</t>
  </si>
  <si>
    <t>2023-04-19 15:52:00</t>
  </si>
  <si>
    <t>2023-04-19 16:45:00</t>
  </si>
  <si>
    <t>2023-04-19 21:27:00</t>
  </si>
  <si>
    <t>2023-04-19 22:29:00</t>
  </si>
  <si>
    <t>2023-04-20 20:14:00</t>
  </si>
  <si>
    <t>2023-04-20 22:29:00</t>
  </si>
  <si>
    <t>2023-04-21 15:23:00</t>
  </si>
  <si>
    <t>2023-04-21 15:42:00</t>
  </si>
  <si>
    <t>2023-04-21 20:50:00</t>
  </si>
  <si>
    <t>2023-04-21 22:41:00</t>
  </si>
  <si>
    <t>2023-04-21 22:51:00</t>
  </si>
  <si>
    <t>2023-04-22 16:26:00</t>
  </si>
  <si>
    <t>2023-04-22 17:39:00</t>
  </si>
  <si>
    <t>2023-04-22 20:50:00</t>
  </si>
  <si>
    <t>2023-04-22 21:32:00</t>
  </si>
  <si>
    <t>2023-04-23 16:26:00</t>
  </si>
  <si>
    <t>2023-04-23 18:15:00</t>
  </si>
  <si>
    <t>2023-04-23 19:03:00</t>
  </si>
  <si>
    <t>2023-04-23 20:53:00</t>
  </si>
  <si>
    <t>2023-04-23 21:04:00</t>
  </si>
  <si>
    <t>2023-04-24 15:08:00</t>
  </si>
  <si>
    <t>2023-04-24 18:29:00</t>
  </si>
  <si>
    <t>2023-04-24 20:48:00</t>
  </si>
  <si>
    <t>2023-04-24 21:19:00</t>
  </si>
  <si>
    <t>2023-04-24 22:14:00</t>
  </si>
  <si>
    <t>2023-04-24 22:25:00</t>
  </si>
  <si>
    <t>2023-04-25 15:23:00</t>
  </si>
  <si>
    <t>2023-04-25 15:54:00</t>
  </si>
  <si>
    <t>2023-04-25 17:56:00</t>
  </si>
  <si>
    <t>2023-04-25 21:58:00</t>
  </si>
  <si>
    <t>2023-04-26 15:59:00</t>
  </si>
  <si>
    <t>2023-04-26 16:26:00</t>
  </si>
  <si>
    <t>2023-04-26 18:01:00</t>
  </si>
  <si>
    <t>2023-04-26 21:08:00</t>
  </si>
  <si>
    <t>2023-04-27 17:56:00</t>
  </si>
  <si>
    <t>2023-04-27 18:54:00</t>
  </si>
  <si>
    <t>2023-04-27 22:16:00</t>
  </si>
  <si>
    <t>2023-04-28 15:38:00</t>
  </si>
  <si>
    <t>2023-04-28 15:59:00</t>
  </si>
  <si>
    <t>2023-04-28 16:37:00</t>
  </si>
  <si>
    <t>2023-04-28 20:17:00</t>
  </si>
  <si>
    <t>2023-04-29 15:54:00</t>
  </si>
  <si>
    <t>2023-04-29 19:56:00</t>
  </si>
  <si>
    <t>2023-04-29 20:41:00</t>
  </si>
  <si>
    <t>2023-04-29 22:28:00</t>
  </si>
  <si>
    <t>2023-04-30 15:35:00</t>
  </si>
  <si>
    <t>2023-04-30 16:45:00</t>
  </si>
  <si>
    <t>2023-05-01 17:52:00</t>
  </si>
  <si>
    <t>2023-05-02 16:04:00</t>
  </si>
  <si>
    <t>2023-05-02 18:44:00</t>
  </si>
  <si>
    <t>2023-05-02 19:30:00</t>
  </si>
  <si>
    <t>2023-05-03 17:17:00</t>
  </si>
  <si>
    <t>2023-05-03 20:27:00</t>
  </si>
  <si>
    <t>2023-05-03 21:30:00</t>
  </si>
  <si>
    <t>2023-05-03 21:57:00</t>
  </si>
  <si>
    <t>2023-05-04 15:13:00</t>
  </si>
  <si>
    <t>2023-05-04 15:16:00</t>
  </si>
  <si>
    <t>2023-05-04 18:42:00</t>
  </si>
  <si>
    <t>2023-05-05 16:26:00</t>
  </si>
  <si>
    <t>2023-05-05 17:07:00</t>
  </si>
  <si>
    <t>2023-05-05 19:18:00</t>
  </si>
  <si>
    <t>2023-05-05 21:02:00</t>
  </si>
  <si>
    <t>2023-05-06 19:59:00</t>
  </si>
  <si>
    <t>2023-05-06 21:41:00</t>
  </si>
  <si>
    <t>2023-05-07 17:19:00</t>
  </si>
  <si>
    <t>2023-05-07 18:36:00</t>
  </si>
  <si>
    <t>2023-05-07 21:55:00</t>
  </si>
  <si>
    <t>2023-05-07 22:16:00</t>
  </si>
  <si>
    <t>2023-05-08 16:29:00</t>
  </si>
  <si>
    <t>2023-05-08 17:25:00</t>
  </si>
  <si>
    <t>2023-05-08 17:27:00</t>
  </si>
  <si>
    <t>2023-05-08 17:53:00</t>
  </si>
  <si>
    <t>2023-05-08 19:00:00</t>
  </si>
  <si>
    <t>2023-05-08 19:19:00</t>
  </si>
  <si>
    <t>2023-05-09 15:21:00</t>
  </si>
  <si>
    <t>2023-05-09 16:03:00</t>
  </si>
  <si>
    <t>2023-05-09 16:58:00</t>
  </si>
  <si>
    <t>2023-05-09 18:19:00</t>
  </si>
  <si>
    <t>2023-05-09 21:22:00</t>
  </si>
  <si>
    <t>2023-05-10 16:30:00</t>
  </si>
  <si>
    <t>2023-05-10 16:56:00</t>
  </si>
  <si>
    <t>2023-05-10 17:43:00</t>
  </si>
  <si>
    <t>2023-05-10 19:15:00</t>
  </si>
  <si>
    <t>2023-05-10 21:04:00</t>
  </si>
  <si>
    <t>2023-05-10 22:27:00</t>
  </si>
  <si>
    <t>2023-05-11 17:07:00</t>
  </si>
  <si>
    <t>2023-05-11 18:08:00</t>
  </si>
  <si>
    <t>2023-05-11 19:13:00</t>
  </si>
  <si>
    <t>2023-05-11 20:43:00</t>
  </si>
  <si>
    <t>2023-05-11 22:14:00</t>
  </si>
  <si>
    <t>2023-05-12 19:33:00</t>
  </si>
  <si>
    <t>2023-05-12 20:32:00</t>
  </si>
  <si>
    <t>2023-05-12 20:41:00</t>
  </si>
  <si>
    <t>2023-05-12 21:55:00</t>
  </si>
  <si>
    <t>2023-05-12 22:21:00</t>
  </si>
  <si>
    <t>2023-05-13 17:35:00</t>
  </si>
  <si>
    <t>2023-05-14 15:06:00</t>
  </si>
  <si>
    <t>2023-05-14 15:53:00</t>
  </si>
  <si>
    <t>2023-05-14 16:43:00</t>
  </si>
  <si>
    <t>2023-05-14 17:14:00</t>
  </si>
  <si>
    <t>2023-05-14 18:37:00</t>
  </si>
  <si>
    <t>2023-05-14 19:23:00</t>
  </si>
  <si>
    <t>2023-05-14 19:26:00</t>
  </si>
  <si>
    <t>2023-05-14 21:59:00</t>
  </si>
  <si>
    <t>2023-05-15 15:43:00</t>
  </si>
  <si>
    <t>2023-05-15 16:06:00</t>
  </si>
  <si>
    <t>2023-05-16 15:45:00</t>
  </si>
  <si>
    <t>2023-05-16 15:47:00</t>
  </si>
  <si>
    <t>2023-05-16 22:05:00</t>
  </si>
  <si>
    <t>2023-05-16 22:38:00</t>
  </si>
  <si>
    <t>2023-05-17 15:55:00</t>
  </si>
  <si>
    <t>2023-05-17 18:03:00</t>
  </si>
  <si>
    <t>2023-05-17 18:06:00</t>
  </si>
  <si>
    <t>2023-05-17 20:34:00</t>
  </si>
  <si>
    <t>2023-05-18 18:25:00</t>
  </si>
  <si>
    <t>2023-05-18 20:01:00</t>
  </si>
  <si>
    <t>2023-05-18 20:32:00</t>
  </si>
  <si>
    <t>2023-05-19 18:45:00</t>
  </si>
  <si>
    <t>2023-05-19 18:47:00</t>
  </si>
  <si>
    <t>2023-05-19 19:23:00</t>
  </si>
  <si>
    <t>2023-05-19 22:19:00</t>
  </si>
  <si>
    <t>2023-05-19 22:46:00</t>
  </si>
  <si>
    <t>2023-05-20 21:13:00</t>
  </si>
  <si>
    <t>2023-05-21 19:12:00</t>
  </si>
  <si>
    <t>2023-05-21 21:47:00</t>
  </si>
  <si>
    <t>2023-05-21 22:11:00</t>
  </si>
  <si>
    <t>2023-05-22 19:30:00</t>
  </si>
  <si>
    <t>2023-05-22 20:30:00</t>
  </si>
  <si>
    <t>2023-05-22 20:49:00</t>
  </si>
  <si>
    <t>2023-05-22 22:01:00</t>
  </si>
  <si>
    <t>2023-05-23 15:08:00</t>
  </si>
  <si>
    <t>2023-05-23 16:06:00</t>
  </si>
  <si>
    <t>2023-05-23 17:37:00</t>
  </si>
  <si>
    <t>2023-05-23 22:07:00</t>
  </si>
  <si>
    <t>2023-05-23 22:21:00</t>
  </si>
  <si>
    <t>2023-05-24 16:32:00</t>
  </si>
  <si>
    <t>2023-05-24 20:09:00</t>
  </si>
  <si>
    <t>2023-05-24 22:34:00</t>
  </si>
  <si>
    <t>2023-05-25 15:47:00</t>
  </si>
  <si>
    <t>2023-05-25 17:47:00</t>
  </si>
  <si>
    <t>2023-05-25 20:16:00</t>
  </si>
  <si>
    <t>2023-05-26 20:45:00</t>
  </si>
  <si>
    <t>2023-05-26 20:48:00</t>
  </si>
  <si>
    <t>2023-05-26 21:04:00</t>
  </si>
  <si>
    <t>2023-05-27 16:03:00</t>
  </si>
  <si>
    <t>2023-05-27 17:15:00</t>
  </si>
  <si>
    <t>2023-05-27 18:53:00</t>
  </si>
  <si>
    <t>2023-05-27 20:59:00</t>
  </si>
  <si>
    <t>2023-05-28 17:05:00</t>
  </si>
  <si>
    <t>2023-05-30 17:55:00</t>
  </si>
  <si>
    <t>2023-05-30 18:07:00</t>
  </si>
  <si>
    <t>2023-05-30 19:16:00</t>
  </si>
  <si>
    <t>2023-05-30 20:31:00</t>
  </si>
  <si>
    <t>2023-05-31 16:38:00</t>
  </si>
  <si>
    <t>2023-05-31 21:24:00</t>
  </si>
  <si>
    <t>2023-05-31 22:42:00</t>
  </si>
  <si>
    <t>2023-06-01 15:38:00</t>
  </si>
  <si>
    <t>2023-06-01 15:48:00</t>
  </si>
  <si>
    <t>2023-06-01 18:22:00</t>
  </si>
  <si>
    <t>2023-06-01 20:54:00</t>
  </si>
  <si>
    <t>2023-06-01 21:30:00</t>
  </si>
  <si>
    <t>2023-06-01 22:55:00</t>
  </si>
  <si>
    <t>2023-06-02 19:58:00</t>
  </si>
  <si>
    <t>2023-06-03 15:29:00</t>
  </si>
  <si>
    <t>2023-06-03 15:42:00</t>
  </si>
  <si>
    <t>2023-06-03 16:16:00</t>
  </si>
  <si>
    <t>2023-06-03 17:14:00</t>
  </si>
  <si>
    <t>2023-06-03 19:33:00</t>
  </si>
  <si>
    <t>2023-06-04 15:15:00</t>
  </si>
  <si>
    <t>2023-06-04 16:52:00</t>
  </si>
  <si>
    <t>2023-06-04 18:10:00</t>
  </si>
  <si>
    <t>2023-06-04 19:46:00</t>
  </si>
  <si>
    <t>2023-06-04 22:21:00</t>
  </si>
  <si>
    <t>2023-06-05 16:12:00</t>
  </si>
  <si>
    <t>2023-06-05 18:15:00</t>
  </si>
  <si>
    <t>2023-06-05 19:16:00</t>
  </si>
  <si>
    <t>2023-06-06 16:00:00</t>
  </si>
  <si>
    <t>2023-06-06 17:32:00</t>
  </si>
  <si>
    <t>2023-06-06 17:44:00</t>
  </si>
  <si>
    <t>2023-06-06 17:51:00</t>
  </si>
  <si>
    <t>2023-06-06 18:02:00</t>
  </si>
  <si>
    <t>2023-06-07 15:24:00</t>
  </si>
  <si>
    <t>2023-06-07 15:40:00</t>
  </si>
  <si>
    <t>2023-06-07 16:43:00</t>
  </si>
  <si>
    <t>2023-06-07 17:22:00</t>
  </si>
  <si>
    <t>2023-06-07 20:01:00</t>
  </si>
  <si>
    <t>2023-06-07 20:24:00</t>
  </si>
  <si>
    <t>2023-06-08 20:08:00</t>
  </si>
  <si>
    <t>2023-06-08 22:08:00</t>
  </si>
  <si>
    <t>2023-06-09 16:12:00</t>
  </si>
  <si>
    <t>2023-06-09 16:46:00</t>
  </si>
  <si>
    <t>2023-06-10 15:07:00</t>
  </si>
  <si>
    <t>2023-06-10 18:49:00</t>
  </si>
  <si>
    <t>2023-06-10 20:28:00</t>
  </si>
  <si>
    <t>2023-06-10 21:33:00</t>
  </si>
  <si>
    <t>2023-06-10 21:42:00</t>
  </si>
  <si>
    <t>2023-06-11 17:13:00</t>
  </si>
  <si>
    <t>2023-06-11 21:40:00</t>
  </si>
  <si>
    <t>2023-06-11 22:11:00</t>
  </si>
  <si>
    <t>2023-06-11 22:49:00</t>
  </si>
  <si>
    <t>2023-06-12 18:15:00</t>
  </si>
  <si>
    <t>2023-06-13 16:07:00</t>
  </si>
  <si>
    <t>2023-06-13 16:13:00</t>
  </si>
  <si>
    <t>2023-06-13 16:47:00</t>
  </si>
  <si>
    <t>2023-06-13 19:47:00</t>
  </si>
  <si>
    <t>2023-06-13 20:05:00</t>
  </si>
  <si>
    <t>2023-06-13 21:18:00</t>
  </si>
  <si>
    <t>2023-06-13 21:28:00</t>
  </si>
  <si>
    <t>2023-06-13 22:57:00</t>
  </si>
  <si>
    <t>2023-06-14 16:03:00</t>
  </si>
  <si>
    <t>2023-06-14 17:12:00</t>
  </si>
  <si>
    <t>2023-06-14 18:40:00</t>
  </si>
  <si>
    <t>2023-06-14 21:00:00</t>
  </si>
  <si>
    <t>2023-06-14 21:14:00</t>
  </si>
  <si>
    <t>2023-06-15 17:57:00</t>
  </si>
  <si>
    <t>2023-06-15 21:25:00</t>
  </si>
  <si>
    <t>2023-06-16 18:55:00</t>
  </si>
  <si>
    <t>2023-06-16 20:39:00</t>
  </si>
  <si>
    <t>2023-06-16 20:57:00</t>
  </si>
  <si>
    <t>2023-06-17 15:54:00</t>
  </si>
  <si>
    <t>2023-06-17 15:59:00</t>
  </si>
  <si>
    <t>2023-06-17 16:41:00</t>
  </si>
  <si>
    <t>2023-06-17 20:59:00</t>
  </si>
  <si>
    <t>2023-06-18 16:46:00</t>
  </si>
  <si>
    <t>2023-06-18 18:46:00</t>
  </si>
  <si>
    <t>2023-06-18 21:08:00</t>
  </si>
  <si>
    <t>2023-06-18 22:27:00</t>
  </si>
  <si>
    <t>2023-06-18 22:40:00</t>
  </si>
  <si>
    <t>2023-06-19 15:47:00</t>
  </si>
  <si>
    <t>2023-06-19 16:17:00</t>
  </si>
  <si>
    <t>2023-06-19 18:06:00</t>
  </si>
  <si>
    <t>2023-06-19 18:38:00</t>
  </si>
  <si>
    <t>2023-06-19 21:08:00</t>
  </si>
  <si>
    <t>2023-06-19 21:29:00</t>
  </si>
  <si>
    <t>2023-06-19 22:36:00</t>
  </si>
  <si>
    <t>2023-06-20 20:02:00</t>
  </si>
  <si>
    <t>2023-06-20 20:15:00</t>
  </si>
  <si>
    <t>2023-06-20 21:53:00</t>
  </si>
  <si>
    <t>2023-06-21 15:05:00</t>
  </si>
  <si>
    <t>2023-06-21 15:33:00</t>
  </si>
  <si>
    <t>2023-06-21 16:13:00</t>
  </si>
  <si>
    <t>2023-06-21 22:58:00</t>
  </si>
  <si>
    <t>2023-06-22 16:39:00</t>
  </si>
  <si>
    <t>2023-06-22 22:18:00</t>
  </si>
  <si>
    <t>2023-06-22 22:32:00</t>
  </si>
  <si>
    <t>2023-06-23 15:17:00</t>
  </si>
  <si>
    <t>2023-06-23 17:13:00</t>
  </si>
  <si>
    <t>2023-06-23 19:04:00</t>
  </si>
  <si>
    <t>2023-06-23 19:08:00</t>
  </si>
  <si>
    <t>2023-06-23 20:02:00</t>
  </si>
  <si>
    <t>2023-06-24 16:32:00</t>
  </si>
  <si>
    <t>2023-06-24 22:29:00</t>
  </si>
  <si>
    <t>2023-06-25 17:02:00</t>
  </si>
  <si>
    <t>2023-06-25 17:03:00</t>
  </si>
  <si>
    <t>2023-06-25 17:38:00</t>
  </si>
  <si>
    <t>2023-06-25 18:33:00</t>
  </si>
  <si>
    <t>2023-06-26 18:51:00</t>
  </si>
  <si>
    <t>2023-06-26 19:43:00</t>
  </si>
  <si>
    <t>2023-06-26 19:50:00</t>
  </si>
  <si>
    <t>2023-06-26 20:18:00</t>
  </si>
  <si>
    <t>2023-06-26 20:32:00</t>
  </si>
  <si>
    <t>2023-06-26 21:09:00</t>
  </si>
  <si>
    <t>2023-06-26 22:38:00</t>
  </si>
  <si>
    <t>2023-06-27 15:01:00</t>
  </si>
  <si>
    <t>2023-06-27 15:16:00</t>
  </si>
  <si>
    <t>2023-06-27 18:37:00</t>
  </si>
  <si>
    <t>2023-06-27 20:22:00</t>
  </si>
  <si>
    <t>2023-06-28 18:17:00</t>
  </si>
  <si>
    <t>2023-06-29 15:35:00</t>
  </si>
  <si>
    <t>2023-06-29 17:28:00</t>
  </si>
  <si>
    <t>2023-06-29 17:33:00</t>
  </si>
  <si>
    <t>2023-06-29 17:41:00</t>
  </si>
  <si>
    <t>2023-06-29 18:10:00</t>
  </si>
  <si>
    <t>2023-06-29 18:58:00</t>
  </si>
  <si>
    <t>2023-06-29 20:02:00</t>
  </si>
  <si>
    <t>2023-06-29 22:24:00</t>
  </si>
  <si>
    <t>2023-06-30 17:20:00</t>
  </si>
  <si>
    <t>2023-07-01 16:17:00</t>
  </si>
  <si>
    <t>2023-07-01 16:32:00</t>
  </si>
  <si>
    <t>2023-07-01 20:11:00</t>
  </si>
  <si>
    <t>2023-07-02 15:43:00</t>
  </si>
  <si>
    <t>2023-07-02 16:19:00</t>
  </si>
  <si>
    <t>2023-07-02 17:32:00</t>
  </si>
  <si>
    <t>2023-07-02 19:39:00</t>
  </si>
  <si>
    <t>2023-07-02 20:44:00</t>
  </si>
  <si>
    <t>2023-07-02 20:47:00</t>
  </si>
  <si>
    <t>2023-07-02 22:02:00</t>
  </si>
  <si>
    <t>2023-07-03 19:12:00</t>
  </si>
  <si>
    <t>2023-07-03 19:40:00</t>
  </si>
  <si>
    <t>2023-07-03 19:49:00</t>
  </si>
  <si>
    <t>2023-07-03 19:58:00</t>
  </si>
  <si>
    <t>2023-07-04 16:08:00</t>
  </si>
  <si>
    <t>2023-07-04 16:58:00</t>
  </si>
  <si>
    <t>2023-07-04 17:29:00</t>
  </si>
  <si>
    <t>2023-07-04 18:43:00</t>
  </si>
  <si>
    <t>2023-07-04 18:52:00</t>
  </si>
  <si>
    <t>2023-07-04 20:16:00</t>
  </si>
  <si>
    <t>2023-07-05 15:58:00</t>
  </si>
  <si>
    <t>2023-07-05 20:09:00</t>
  </si>
  <si>
    <t>2023-07-05 21:29:00</t>
  </si>
  <si>
    <t>2023-07-05 22:03:00</t>
  </si>
  <si>
    <t>2023-07-06 16:02:00</t>
  </si>
  <si>
    <t>2023-07-06 17:18:00</t>
  </si>
  <si>
    <t>2023-07-06 17:52:00</t>
  </si>
  <si>
    <t>2023-07-06 19:52:00</t>
  </si>
  <si>
    <t>2023-07-07 15:17:00</t>
  </si>
  <si>
    <t>2023-07-07 15:21:00</t>
  </si>
  <si>
    <t>2023-07-07 16:04:00</t>
  </si>
  <si>
    <t>2023-07-07 16:51:00</t>
  </si>
  <si>
    <t>2023-07-07 17:16:00</t>
  </si>
  <si>
    <t>2023-07-07 18:30:00</t>
  </si>
  <si>
    <t>2023-07-07 19:38:00</t>
  </si>
  <si>
    <t>2023-07-07 20:12:00</t>
  </si>
  <si>
    <t>2023-07-08 15:36:00</t>
  </si>
  <si>
    <t>2023-07-09 16:06:00</t>
  </si>
  <si>
    <t>2023-07-09 20:32:00</t>
  </si>
  <si>
    <t>2023-07-09 20:47:00</t>
  </si>
  <si>
    <t>2023-07-10 15:57:00</t>
  </si>
  <si>
    <t>2023-07-10 18:08:00</t>
  </si>
  <si>
    <t>2023-07-10 18:11:00</t>
  </si>
  <si>
    <t>2023-07-10 19:29:00</t>
  </si>
  <si>
    <t>2023-07-10 20:39:00</t>
  </si>
  <si>
    <t>2023-07-10 20:55:00</t>
  </si>
  <si>
    <t>2023-07-10 21:30:00</t>
  </si>
  <si>
    <t>2023-07-11 15:57:00</t>
  </si>
  <si>
    <t>2023-07-11 17:23:00</t>
  </si>
  <si>
    <t>2023-07-11 18:27:00</t>
  </si>
  <si>
    <t>2023-07-12 15:07:00</t>
  </si>
  <si>
    <t>2023-07-12 15:32:00</t>
  </si>
  <si>
    <t>2023-07-12 16:28:00</t>
  </si>
  <si>
    <t>2023-07-12 17:14:00</t>
  </si>
  <si>
    <t>2023-07-12 17:17:00</t>
  </si>
  <si>
    <t>2023-07-12 17:53:00</t>
  </si>
  <si>
    <t>2023-07-12 18:12:00</t>
  </si>
  <si>
    <t>2023-07-12 19:23:00</t>
  </si>
  <si>
    <t>2023-07-12 19:47:00</t>
  </si>
  <si>
    <t>2023-07-12 20:23:00</t>
  </si>
  <si>
    <t>2023-07-12 21:49:00</t>
  </si>
  <si>
    <t>2023-07-13 17:12:00</t>
  </si>
  <si>
    <t>2023-07-13 20:50:00</t>
  </si>
  <si>
    <t>2023-07-13 22:01:00</t>
  </si>
  <si>
    <t>2023-07-14 15:09:00</t>
  </si>
  <si>
    <t>2023-07-15 15:21:00</t>
  </si>
  <si>
    <t>2023-07-15 16:19:00</t>
  </si>
  <si>
    <t>2023-07-15 20:06:00</t>
  </si>
  <si>
    <t>2023-07-15 21:18:00</t>
  </si>
  <si>
    <t>2023-07-16 16:19:00</t>
  </si>
  <si>
    <t>2023-07-16 17:43:00</t>
  </si>
  <si>
    <t>2023-07-16 18:34:00</t>
  </si>
  <si>
    <t>2023-07-16 20:42:00</t>
  </si>
  <si>
    <t>2023-07-17 15:12:00</t>
  </si>
  <si>
    <t>2023-07-17 15:36:00</t>
  </si>
  <si>
    <t>2023-07-17 18:08:00</t>
  </si>
  <si>
    <t>2023-07-17 18:28:00</t>
  </si>
  <si>
    <t>2023-07-17 19:06:00</t>
  </si>
  <si>
    <t>2023-07-17 19:21:00</t>
  </si>
  <si>
    <t>2023-07-17 20:23:00</t>
  </si>
  <si>
    <t>2023-07-17 21:22:00</t>
  </si>
  <si>
    <t>2023-07-18 19:10:00</t>
  </si>
  <si>
    <t>2023-07-18 19:48:00</t>
  </si>
  <si>
    <t>2023-07-18 20:26:00</t>
  </si>
  <si>
    <t>2023-07-18 22:25:00</t>
  </si>
  <si>
    <t>2023-07-19 16:33:00</t>
  </si>
  <si>
    <t>2023-07-19 17:36:00</t>
  </si>
  <si>
    <t>2023-07-19 18:42:00</t>
  </si>
  <si>
    <t>2023-07-19 20:19:00</t>
  </si>
  <si>
    <t>2023-07-20 19:42:00</t>
  </si>
  <si>
    <t>2023-07-21 15:03:00</t>
  </si>
  <si>
    <t>2023-07-21 17:48:00</t>
  </si>
  <si>
    <t>2023-07-21 19:25:00</t>
  </si>
  <si>
    <t>2023-07-21 22:03:00</t>
  </si>
  <si>
    <t>2023-07-22 15:29:00</t>
  </si>
  <si>
    <t>2023-07-22 18:14:00</t>
  </si>
  <si>
    <t>2023-07-22 18:31:00</t>
  </si>
  <si>
    <t>2023-07-22 20:24:00</t>
  </si>
  <si>
    <t>2023-07-22 22:29:00</t>
  </si>
  <si>
    <t>2023-07-23 15:27:00</t>
  </si>
  <si>
    <t>2023-07-23 16:44:00</t>
  </si>
  <si>
    <t>2023-07-23 17:37:00</t>
  </si>
  <si>
    <t>2023-07-23 20:01:00</t>
  </si>
  <si>
    <t>2023-07-23 20:30:00</t>
  </si>
  <si>
    <t>2023-07-23 21:20:00</t>
  </si>
  <si>
    <t>2023-07-23 21:30:00</t>
  </si>
  <si>
    <t>2023-07-23 22:58:00</t>
  </si>
  <si>
    <t>2023-07-24 15:53:00</t>
  </si>
  <si>
    <t>2023-07-24 16:58:00</t>
  </si>
  <si>
    <t>2023-07-24 20:50:00</t>
  </si>
  <si>
    <t>2023-07-25 15:29:00</t>
  </si>
  <si>
    <t>2023-07-25 16:18:00</t>
  </si>
  <si>
    <t>2023-07-25 17:51:00</t>
  </si>
  <si>
    <t>2023-07-25 18:23:00</t>
  </si>
  <si>
    <t>2023-07-25 18:34:00</t>
  </si>
  <si>
    <t>2023-07-25 18:42:00</t>
  </si>
  <si>
    <t>2023-07-25 21:42:00</t>
  </si>
  <si>
    <t>2023-07-25 22:16:00</t>
  </si>
  <si>
    <t>2023-07-26 17:09:00</t>
  </si>
  <si>
    <t>2023-07-26 19:21:00</t>
  </si>
  <si>
    <t>2023-07-26 22:58:00</t>
  </si>
  <si>
    <t>2023-07-27 16:00:00</t>
  </si>
  <si>
    <t>2023-07-27 16:56:00</t>
  </si>
  <si>
    <t>2023-07-27 17:24:00</t>
  </si>
  <si>
    <t>2023-07-27 17:44:00</t>
  </si>
  <si>
    <t>2023-07-27 17:48:00</t>
  </si>
  <si>
    <t>2023-07-27 22:11:00</t>
  </si>
  <si>
    <t>2023-07-27 22:38:00</t>
  </si>
  <si>
    <t>2023-07-28 15:31:00</t>
  </si>
  <si>
    <t>2023-07-28 17:51:00</t>
  </si>
  <si>
    <t>2023-07-28 21:18:00</t>
  </si>
  <si>
    <t>2023-07-28 22:53:00</t>
  </si>
  <si>
    <t>2023-07-29 15:22:00</t>
  </si>
  <si>
    <t>2023-07-29 17:08:00</t>
  </si>
  <si>
    <t>2023-07-29 21:39:00</t>
  </si>
  <si>
    <t>2023-07-30 17:11:00</t>
  </si>
  <si>
    <t>2023-07-30 21:11:00</t>
  </si>
  <si>
    <t>2023-07-30 22:59:00</t>
  </si>
  <si>
    <t>2023-07-31 16:57:00</t>
  </si>
  <si>
    <t>2023-07-31 18:39:00</t>
  </si>
  <si>
    <t>2023-07-31 20:04:00</t>
  </si>
  <si>
    <t>2023-07-31 20:06:00</t>
  </si>
  <si>
    <t>2023-07-31 20:41:00</t>
  </si>
  <si>
    <t>2023-07-31 22:25:00</t>
  </si>
  <si>
    <t>2023-07-31 22:49:00</t>
  </si>
  <si>
    <t>2023-08-01 17:55:00</t>
  </si>
  <si>
    <t>2023-08-01 21:51:00</t>
  </si>
  <si>
    <t>2023-08-01 21:55:00</t>
  </si>
  <si>
    <t>2023-08-02 16:08:00</t>
  </si>
  <si>
    <t>2023-08-02 18:52:00</t>
  </si>
  <si>
    <t>2023-08-03 16:02:00</t>
  </si>
  <si>
    <t>2023-08-03 20:35:00</t>
  </si>
  <si>
    <t>2023-08-03 21:03:00</t>
  </si>
  <si>
    <t>2023-08-04 18:54:00</t>
  </si>
  <si>
    <t>2023-08-04 19:32:00</t>
  </si>
  <si>
    <t>2023-08-05 15:16:00</t>
  </si>
  <si>
    <t>2023-08-05 16:19:00</t>
  </si>
  <si>
    <t>2023-08-05 17:28:00</t>
  </si>
  <si>
    <t>2023-08-06 15:19:00</t>
  </si>
  <si>
    <t>2023-08-06 16:39:00</t>
  </si>
  <si>
    <t>2023-08-06 17:41:00</t>
  </si>
  <si>
    <t>2023-08-06 19:50:00</t>
  </si>
  <si>
    <t>2023-08-06 22:24:00</t>
  </si>
  <si>
    <t>2023-08-07 15:25:00</t>
  </si>
  <si>
    <t>2023-08-07 16:00:00</t>
  </si>
  <si>
    <t>2023-08-07 16:06:00</t>
  </si>
  <si>
    <t>2023-08-07 16:17:00</t>
  </si>
  <si>
    <t>2023-08-07 20:28:00</t>
  </si>
  <si>
    <t>2023-08-08 15:00:00</t>
  </si>
  <si>
    <t>2023-08-08 15:16:00</t>
  </si>
  <si>
    <t>2023-08-08 15:39:00</t>
  </si>
  <si>
    <t>2023-08-09 16:00:00</t>
  </si>
  <si>
    <t>2023-08-09 17:44:00</t>
  </si>
  <si>
    <t>2023-08-09 18:03:00</t>
  </si>
  <si>
    <t>2023-08-09 18:42:00</t>
  </si>
  <si>
    <t>2023-08-09 20:49:00</t>
  </si>
  <si>
    <t>2023-08-10 15:47:00</t>
  </si>
  <si>
    <t>2023-08-10 17:31:00</t>
  </si>
  <si>
    <t>2023-08-10 20:11:00</t>
  </si>
  <si>
    <t>2023-08-10 22:18:00</t>
  </si>
  <si>
    <t>2023-08-11 17:51:00</t>
  </si>
  <si>
    <t>2023-08-11 18:31:00</t>
  </si>
  <si>
    <t>2023-08-11 22:06:00</t>
  </si>
  <si>
    <t>2023-08-11 22:19:00</t>
  </si>
  <si>
    <t>2023-08-11 22:30:00</t>
  </si>
  <si>
    <t>2023-08-11 22:53:00</t>
  </si>
  <si>
    <t>2023-08-12 17:39:00</t>
  </si>
  <si>
    <t>2023-08-13 16:10:00</t>
  </si>
  <si>
    <t>2023-08-13 16:41:00</t>
  </si>
  <si>
    <t>2023-08-13 18:07:00</t>
  </si>
  <si>
    <t>2023-08-13 18:27:00</t>
  </si>
  <si>
    <t>2023-08-13 18:30:00</t>
  </si>
  <si>
    <t>2023-08-13 22:16:00</t>
  </si>
  <si>
    <t>2023-08-14 15:33:00</t>
  </si>
  <si>
    <t>2023-08-14 16:22:00</t>
  </si>
  <si>
    <t>2023-08-14 17:37:00</t>
  </si>
  <si>
    <t>2023-08-16 18:26:00</t>
  </si>
  <si>
    <t>2023-08-16 19:15:00</t>
  </si>
  <si>
    <t>2023-08-16 19:23:00</t>
  </si>
  <si>
    <t>2023-08-16 21:08:00</t>
  </si>
  <si>
    <t>2023-08-16 21:29:00</t>
  </si>
  <si>
    <t>2023-08-16 22:19:00</t>
  </si>
  <si>
    <t>2023-08-17 16:18:00</t>
  </si>
  <si>
    <t>2023-08-17 16:44:00</t>
  </si>
  <si>
    <t>2023-08-17 19:19:00</t>
  </si>
  <si>
    <t>2023-08-17 20:43:00</t>
  </si>
  <si>
    <t>2023-08-17 21:12:00</t>
  </si>
  <si>
    <t>2023-08-17 22:13:00</t>
  </si>
  <si>
    <t>2023-08-18 15:06:00</t>
  </si>
  <si>
    <t>2023-08-18 18:52:00</t>
  </si>
  <si>
    <t>2023-08-18 19:37:00</t>
  </si>
  <si>
    <t>2023-08-18 20:37:00</t>
  </si>
  <si>
    <t>2023-08-18 21:44:00</t>
  </si>
  <si>
    <t>2023-08-18 22:15:00</t>
  </si>
  <si>
    <t>2023-08-19 19:19:00</t>
  </si>
  <si>
    <t>2023-08-19 20:40:00</t>
  </si>
  <si>
    <t>2023-08-19 21:32:00</t>
  </si>
  <si>
    <t>2023-08-19 22:37:00</t>
  </si>
  <si>
    <t>2023-08-20 16:27:00</t>
  </si>
  <si>
    <t>2023-08-20 18:03:00</t>
  </si>
  <si>
    <t>2023-08-20 19:28:00</t>
  </si>
  <si>
    <t>2023-08-21 16:13:00</t>
  </si>
  <si>
    <t>2023-08-21 16:32:00</t>
  </si>
  <si>
    <t>2023-08-21 17:38:00</t>
  </si>
  <si>
    <t>2023-08-21 18:17:00</t>
  </si>
  <si>
    <t>2023-08-21 19:40:00</t>
  </si>
  <si>
    <t>2023-08-21 20:26:00</t>
  </si>
  <si>
    <t>2023-08-22 15:08:00</t>
  </si>
  <si>
    <t>2023-08-22 22:24:00</t>
  </si>
  <si>
    <t>2023-08-23 16:15:00</t>
  </si>
  <si>
    <t>2023-08-23 16:31:00</t>
  </si>
  <si>
    <t>2023-08-23 17:26:00</t>
  </si>
  <si>
    <t>2023-08-23 19:36:00</t>
  </si>
  <si>
    <t>2023-08-23 21:32:00</t>
  </si>
  <si>
    <t>2023-08-24 18:41:00</t>
  </si>
  <si>
    <t>2023-08-24 20:22:00</t>
  </si>
  <si>
    <t>2023-08-24 22:39:00</t>
  </si>
  <si>
    <t>2023-08-24 22:57:00</t>
  </si>
  <si>
    <t>2023-08-25 18:16:00</t>
  </si>
  <si>
    <t>2023-08-25 19:22:00</t>
  </si>
  <si>
    <t>2023-08-25 20:18:00</t>
  </si>
  <si>
    <t>2023-08-25 20:22:00</t>
  </si>
  <si>
    <t>2023-08-25 21:01:00</t>
  </si>
  <si>
    <t>2023-08-26 17:14:00</t>
  </si>
  <si>
    <t>2023-08-26 17:41:00</t>
  </si>
  <si>
    <t>2023-08-26 22:47:00</t>
  </si>
  <si>
    <t>2023-08-27 16:02:00</t>
  </si>
  <si>
    <t>2023-08-27 17:05:00</t>
  </si>
  <si>
    <t>2023-08-27 17:33:00</t>
  </si>
  <si>
    <t>2023-08-27 18:55:00</t>
  </si>
  <si>
    <t>2023-08-27 19:47:00</t>
  </si>
  <si>
    <t>2023-08-27 20:01:00</t>
  </si>
  <si>
    <t>2023-08-27 20:39:00</t>
  </si>
  <si>
    <t>2023-08-28 21:58:00</t>
  </si>
  <si>
    <t>2023-08-29 15:50:00</t>
  </si>
  <si>
    <t>2023-08-29 15:57:00</t>
  </si>
  <si>
    <t>2023-08-29 18:27:00</t>
  </si>
  <si>
    <t>2023-08-30 15:02:00</t>
  </si>
  <si>
    <t>2023-08-30 18:05:00</t>
  </si>
  <si>
    <t>2023-08-30 21:37:00</t>
  </si>
  <si>
    <t>2023-08-30 22:44:00</t>
  </si>
  <si>
    <t>2023-08-31 16:00:00</t>
  </si>
  <si>
    <t>2023-08-31 16:51:00</t>
  </si>
  <si>
    <t>2023-08-31 20:44:00</t>
  </si>
  <si>
    <t>2023-08-31 20:47:00</t>
  </si>
  <si>
    <t>2023-09-01 15:32:00</t>
  </si>
  <si>
    <t>2023-09-01 18:39:00</t>
  </si>
  <si>
    <t>2023-09-01 21:36:00</t>
  </si>
  <si>
    <t>2023-09-01 21:49:00</t>
  </si>
  <si>
    <t>2023-09-01 21:53:00</t>
  </si>
  <si>
    <t>2023-09-01 22:48:00</t>
  </si>
  <si>
    <t>2023-09-02 15:17:00</t>
  </si>
  <si>
    <t>2023-09-02 17:43:00</t>
  </si>
  <si>
    <t>2023-09-03 15:53:00</t>
  </si>
  <si>
    <t>2023-09-03 20:05:00</t>
  </si>
  <si>
    <t>2023-09-03 22:55:00</t>
  </si>
  <si>
    <t>2023-09-04 15:43:00</t>
  </si>
  <si>
    <t>2023-09-04 15:46:00</t>
  </si>
  <si>
    <t>2023-09-04 15:58:00</t>
  </si>
  <si>
    <t>2023-09-04 21:09:00</t>
  </si>
  <si>
    <t>2023-09-04 21:45:00</t>
  </si>
  <si>
    <t>2023-09-05 16:15:00</t>
  </si>
  <si>
    <t>2023-09-05 16:51:00</t>
  </si>
  <si>
    <t>2023-09-05 17:00:00</t>
  </si>
  <si>
    <t>2023-09-05 17:47:00</t>
  </si>
  <si>
    <t>2023-09-05 19:26:00</t>
  </si>
  <si>
    <t>2023-09-05 21:48:00</t>
  </si>
  <si>
    <t>2023-09-05 22:32:00</t>
  </si>
  <si>
    <t>2023-09-06 15:49:00</t>
  </si>
  <si>
    <t>2023-09-06 16:35:00</t>
  </si>
  <si>
    <t>2023-09-06 21:16:00</t>
  </si>
  <si>
    <t>2023-09-06 21:57:00</t>
  </si>
  <si>
    <t>2023-09-06 22:03:00</t>
  </si>
  <si>
    <t>2023-09-06 22:11:00</t>
  </si>
  <si>
    <t>2023-09-06 22:32:00</t>
  </si>
  <si>
    <t>2023-09-07 15:01:00</t>
  </si>
  <si>
    <t>2023-09-07 15:17:00</t>
  </si>
  <si>
    <t>2023-09-07 19:33:00</t>
  </si>
  <si>
    <t>2023-09-07 20:44:00</t>
  </si>
  <si>
    <t>2023-09-07 21:40:00</t>
  </si>
  <si>
    <t>2023-09-07 22:35:00</t>
  </si>
  <si>
    <t>2023-09-07 22:52:00</t>
  </si>
  <si>
    <t>2023-09-07 22:55:00</t>
  </si>
  <si>
    <t>2023-09-08 15:41:00</t>
  </si>
  <si>
    <t>2023-09-08 16:10:00</t>
  </si>
  <si>
    <t>2023-09-08 16:21:00</t>
  </si>
  <si>
    <t>2023-09-08 17:46:00</t>
  </si>
  <si>
    <t>2023-09-08 20:30:00</t>
  </si>
  <si>
    <t>2023-09-08 20:54:00</t>
  </si>
  <si>
    <t>2023-09-08 21:21:00</t>
  </si>
  <si>
    <t>2023-09-09 15:55:00</t>
  </si>
  <si>
    <t>2023-09-09 16:19:00</t>
  </si>
  <si>
    <t>2023-09-09 19:14:00</t>
  </si>
  <si>
    <t>2023-09-09 21:32:00</t>
  </si>
  <si>
    <t>2023-09-10 15:15:00</t>
  </si>
  <si>
    <t>2023-09-10 15:53:00</t>
  </si>
  <si>
    <t>2023-09-10 17:44:00</t>
  </si>
  <si>
    <t>2023-09-10 18:50:00</t>
  </si>
  <si>
    <t>2023-09-10 20:25:00</t>
  </si>
  <si>
    <t>2023-09-10 21:15:00</t>
  </si>
  <si>
    <t>2023-09-10 21:34:00</t>
  </si>
  <si>
    <t>2023-09-10 21:54:00</t>
  </si>
  <si>
    <t>2023-09-10 22:59:00</t>
  </si>
  <si>
    <t>2023-09-11 16:46:00</t>
  </si>
  <si>
    <t>2023-09-11 17:26:00</t>
  </si>
  <si>
    <t>2023-09-11 18:23:00</t>
  </si>
  <si>
    <t>2023-09-11 19:17:00</t>
  </si>
  <si>
    <t>2023-09-12 17:00:00</t>
  </si>
  <si>
    <t>2023-09-12 17:06:00</t>
  </si>
  <si>
    <t>2023-09-12 17:10:00</t>
  </si>
  <si>
    <t>2023-09-12 20:41:00</t>
  </si>
  <si>
    <t>2023-09-12 21:09:00</t>
  </si>
  <si>
    <t>2023-09-12 21:33:00</t>
  </si>
  <si>
    <t>2023-09-12 21:37:00</t>
  </si>
  <si>
    <t>2023-09-13 18:38:00</t>
  </si>
  <si>
    <t>2023-09-13 19:50:00</t>
  </si>
  <si>
    <t>2023-09-13 20:12:00</t>
  </si>
  <si>
    <t>2023-09-13 21:05:00</t>
  </si>
  <si>
    <t>2023-09-14 16:32:00</t>
  </si>
  <si>
    <t>2023-09-14 16:35:00</t>
  </si>
  <si>
    <t>2023-09-14 17:25:00</t>
  </si>
  <si>
    <t>2023-09-14 18:59:00</t>
  </si>
  <si>
    <t>2023-09-14 20:45:00</t>
  </si>
  <si>
    <t>2023-09-14 20:50:00</t>
  </si>
  <si>
    <t>2023-09-15 22:19:00</t>
  </si>
  <si>
    <t>2023-09-16 17:12:00</t>
  </si>
  <si>
    <t>2023-09-16 18:01:00</t>
  </si>
  <si>
    <t>2023-09-16 18:42:00</t>
  </si>
  <si>
    <t>2023-09-16 19:58:00</t>
  </si>
  <si>
    <t>2023-09-16 20:49:00</t>
  </si>
  <si>
    <t>2023-09-17 15:56:00</t>
  </si>
  <si>
    <t>2023-09-17 16:57:00</t>
  </si>
  <si>
    <t>2023-09-17 19:31:00</t>
  </si>
  <si>
    <t>2023-09-17 20:18:00</t>
  </si>
  <si>
    <t>2023-09-17 21:18:00</t>
  </si>
  <si>
    <t>2023-09-17 22:46:00</t>
  </si>
  <si>
    <t>2023-09-18 17:57:00</t>
  </si>
  <si>
    <t>2023-09-18 18:03:00</t>
  </si>
  <si>
    <t>2023-09-18 19:51:00</t>
  </si>
  <si>
    <t>2023-09-18 21:24:00</t>
  </si>
  <si>
    <t>2023-09-18 21:50:00</t>
  </si>
  <si>
    <t>2023-09-19 17:36:00</t>
  </si>
  <si>
    <t>2023-09-19 18:08:00</t>
  </si>
  <si>
    <t>2023-09-19 20:16:00</t>
  </si>
  <si>
    <t>2023-09-19 20:42:00</t>
  </si>
  <si>
    <t>2023-09-19 22:01:00</t>
  </si>
  <si>
    <t>2023-09-19 22:35:00</t>
  </si>
  <si>
    <t>2023-09-20 15:58:00</t>
  </si>
  <si>
    <t>2023-09-20 17:09:00</t>
  </si>
  <si>
    <t>2023-09-20 18:00:00</t>
  </si>
  <si>
    <t>2023-09-20 18:31:00</t>
  </si>
  <si>
    <t>2023-09-20 21:18:00</t>
  </si>
  <si>
    <t>2023-09-20 21:58:00</t>
  </si>
  <si>
    <t>2023-09-20 22:58:00</t>
  </si>
  <si>
    <t>2023-09-21 15:18:00</t>
  </si>
  <si>
    <t>2023-09-21 16:28:00</t>
  </si>
  <si>
    <t>2023-09-21 17:56:00</t>
  </si>
  <si>
    <t>2023-09-22 19:06:00</t>
  </si>
  <si>
    <t>2023-09-23 18:02:00</t>
  </si>
  <si>
    <t>2023-09-23 18:54:00</t>
  </si>
  <si>
    <t>2023-09-23 21:16:00</t>
  </si>
  <si>
    <t>2023-09-24 16:17:00</t>
  </si>
  <si>
    <t>2023-09-24 18:59:00</t>
  </si>
  <si>
    <t>2023-09-24 22:27:00</t>
  </si>
  <si>
    <t>2023-09-25 15:11:00</t>
  </si>
  <si>
    <t>2023-09-25 16:07:00</t>
  </si>
  <si>
    <t>2023-09-25 16:31:00</t>
  </si>
  <si>
    <t>2023-09-25 16:50:00</t>
  </si>
  <si>
    <t>2023-09-25 17:15:00</t>
  </si>
  <si>
    <t>2023-09-25 21:08:00</t>
  </si>
  <si>
    <t>2023-09-25 21:23:00</t>
  </si>
  <si>
    <t>2023-09-25 22:43:00</t>
  </si>
  <si>
    <t>2023-09-26 18:53:00</t>
  </si>
  <si>
    <t>2023-09-27 18:21:00</t>
  </si>
  <si>
    <t>2023-09-27 20:15:00</t>
  </si>
  <si>
    <t>2023-09-28 15:01:00</t>
  </si>
  <si>
    <t>2023-09-28 18:02:00</t>
  </si>
  <si>
    <t>2023-09-28 19:38:00</t>
  </si>
  <si>
    <t>2023-09-28 20:30:00</t>
  </si>
  <si>
    <t>2023-09-28 21:40:00</t>
  </si>
  <si>
    <t>2023-09-28 21:59:00</t>
  </si>
  <si>
    <t>2023-09-29 16:00:00</t>
  </si>
  <si>
    <t>2023-09-29 18:47:00</t>
  </si>
  <si>
    <t>2023-09-29 20:36:00</t>
  </si>
  <si>
    <t>2023-09-29 21:43:00</t>
  </si>
  <si>
    <t>2023-09-29 22:25:00</t>
  </si>
  <si>
    <t>2023-09-30 17:32:00</t>
  </si>
  <si>
    <t>2023-09-30 17:39:00</t>
  </si>
  <si>
    <t>2023-09-30 18:34:00</t>
  </si>
  <si>
    <t>2023-09-30 21:18:00</t>
  </si>
  <si>
    <t>2023-09-30 22:30:00</t>
  </si>
  <si>
    <t>2023-10-01 20:19:00</t>
  </si>
  <si>
    <t>2023-10-02 18:27:00</t>
  </si>
  <si>
    <t>2023-10-02 20:43:00</t>
  </si>
  <si>
    <t>2023-10-02 20:58:00</t>
  </si>
  <si>
    <t>2023-10-02 21:07:00</t>
  </si>
  <si>
    <t>2023-10-03 15:28:00</t>
  </si>
  <si>
    <t>2023-10-03 16:01:00</t>
  </si>
  <si>
    <t>2023-10-03 16:56:00</t>
  </si>
  <si>
    <t>2023-10-03 22:51:00</t>
  </si>
  <si>
    <t>2023-10-04 16:26:00</t>
  </si>
  <si>
    <t>2023-10-04 18:17:00</t>
  </si>
  <si>
    <t>2023-10-04 20:48:00</t>
  </si>
  <si>
    <t>2023-10-04 20:54:00</t>
  </si>
  <si>
    <t>2023-10-04 22:36:00</t>
  </si>
  <si>
    <t>2023-10-05 16:54:00</t>
  </si>
  <si>
    <t>2023-10-05 17:09:00</t>
  </si>
  <si>
    <t>2023-10-05 18:52:00</t>
  </si>
  <si>
    <t>2023-10-05 19:10:00</t>
  </si>
  <si>
    <t>2023-10-05 19:20:00</t>
  </si>
  <si>
    <t>2023-10-05 20:21:00</t>
  </si>
  <si>
    <t>2023-10-05 21:05:00</t>
  </si>
  <si>
    <t>2023-10-06 16:38:00</t>
  </si>
  <si>
    <t>2023-10-06 16:44:00</t>
  </si>
  <si>
    <t>2023-10-06 22:54:00</t>
  </si>
  <si>
    <t>2023-10-07 15:39:00</t>
  </si>
  <si>
    <t>2023-10-07 16:00:00</t>
  </si>
  <si>
    <t>2023-10-07 20:37:00</t>
  </si>
  <si>
    <t>2023-10-07 21:30:00</t>
  </si>
  <si>
    <t>2023-10-07 22:33:00</t>
  </si>
  <si>
    <t>2023-10-07 22:46:00</t>
  </si>
  <si>
    <t>2023-10-08 16:36:00</t>
  </si>
  <si>
    <t>2023-10-08 18:06:00</t>
  </si>
  <si>
    <t>2023-10-08 21:35:00</t>
  </si>
  <si>
    <t>2023-10-08 22:50:00</t>
  </si>
  <si>
    <t>2023-10-09 16:24:00</t>
  </si>
  <si>
    <t>2023-10-10 17:10:00</t>
  </si>
  <si>
    <t>2023-10-10 17:27:00</t>
  </si>
  <si>
    <t>2023-10-10 18:15:00</t>
  </si>
  <si>
    <t>2023-10-10 20:44:00</t>
  </si>
  <si>
    <t>2023-10-10 22:10:00</t>
  </si>
  <si>
    <t>2023-10-11 15:06:00</t>
  </si>
  <si>
    <t>2023-10-12 17:25:00</t>
  </si>
  <si>
    <t>2023-10-12 18:25:00</t>
  </si>
  <si>
    <t>2023-10-12 21:17:00</t>
  </si>
  <si>
    <t>2023-10-12 21:27:00</t>
  </si>
  <si>
    <t>2023-10-12 21:50:00</t>
  </si>
  <si>
    <t>2023-10-13 15:40:00</t>
  </si>
  <si>
    <t>2023-10-13 16:04:00</t>
  </si>
  <si>
    <t>2023-10-13 20:04:00</t>
  </si>
  <si>
    <t>2023-10-13 20:59:00</t>
  </si>
  <si>
    <t>2023-10-13 22:12:00</t>
  </si>
  <si>
    <t>2023-10-13 22:30:00</t>
  </si>
  <si>
    <t>2023-10-14 16:00:00</t>
  </si>
  <si>
    <t>2023-10-14 16:05:00</t>
  </si>
  <si>
    <t>2023-10-14 18:56:00</t>
  </si>
  <si>
    <t>2023-10-14 21:01:00</t>
  </si>
  <si>
    <t>2023-10-14 21:07:00</t>
  </si>
  <si>
    <t>2023-10-14 21:39:00</t>
  </si>
  <si>
    <t>2023-10-14 22:11:00</t>
  </si>
  <si>
    <t>2023-10-14 22:13:00</t>
  </si>
  <si>
    <t>2023-10-15 15:00:00</t>
  </si>
  <si>
    <t>2023-10-15 16:47:00</t>
  </si>
  <si>
    <t>2023-10-15 17:34:00</t>
  </si>
  <si>
    <t>2023-10-17 17:35:00</t>
  </si>
  <si>
    <t>2023-10-17 19:54:00</t>
  </si>
  <si>
    <t>2023-10-17 20:43:00</t>
  </si>
  <si>
    <t>2023-10-17 22:49:00</t>
  </si>
  <si>
    <t>2023-10-18 15:17:00</t>
  </si>
  <si>
    <t>2023-10-18 15:52:00</t>
  </si>
  <si>
    <t>2023-10-18 18:34:00</t>
  </si>
  <si>
    <t>2023-10-18 20:12:00</t>
  </si>
  <si>
    <t>2023-10-19 16:14:00</t>
  </si>
  <si>
    <t>2023-10-19 17:09:00</t>
  </si>
  <si>
    <t>2023-10-19 17:35:00</t>
  </si>
  <si>
    <t>2023-10-19 18:12:00</t>
  </si>
  <si>
    <t>2023-10-19 18:21:00</t>
  </si>
  <si>
    <t>2023-10-19 19:14:00</t>
  </si>
  <si>
    <t>2023-10-19 19:22:00</t>
  </si>
  <si>
    <t>2023-10-19 20:09:00</t>
  </si>
  <si>
    <t>2023-10-19 20:45:00</t>
  </si>
  <si>
    <t>2023-10-19 21:45:00</t>
  </si>
  <si>
    <t>2023-10-20 18:50:00</t>
  </si>
  <si>
    <t>2023-10-20 19:27:00</t>
  </si>
  <si>
    <t>2023-10-20 22:27:00</t>
  </si>
  <si>
    <t>2023-10-21 16:12:00</t>
  </si>
  <si>
    <t>2023-10-21 16:24:00</t>
  </si>
  <si>
    <t>2023-10-21 18:17:00</t>
  </si>
  <si>
    <t>2023-10-22 16:13:00</t>
  </si>
  <si>
    <t>2023-10-22 16:54:00</t>
  </si>
  <si>
    <t>2023-10-22 20:26:00</t>
  </si>
  <si>
    <t>2023-10-22 20:42:00</t>
  </si>
  <si>
    <t>2023-10-23 20:43:00</t>
  </si>
  <si>
    <t>2023-10-23 21:22:00</t>
  </si>
  <si>
    <t>2023-10-23 22:53:00</t>
  </si>
  <si>
    <t>2023-10-24 15:40:00</t>
  </si>
  <si>
    <t>2023-10-24 16:54:00</t>
  </si>
  <si>
    <t>2023-10-25 17:51:00</t>
  </si>
  <si>
    <t>2023-10-25 19:27:00</t>
  </si>
  <si>
    <t>2023-10-25 21:48:00</t>
  </si>
  <si>
    <t>2023-10-25 22:02:00</t>
  </si>
  <si>
    <t>2023-10-26 15:16:00</t>
  </si>
  <si>
    <t>2023-10-26 16:47:00</t>
  </si>
  <si>
    <t>2023-10-26 18:03:00</t>
  </si>
  <si>
    <t>2023-10-26 20:31:00</t>
  </si>
  <si>
    <t>2023-10-26 20:43:00</t>
  </si>
  <si>
    <t>2023-10-26 21:50:00</t>
  </si>
  <si>
    <t>2023-10-27 21:44:00</t>
  </si>
  <si>
    <t>2023-10-27 22:11:00</t>
  </si>
  <si>
    <t>2023-10-28 17:31:00</t>
  </si>
  <si>
    <t>2023-10-28 17:50:00</t>
  </si>
  <si>
    <t>2023-10-28 18:05:00</t>
  </si>
  <si>
    <t>2023-10-28 21:43:00</t>
  </si>
  <si>
    <t>2023-10-28 22:43:00</t>
  </si>
  <si>
    <t>2023-10-29 17:42:00</t>
  </si>
  <si>
    <t>2023-10-29 21:37:00</t>
  </si>
  <si>
    <t>2023-10-29 21:48:00</t>
  </si>
  <si>
    <t>2023-10-29 22:10:00</t>
  </si>
  <si>
    <t>2023-10-30 16:01:00</t>
  </si>
  <si>
    <t>2023-10-30 18:18:00</t>
  </si>
  <si>
    <t>2023-10-30 19:40:00</t>
  </si>
  <si>
    <t>2023-10-30 20:57:00</t>
  </si>
  <si>
    <t>2023-10-30 20:58:00</t>
  </si>
  <si>
    <t>2023-10-30 21:16:00</t>
  </si>
  <si>
    <t>2023-10-30 21:26:00</t>
  </si>
  <si>
    <t>2023-10-30 22:48:00</t>
  </si>
  <si>
    <t>2023-10-31 18:08:00</t>
  </si>
  <si>
    <t>2023-10-31 21:14:00</t>
  </si>
  <si>
    <t>2023-11-01 16:31:00</t>
  </si>
  <si>
    <t>2023-11-01 17:29:00</t>
  </si>
  <si>
    <t>2023-11-01 20:44:00</t>
  </si>
  <si>
    <t>2023-11-02 16:15:00</t>
  </si>
  <si>
    <t>2023-11-02 17:40:00</t>
  </si>
  <si>
    <t>2023-11-02 18:34:00</t>
  </si>
  <si>
    <t>2023-11-02 20:46:00</t>
  </si>
  <si>
    <t>2023-11-03 18:54:00</t>
  </si>
  <si>
    <t>2023-11-03 19:11:00</t>
  </si>
  <si>
    <t>2023-11-03 20:04:00</t>
  </si>
  <si>
    <t>2023-11-03 20:19:00</t>
  </si>
  <si>
    <t>2023-11-03 21:23:00</t>
  </si>
  <si>
    <t>2023-11-03 21:57:00</t>
  </si>
  <si>
    <t>2023-11-04 15:21:00</t>
  </si>
  <si>
    <t>2023-11-05 15:35:00</t>
  </si>
  <si>
    <t>2023-11-05 17:19:00</t>
  </si>
  <si>
    <t>2023-11-05 17:58:00</t>
  </si>
  <si>
    <t>2023-11-05 18:28:00</t>
  </si>
  <si>
    <t>2023-11-05 19:02:00</t>
  </si>
  <si>
    <t>2023-11-05 20:49:00</t>
  </si>
  <si>
    <t>2023-11-05 20:50:00</t>
  </si>
  <si>
    <t>2023-11-05 21:42:00</t>
  </si>
  <si>
    <t>2023-11-06 16:25:00</t>
  </si>
  <si>
    <t>2023-11-06 17:35:00</t>
  </si>
  <si>
    <t>2023-11-06 21:24:00</t>
  </si>
  <si>
    <t>2023-11-07 15:39:00</t>
  </si>
  <si>
    <t>2023-11-07 18:04:00</t>
  </si>
  <si>
    <t>2023-11-07 19:41:00</t>
  </si>
  <si>
    <t>2023-11-07 19:52:00</t>
  </si>
  <si>
    <t>2023-11-08 17:26:00</t>
  </si>
  <si>
    <t>2023-11-08 18:42:00</t>
  </si>
  <si>
    <t>2023-11-08 19:16:00</t>
  </si>
  <si>
    <t>2023-11-08 19:49:00</t>
  </si>
  <si>
    <t>2023-11-09 16:03:00</t>
  </si>
  <si>
    <t>2023-11-09 20:48:00</t>
  </si>
  <si>
    <t>2023-11-09 21:37:00</t>
  </si>
  <si>
    <t>2023-11-09 21:52:00</t>
  </si>
  <si>
    <t>2023-11-10 20:15:00</t>
  </si>
  <si>
    <t>2023-11-10 22:26:00</t>
  </si>
  <si>
    <t>2023-11-10 22:47:00</t>
  </si>
  <si>
    <t>2023-11-11 16:18:00</t>
  </si>
  <si>
    <t>2023-11-11 17:36:00</t>
  </si>
  <si>
    <t>2023-11-11 17:44:00</t>
  </si>
  <si>
    <t>2023-11-11 17:58:00</t>
  </si>
  <si>
    <t>2023-11-11 18:17:00</t>
  </si>
  <si>
    <t>2023-11-11 18:24:00</t>
  </si>
  <si>
    <t>2023-11-11 22:05:00</t>
  </si>
  <si>
    <t>2023-11-12 15:57:00</t>
  </si>
  <si>
    <t>2023-11-12 16:39:00</t>
  </si>
  <si>
    <t>2023-11-12 16:43:00</t>
  </si>
  <si>
    <t>2023-11-12 22:20:00</t>
  </si>
  <si>
    <t>2023-11-13 17:08:00</t>
  </si>
  <si>
    <t>2023-11-13 17:47:00</t>
  </si>
  <si>
    <t>2023-11-13 20:16:00</t>
  </si>
  <si>
    <t>2023-11-13 20:26:00</t>
  </si>
  <si>
    <t>2023-11-13 20:51:00</t>
  </si>
  <si>
    <t>2023-11-13 22:12:00</t>
  </si>
  <si>
    <t>2023-11-13 22:19:00</t>
  </si>
  <si>
    <t>2023-11-14 15:00:00</t>
  </si>
  <si>
    <t>2023-11-14 22:09:00</t>
  </si>
  <si>
    <t>2023-11-15 20:37:00</t>
  </si>
  <si>
    <t>2023-11-15 21:37:00</t>
  </si>
  <si>
    <t>2023-11-16 15:47:00</t>
  </si>
  <si>
    <t>2023-11-16 16:46:00</t>
  </si>
  <si>
    <t>2023-11-16 16:48:00</t>
  </si>
  <si>
    <t>2023-11-16 18:24:00</t>
  </si>
  <si>
    <t>2023-11-16 19:54:00</t>
  </si>
  <si>
    <t>2023-11-16 20:25:00</t>
  </si>
  <si>
    <t>2023-11-17 19:13:00</t>
  </si>
  <si>
    <t>2023-11-17 19:33:00</t>
  </si>
  <si>
    <t>2023-11-18 17:54:00</t>
  </si>
  <si>
    <t>2023-11-18 19:27:00</t>
  </si>
  <si>
    <t>2023-11-18 21:04:00</t>
  </si>
  <si>
    <t>2023-11-18 22:34:00</t>
  </si>
  <si>
    <t>2023-11-19 16:55:00</t>
  </si>
  <si>
    <t>2023-11-20 15:54:00</t>
  </si>
  <si>
    <t>2023-11-20 16:27:00</t>
  </si>
  <si>
    <t>2023-11-20 18:40:00</t>
  </si>
  <si>
    <t>2023-11-20 19:21:00</t>
  </si>
  <si>
    <t>2023-11-21 15:21:00</t>
  </si>
  <si>
    <t>2023-11-21 16:55:00</t>
  </si>
  <si>
    <t>2023-11-21 17:36:00</t>
  </si>
  <si>
    <t>2023-11-21 18:47:00</t>
  </si>
  <si>
    <t>2023-11-21 21:22:00</t>
  </si>
  <si>
    <t>2023-11-21 22:25:00</t>
  </si>
  <si>
    <t>2023-11-22 16:48:00</t>
  </si>
  <si>
    <t>2023-11-23 15:26:00</t>
  </si>
  <si>
    <t>2023-11-23 18:06:00</t>
  </si>
  <si>
    <t>2023-11-23 21:58:00</t>
  </si>
  <si>
    <t>2023-11-24 16:18:00</t>
  </si>
  <si>
    <t>2023-11-24 17:07:00</t>
  </si>
  <si>
    <t>2023-11-24 21:53:00</t>
  </si>
  <si>
    <t>2023-11-24 22:28:00</t>
  </si>
  <si>
    <t>2023-11-25 18:05:00</t>
  </si>
  <si>
    <t>2023-11-25 19:56:00</t>
  </si>
  <si>
    <t>2023-11-25 21:28:00</t>
  </si>
  <si>
    <t>2023-11-25 21:52:00</t>
  </si>
  <si>
    <t>2023-11-25 22:18:00</t>
  </si>
  <si>
    <t>2023-11-26 15:08:00</t>
  </si>
  <si>
    <t>2023-11-26 17:21:00</t>
  </si>
  <si>
    <t>2023-11-26 17:47:00</t>
  </si>
  <si>
    <t>2023-11-26 18:58:00</t>
  </si>
  <si>
    <t>2023-11-26 20:33:00</t>
  </si>
  <si>
    <t>2023-11-26 21:34:00</t>
  </si>
  <si>
    <t>2023-11-27 19:29:00</t>
  </si>
  <si>
    <t>2023-11-27 19:36:00</t>
  </si>
  <si>
    <t>2023-11-27 20:10:00</t>
  </si>
  <si>
    <t>2023-11-28 16:38:00</t>
  </si>
  <si>
    <t>2023-11-28 18:49:00</t>
  </si>
  <si>
    <t>2023-11-28 20:28:00</t>
  </si>
  <si>
    <t>2023-11-29 15:56:00</t>
  </si>
  <si>
    <t>2023-11-29 16:14:00</t>
  </si>
  <si>
    <t>2023-11-29 21:06:00</t>
  </si>
  <si>
    <t>2023-11-29 21:36:00</t>
  </si>
  <si>
    <t>2023-11-29 22:31:00</t>
  </si>
  <si>
    <t>2023-11-30 15:02:00</t>
  </si>
  <si>
    <t>2023-11-30 18:19:00</t>
  </si>
  <si>
    <t>2023-11-30 19:46:00</t>
  </si>
  <si>
    <t>2023-11-30 22:54:00</t>
  </si>
  <si>
    <t>2023-12-01 15:27:00</t>
  </si>
  <si>
    <t>2023-12-01 16:57:00</t>
  </si>
  <si>
    <t>2023-12-01 19:13:00</t>
  </si>
  <si>
    <t>2023-12-01 20:43:00</t>
  </si>
  <si>
    <t>2023-12-01 21:51:00</t>
  </si>
  <si>
    <t>2023-12-02 17:03:00</t>
  </si>
  <si>
    <t>2023-12-02 18:31:00</t>
  </si>
  <si>
    <t>2023-12-02 20:58:00</t>
  </si>
  <si>
    <t>2023-12-03 15:27:00</t>
  </si>
  <si>
    <t>2023-12-03 15:34:00</t>
  </si>
  <si>
    <t>2023-12-03 16:09:00</t>
  </si>
  <si>
    <t>2023-12-03 16:47:00</t>
  </si>
  <si>
    <t>2023-12-03 17:15:00</t>
  </si>
  <si>
    <t>2023-12-03 19:12:00</t>
  </si>
  <si>
    <t>2023-12-03 19:34:00</t>
  </si>
  <si>
    <t>2023-12-03 20:02:00</t>
  </si>
  <si>
    <t>2023-12-03 20:16:00</t>
  </si>
  <si>
    <t>2023-12-03 20:25:00</t>
  </si>
  <si>
    <t>2023-12-03 20:45:00</t>
  </si>
  <si>
    <t>2023-12-03 22:44:00</t>
  </si>
  <si>
    <t>2023-12-04 17:19:00</t>
  </si>
  <si>
    <t>2023-12-04 18:08:00</t>
  </si>
  <si>
    <t>2023-12-04 22:42:00</t>
  </si>
  <si>
    <t>2023-12-05 17:06:00</t>
  </si>
  <si>
    <t>2023-12-05 17:19:00</t>
  </si>
  <si>
    <t>2023-12-05 19:00:00</t>
  </si>
  <si>
    <t>2023-12-05 22:35:00</t>
  </si>
  <si>
    <t>2023-12-06 15:11:00</t>
  </si>
  <si>
    <t>2023-12-06 15:55:00</t>
  </si>
  <si>
    <t>2023-12-06 16:04:00</t>
  </si>
  <si>
    <t>2023-12-06 17:50:00</t>
  </si>
  <si>
    <t>2023-12-06 18:29:00</t>
  </si>
  <si>
    <t>2023-12-06 21:43:00</t>
  </si>
  <si>
    <t>2023-12-06 22:39:00</t>
  </si>
  <si>
    <t>2023-12-07 15:42:00</t>
  </si>
  <si>
    <t>2023-12-07 19:25:00</t>
  </si>
  <si>
    <t>2023-12-07 19:59:00</t>
  </si>
  <si>
    <t>2023-12-07 21:01:00</t>
  </si>
  <si>
    <t>2023-12-08 16:51:00</t>
  </si>
  <si>
    <t>2023-12-08 18:19:00</t>
  </si>
  <si>
    <t>2023-12-08 18:58:00</t>
  </si>
  <si>
    <t>2023-12-09 15:48:00</t>
  </si>
  <si>
    <t>2023-12-09 17:01:00</t>
  </si>
  <si>
    <t>2023-12-09 17:45:00</t>
  </si>
  <si>
    <t>2023-12-09 21:32:00</t>
  </si>
  <si>
    <t>2023-12-10 15:13:00</t>
  </si>
  <si>
    <t>2023-12-10 16:12:00</t>
  </si>
  <si>
    <t>2023-12-10 20:05:00</t>
  </si>
  <si>
    <t>2023-12-11 17:04:00</t>
  </si>
  <si>
    <t>2023-12-11 19:26:00</t>
  </si>
  <si>
    <t>2023-12-11 22:12:00</t>
  </si>
  <si>
    <t>2023-12-12 16:22:00</t>
  </si>
  <si>
    <t>2023-12-12 16:52:00</t>
  </si>
  <si>
    <t>2023-12-12 21:15:00</t>
  </si>
  <si>
    <t>2023-12-12 22:48:00</t>
  </si>
  <si>
    <t>2023-12-13 20:39:00</t>
  </si>
  <si>
    <t>2023-12-14 15:26:00</t>
  </si>
  <si>
    <t>2023-12-14 16:35:00</t>
  </si>
  <si>
    <t>2023-12-14 16:50:00</t>
  </si>
  <si>
    <t>2023-12-14 17:43:00</t>
  </si>
  <si>
    <t>2023-12-14 20:28:00</t>
  </si>
  <si>
    <t>2023-12-14 21:27:00</t>
  </si>
  <si>
    <t>2023-12-15 17:15:00</t>
  </si>
  <si>
    <t>2023-12-15 18:24:00</t>
  </si>
  <si>
    <t>2023-12-15 21:43:00</t>
  </si>
  <si>
    <t>2023-12-15 22:38:00</t>
  </si>
  <si>
    <t>2023-12-16 15:57:00</t>
  </si>
  <si>
    <t>2023-12-16 16:53:00</t>
  </si>
  <si>
    <t>2023-12-16 20:36:00</t>
  </si>
  <si>
    <t>2023-12-16 21:23:00</t>
  </si>
  <si>
    <t>2023-12-17 17:42:00</t>
  </si>
  <si>
    <t>2023-12-17 18:18:00</t>
  </si>
  <si>
    <t>2023-12-17 19:51:00</t>
  </si>
  <si>
    <t>2023-12-17 20:23:00</t>
  </si>
  <si>
    <t>2023-12-17 21:05:00</t>
  </si>
  <si>
    <t>2023-12-18 20:44:00</t>
  </si>
  <si>
    <t>2023-12-18 21:33:00</t>
  </si>
  <si>
    <t>2023-12-18 21:57:00</t>
  </si>
  <si>
    <t>2023-12-19 15:16:00</t>
  </si>
  <si>
    <t>2023-12-19 17:01:00</t>
  </si>
  <si>
    <t>2023-12-19 21:34:00</t>
  </si>
  <si>
    <t>2023-12-19 22:08:00</t>
  </si>
  <si>
    <t>2023-12-21 17:13:00</t>
  </si>
  <si>
    <t>2023-12-21 19:13:00</t>
  </si>
  <si>
    <t>2023-12-21 20:50:00</t>
  </si>
  <si>
    <t>2023-12-22 15:14:00</t>
  </si>
  <si>
    <t>2023-12-22 16:10:00</t>
  </si>
  <si>
    <t>2023-12-22 17:42:00</t>
  </si>
  <si>
    <t>2023-12-22 18:17:00</t>
  </si>
  <si>
    <t>2023-12-22 18:44:00</t>
  </si>
  <si>
    <t>2023-12-22 19:41:00</t>
  </si>
  <si>
    <t>2023-12-22 22:44:00</t>
  </si>
  <si>
    <t>2023-12-23 21:54:00</t>
  </si>
  <si>
    <t>2023-12-24 16:39:00</t>
  </si>
  <si>
    <t>2023-12-24 19:38:00</t>
  </si>
  <si>
    <t>2023-12-24 21:04:00</t>
  </si>
  <si>
    <t>2023-12-25 15:53:00</t>
  </si>
  <si>
    <t>2023-12-25 16:37:00</t>
  </si>
  <si>
    <t>2023-12-25 17:28:00</t>
  </si>
  <si>
    <t>2023-12-25 22:00:00</t>
  </si>
  <si>
    <t>2023-12-26 16:32:00</t>
  </si>
  <si>
    <t>2023-12-26 17:57:00</t>
  </si>
  <si>
    <t>2023-12-26 18:31:00</t>
  </si>
  <si>
    <t>2023-12-26 21:25:00</t>
  </si>
  <si>
    <t>2023-12-26 21:59:00</t>
  </si>
  <si>
    <t>2023-12-27 19:10:00</t>
  </si>
  <si>
    <t>2023-12-27 19:13:00</t>
  </si>
  <si>
    <t>2023-12-27 20:01:00</t>
  </si>
  <si>
    <t>2023-12-27 21:03:00</t>
  </si>
  <si>
    <t>2023-12-27 21:18:00</t>
  </si>
  <si>
    <t>2023-12-28 15:58:00</t>
  </si>
  <si>
    <t>2023-12-28 17:21:00</t>
  </si>
  <si>
    <t>2023-12-28 19:06:00</t>
  </si>
  <si>
    <t>2023-12-28 19:37:00</t>
  </si>
  <si>
    <t>2023-12-28 20:21:00</t>
  </si>
  <si>
    <t>2023-12-29 15:41:00</t>
  </si>
  <si>
    <t>2023-12-29 17:30:00</t>
  </si>
  <si>
    <t>2023-12-29 18:58:00</t>
  </si>
  <si>
    <t>2023-12-29 19:34:00</t>
  </si>
  <si>
    <t>2023-12-29 21:03:00</t>
  </si>
  <si>
    <t>2023-12-30 16:11:00</t>
  </si>
  <si>
    <t>2023-12-30 16:33:00</t>
  </si>
  <si>
    <t>2023-12-30 16:46:00</t>
  </si>
  <si>
    <t>2023-12-30 17:45:00</t>
  </si>
  <si>
    <t>2023-12-30 20:43:00</t>
  </si>
  <si>
    <t>2023-12-30 21:03:00</t>
  </si>
  <si>
    <t>2023-12-30 22:15:00</t>
  </si>
  <si>
    <t>2023-12-31 15:48:00</t>
  </si>
  <si>
    <t>2023-12-31 22:00:00</t>
  </si>
  <si>
    <t>2024-01-01 17:20:00</t>
  </si>
  <si>
    <t>2024-01-01 22:20:00</t>
  </si>
  <si>
    <t>2024-01-02 15:19:00</t>
  </si>
  <si>
    <t>2024-01-02 15:21:00</t>
  </si>
  <si>
    <t>2024-01-02 15:40:00</t>
  </si>
  <si>
    <t>2024-01-02 15:49:00</t>
  </si>
  <si>
    <t>2024-01-02 16:15:00</t>
  </si>
  <si>
    <t>2024-01-02 17:03:00</t>
  </si>
  <si>
    <t>2024-01-02 18:38:00</t>
  </si>
  <si>
    <t>2024-01-02 19:33:00</t>
  </si>
  <si>
    <t>2024-01-02 19:46:00</t>
  </si>
  <si>
    <t>2024-01-02 20:11:00</t>
  </si>
  <si>
    <t>2024-01-02 20:18:00</t>
  </si>
  <si>
    <t>2024-01-02 22:51:00</t>
  </si>
  <si>
    <t>2024-01-03 16:44:00</t>
  </si>
  <si>
    <t>2024-01-03 18:20:00</t>
  </si>
  <si>
    <t>2024-01-03 20:58:00</t>
  </si>
  <si>
    <t>2024-01-04 15:30:00</t>
  </si>
  <si>
    <t>2024-01-04 18:51:00</t>
  </si>
  <si>
    <t>2024-01-04 19:14:00</t>
  </si>
  <si>
    <t>2024-01-04 20:41:00</t>
  </si>
  <si>
    <t>2024-01-04 22:00:00</t>
  </si>
  <si>
    <t>2024-01-05 15:52:00</t>
  </si>
  <si>
    <t>2024-01-05 17:12:00</t>
  </si>
  <si>
    <t>2024-01-05 21:19:00</t>
  </si>
  <si>
    <t>2024-01-05 22:19:00</t>
  </si>
  <si>
    <t>2024-01-06 19:06:00</t>
  </si>
  <si>
    <t>2024-01-06 19:50:00</t>
  </si>
  <si>
    <t>2024-01-06 20:14:00</t>
  </si>
  <si>
    <t>2024-01-06 20:22:00</t>
  </si>
  <si>
    <t>2024-01-06 21:47:00</t>
  </si>
  <si>
    <t>2024-01-07 16:41:00</t>
  </si>
  <si>
    <t>2024-01-07 16:50:00</t>
  </si>
  <si>
    <t>2024-01-07 16:59:00</t>
  </si>
  <si>
    <t>2024-01-07 21:43:00</t>
  </si>
  <si>
    <t>2024-01-07 21:55:00</t>
  </si>
  <si>
    <t>2024-01-07 22:20:00</t>
  </si>
  <si>
    <t>2024-01-08 18:17:00</t>
  </si>
  <si>
    <t>2024-01-08 22:32:00</t>
  </si>
  <si>
    <t>2024-01-08 22:56:00</t>
  </si>
  <si>
    <t>2024-01-09 15:20:00</t>
  </si>
  <si>
    <t>2024-01-09 17:29:00</t>
  </si>
  <si>
    <t>2024-01-09 20:04:00</t>
  </si>
  <si>
    <t>2024-01-10 16:56:00</t>
  </si>
  <si>
    <t>2024-01-10 19:31:00</t>
  </si>
  <si>
    <t>2024-01-10 21:13:00</t>
  </si>
  <si>
    <t>2024-01-10 21:50:00</t>
  </si>
  <si>
    <t>2024-01-11 15:30:00</t>
  </si>
  <si>
    <t>2024-01-11 18:59:00</t>
  </si>
  <si>
    <t>2024-01-11 19:09:00</t>
  </si>
  <si>
    <t>2024-01-11 20:17:00</t>
  </si>
  <si>
    <t>2024-01-11 21:31:00</t>
  </si>
  <si>
    <t>2024-01-12 17:10:00</t>
  </si>
  <si>
    <t>2024-01-12 19:24:00</t>
  </si>
  <si>
    <t>2024-01-12 21:25:00</t>
  </si>
  <si>
    <t>2024-01-13 15:08:00</t>
  </si>
  <si>
    <t>2024-01-13 15:11:00</t>
  </si>
  <si>
    <t>2024-01-13 16:43:00</t>
  </si>
  <si>
    <t>2024-01-13 17:29:00</t>
  </si>
  <si>
    <t>2024-01-13 19:34:00</t>
  </si>
  <si>
    <t>2024-01-13 20:49:00</t>
  </si>
  <si>
    <t>2024-01-13 21:53:00</t>
  </si>
  <si>
    <t>2024-01-14 15:51:00</t>
  </si>
  <si>
    <t>2024-01-14 18:39:00</t>
  </si>
  <si>
    <t>2024-01-14 19:32:00</t>
  </si>
  <si>
    <t>2024-01-14 22:46:00</t>
  </si>
  <si>
    <t>2024-01-15 15:07:00</t>
  </si>
  <si>
    <t>2024-01-15 15:19:00</t>
  </si>
  <si>
    <t>2024-01-15 21:27:00</t>
  </si>
  <si>
    <t>2024-01-16 16:00:00</t>
  </si>
  <si>
    <t>2024-01-16 16:29:00</t>
  </si>
  <si>
    <t>2024-01-16 17:13:00</t>
  </si>
  <si>
    <t>2024-01-16 20:22:00</t>
  </si>
  <si>
    <t>2024-01-16 21:59:00</t>
  </si>
  <si>
    <t>2024-01-16 22:05:00</t>
  </si>
  <si>
    <t>2024-01-17 18:05:00</t>
  </si>
  <si>
    <t>2024-01-17 18:58:00</t>
  </si>
  <si>
    <t>2024-01-17 19:30:00</t>
  </si>
  <si>
    <t>2024-01-17 22:11:00</t>
  </si>
  <si>
    <t>2024-01-18 17:06:00</t>
  </si>
  <si>
    <t>2024-01-18 18:16:00</t>
  </si>
  <si>
    <t>2024-01-18 20:57:00</t>
  </si>
  <si>
    <t>2024-01-18 21:23:00</t>
  </si>
  <si>
    <t>2024-01-19 15:53:00</t>
  </si>
  <si>
    <t>2024-01-19 19:26:00</t>
  </si>
  <si>
    <t>2024-01-19 20:29:00</t>
  </si>
  <si>
    <t>2024-01-19 21:52:00</t>
  </si>
  <si>
    <t>2024-01-20 16:31:00</t>
  </si>
  <si>
    <t>2024-01-20 17:03:00</t>
  </si>
  <si>
    <t>2024-01-20 17:24:00</t>
  </si>
  <si>
    <t>2024-01-20 18:18:00</t>
  </si>
  <si>
    <t>2024-01-20 21:20:00</t>
  </si>
  <si>
    <t>2024-01-21 17:53:00</t>
  </si>
  <si>
    <t>2024-01-21 18:26:00</t>
  </si>
  <si>
    <t>2024-01-21 19:42:00</t>
  </si>
  <si>
    <t>2024-01-21 21:45:00</t>
  </si>
  <si>
    <t>2024-01-22 15:14:00</t>
  </si>
  <si>
    <t>2024-01-22 16:30:00</t>
  </si>
  <si>
    <t>2024-01-22 19:36:00</t>
  </si>
  <si>
    <t>2024-01-22 21:46:00</t>
  </si>
  <si>
    <t>2024-01-23 15:25:00</t>
  </si>
  <si>
    <t>2024-01-23 15:45:00</t>
  </si>
  <si>
    <t>2024-01-23 16:04:00</t>
  </si>
  <si>
    <t>2024-01-23 17:58:00</t>
  </si>
  <si>
    <t>2024-01-24 15:18:00</t>
  </si>
  <si>
    <t>2024-01-24 17:11:00</t>
  </si>
  <si>
    <t>2024-01-24 19:50:00</t>
  </si>
  <si>
    <t>2024-01-24 21:22:00</t>
  </si>
  <si>
    <t>2024-01-25 16:09:00</t>
  </si>
  <si>
    <t>2024-01-25 18:46:00</t>
  </si>
  <si>
    <t>2024-01-25 19:52:00</t>
  </si>
  <si>
    <t>2024-01-26 17:30:00</t>
  </si>
  <si>
    <t>2024-01-26 20:33:00</t>
  </si>
  <si>
    <t>2024-01-27 15:08:00</t>
  </si>
  <si>
    <t>2024-01-27 16:18:00</t>
  </si>
  <si>
    <t>2024-01-27 18:28:00</t>
  </si>
  <si>
    <t>2024-01-27 20:48:00</t>
  </si>
  <si>
    <t>2024-01-27 22:44:00</t>
  </si>
  <si>
    <t>2024-01-28 17:15:00</t>
  </si>
  <si>
    <t>2024-01-28 17:19:00</t>
  </si>
  <si>
    <t>2024-01-28 19:50:00</t>
  </si>
  <si>
    <t>2024-01-28 20:14:00</t>
  </si>
  <si>
    <t>2024-01-28 22:31:00</t>
  </si>
  <si>
    <t>2024-01-28 22:38:00</t>
  </si>
  <si>
    <t>2024-01-28 22:45:00</t>
  </si>
  <si>
    <t>2024-01-29 17:59:00</t>
  </si>
  <si>
    <t>2024-01-29 21:24:00</t>
  </si>
  <si>
    <t>2024-01-30 16:15:00</t>
  </si>
  <si>
    <t>2024-01-31 15:09:00</t>
  </si>
  <si>
    <t>2024-01-31 20:38:00</t>
  </si>
  <si>
    <t>2024-01-31 20:49:00</t>
  </si>
  <si>
    <t>2024-01-31 22:28:00</t>
  </si>
  <si>
    <t>2024-02-01 17:03:00</t>
  </si>
  <si>
    <t>2024-02-01 17:37:00</t>
  </si>
  <si>
    <t>2024-02-01 19:10:00</t>
  </si>
  <si>
    <t>2024-02-01 20:19:00</t>
  </si>
  <si>
    <t>2024-02-01 20:57:00</t>
  </si>
  <si>
    <t>2024-02-01 21:05:00</t>
  </si>
  <si>
    <t>2024-02-02 15:02:00</t>
  </si>
  <si>
    <t>2024-02-02 16:20:00</t>
  </si>
  <si>
    <t>2024-02-02 20:00:00</t>
  </si>
  <si>
    <t>2024-02-02 20:36:00</t>
  </si>
  <si>
    <t>2024-02-03 15:45:00</t>
  </si>
  <si>
    <t>2024-02-03 21:42:00</t>
  </si>
  <si>
    <t>2024-02-03 22:13:00</t>
  </si>
  <si>
    <t>2024-02-03 22:30:00</t>
  </si>
  <si>
    <t>2024-02-04 16:20:00</t>
  </si>
  <si>
    <t>2024-02-04 19:52:00</t>
  </si>
  <si>
    <t>2024-02-05 19:07:00</t>
  </si>
  <si>
    <t>2024-02-05 20:12:00</t>
  </si>
  <si>
    <t>2024-02-06 16:02:00</t>
  </si>
  <si>
    <t>2024-02-06 20:58:00</t>
  </si>
  <si>
    <t>2024-02-07 17:14:00</t>
  </si>
  <si>
    <t>2024-02-07 17:59:00</t>
  </si>
  <si>
    <t>2024-02-07 19:12:00</t>
  </si>
  <si>
    <t>2024-02-07 19:28:00</t>
  </si>
  <si>
    <t>2024-02-07 19:38:00</t>
  </si>
  <si>
    <t>2024-02-07 21:09:00</t>
  </si>
  <si>
    <t>2024-02-07 21:11:00</t>
  </si>
  <si>
    <t>2024-02-07 22:45:00</t>
  </si>
  <si>
    <t>2024-02-08 15:34:00</t>
  </si>
  <si>
    <t>2024-02-08 18:14:00</t>
  </si>
  <si>
    <t>2024-02-08 18:52:00</t>
  </si>
  <si>
    <t>2024-02-09 15:32:00</t>
  </si>
  <si>
    <t>2024-02-10 15:18:00</t>
  </si>
  <si>
    <t>2024-02-10 15:23:00</t>
  </si>
  <si>
    <t>2024-02-10 20:32:00</t>
  </si>
  <si>
    <t>2024-02-10 20:59:00</t>
  </si>
  <si>
    <t>2024-02-11 15:03:00</t>
  </si>
  <si>
    <t>2024-02-11 22:27:00</t>
  </si>
  <si>
    <t>2024-02-12 15:37:00</t>
  </si>
  <si>
    <t>2024-02-12 16:00:00</t>
  </si>
  <si>
    <t>2024-02-12 19:50:00</t>
  </si>
  <si>
    <t>2024-02-13 17:10:00</t>
  </si>
  <si>
    <t>2024-02-13 17:33:00</t>
  </si>
  <si>
    <t>2024-02-13 19:18:00</t>
  </si>
  <si>
    <t>2024-02-14 20:55:00</t>
  </si>
  <si>
    <t>2024-02-14 21:22:00</t>
  </si>
  <si>
    <t>2024-02-14 21:37:00</t>
  </si>
  <si>
    <t>2024-02-15 15:04:00</t>
  </si>
  <si>
    <t>2024-02-15 17:42:00</t>
  </si>
  <si>
    <t>2024-02-15 19:01:00</t>
  </si>
  <si>
    <t>2024-02-15 20:13:00</t>
  </si>
  <si>
    <t>2024-02-15 20:37:00</t>
  </si>
  <si>
    <t>2024-02-15 21:55:00</t>
  </si>
  <si>
    <t>2024-02-15 22:06:00</t>
  </si>
  <si>
    <t>2024-02-16 18:59:00</t>
  </si>
  <si>
    <t>2024-02-16 20:31:00</t>
  </si>
  <si>
    <t>2024-02-16 22:56:00</t>
  </si>
  <si>
    <t>2024-02-17 21:19:00</t>
  </si>
  <si>
    <t>2024-02-18 18:11:00</t>
  </si>
  <si>
    <t>2024-02-18 18:15:00</t>
  </si>
  <si>
    <t>2024-02-18 20:18:00</t>
  </si>
  <si>
    <t>2024-02-18 22:36:00</t>
  </si>
  <si>
    <t>2024-02-19 15:33:00</t>
  </si>
  <si>
    <t>2024-02-19 17:13:00</t>
  </si>
  <si>
    <t>2024-02-20 18:18:00</t>
  </si>
  <si>
    <t>2024-02-20 18:20:00</t>
  </si>
  <si>
    <t>2024-02-20 20:38:00</t>
  </si>
  <si>
    <t>2024-02-20 20:48:00</t>
  </si>
  <si>
    <t>2024-02-20 21:27:00</t>
  </si>
  <si>
    <t>2024-02-20 21:42:00</t>
  </si>
  <si>
    <t>2024-02-20 22:03:00</t>
  </si>
  <si>
    <t>2024-02-20 22:44:00</t>
  </si>
  <si>
    <t>2024-02-21 17:57:00</t>
  </si>
  <si>
    <t>2024-02-21 18:09:00</t>
  </si>
  <si>
    <t>2024-02-22 16:26:00</t>
  </si>
  <si>
    <t>2024-02-22 17:40:00</t>
  </si>
  <si>
    <t>2024-02-22 17:53:00</t>
  </si>
  <si>
    <t>2024-02-22 18:07:00</t>
  </si>
  <si>
    <t>2024-02-22 18:52:00</t>
  </si>
  <si>
    <t>2024-02-22 21:54:00</t>
  </si>
  <si>
    <t>2024-02-22 22:22:00</t>
  </si>
  <si>
    <t>2024-02-23 18:17:00</t>
  </si>
  <si>
    <t>2024-02-23 20:12:00</t>
  </si>
  <si>
    <t>2024-02-23 21:44:00</t>
  </si>
  <si>
    <t>2024-02-24 15:57:00</t>
  </si>
  <si>
    <t>2024-02-24 16:56:00</t>
  </si>
  <si>
    <t>2024-02-24 19:56:00</t>
  </si>
  <si>
    <t>2024-02-25 19:07:00</t>
  </si>
  <si>
    <t>2024-02-26 15:00:00</t>
  </si>
  <si>
    <t>2024-02-26 15:56:00</t>
  </si>
  <si>
    <t>2024-02-26 21:03:00</t>
  </si>
  <si>
    <t>2024-02-27 18:38:00</t>
  </si>
  <si>
    <t>2024-02-28 16:03:00</t>
  </si>
  <si>
    <t>2024-02-28 17:57:00</t>
  </si>
  <si>
    <t>2024-02-28 19:58:00</t>
  </si>
  <si>
    <t>2024-02-28 20:53:00</t>
  </si>
  <si>
    <t>2024-02-29 22:14:00</t>
  </si>
  <si>
    <t>2024-02-29 22:54:00</t>
  </si>
  <si>
    <t>2024-03-01 16:16:00</t>
  </si>
  <si>
    <t>2024-03-01 17:26:00</t>
  </si>
  <si>
    <t>2024-03-01 18:30:00</t>
  </si>
  <si>
    <t>2024-03-02 15:10:00</t>
  </si>
  <si>
    <t>2024-03-02 15:40:00</t>
  </si>
  <si>
    <t>2024-03-02 16:05:00</t>
  </si>
  <si>
    <t>2024-03-02 19:11:00</t>
  </si>
  <si>
    <t>2024-03-02 19:27:00</t>
  </si>
  <si>
    <t>2024-03-03 15:16:00</t>
  </si>
  <si>
    <t>2024-03-03 16:30:00</t>
  </si>
  <si>
    <t>2024-03-03 17:03:00</t>
  </si>
  <si>
    <t>2024-03-03 19:43:00</t>
  </si>
  <si>
    <t>2024-03-03 19:53:00</t>
  </si>
  <si>
    <t>2024-03-03 21:19:00</t>
  </si>
  <si>
    <t>2024-03-04 20:03:00</t>
  </si>
  <si>
    <t>2024-03-04 20:15:00</t>
  </si>
  <si>
    <t>2024-03-04 21:26:00</t>
  </si>
  <si>
    <t>2024-03-04 21:34:00</t>
  </si>
  <si>
    <t>2024-03-04 21:56:00</t>
  </si>
  <si>
    <t>2024-03-05 15:53:00</t>
  </si>
  <si>
    <t>2024-03-05 18:38:00</t>
  </si>
  <si>
    <t>2024-03-05 19:25:00</t>
  </si>
  <si>
    <t>2024-03-06 15:42:00</t>
  </si>
  <si>
    <t>2024-03-06 15:47:00</t>
  </si>
  <si>
    <t>2024-03-06 19:15:00</t>
  </si>
  <si>
    <t>2024-03-07 15:49:00</t>
  </si>
  <si>
    <t>2024-03-07 19:18:00</t>
  </si>
  <si>
    <t>2024-03-07 20:11:00</t>
  </si>
  <si>
    <t>2024-03-07 22:38:00</t>
  </si>
  <si>
    <t>2024-03-08 20:02:00</t>
  </si>
  <si>
    <t>2024-03-08 20:24:00</t>
  </si>
  <si>
    <t>2024-03-08 20:36:00</t>
  </si>
  <si>
    <t>2024-03-09 15:56:00</t>
  </si>
  <si>
    <t>2024-03-09 19:18:00</t>
  </si>
  <si>
    <t>2024-03-09 22:57:00</t>
  </si>
  <si>
    <t>2024-03-10 17:45:00</t>
  </si>
  <si>
    <t>2024-03-10 19:44:00</t>
  </si>
  <si>
    <t>2024-03-10 20:31:00</t>
  </si>
  <si>
    <t>ID Заказа</t>
  </si>
  <si>
    <t>ID блюда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</si>
</sst>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53125" defaultRowHeight="15" customHeight="1" x14ac:dyDescent="0.35"/>
  <cols>
    <col min="1" max="1" width="3.26953125" customWidth="1"/>
    <col min="2" max="2" width="27.81640625" customWidth="1"/>
    <col min="3" max="3" width="5.54296875" customWidth="1"/>
    <col min="4" max="4" width="10.08984375" customWidth="1"/>
    <col min="5" max="5" width="13" customWidth="1"/>
    <col min="6" max="26" width="8.7265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1">
        <v>1</v>
      </c>
      <c r="B2" s="1" t="s">
        <v>5</v>
      </c>
      <c r="C2" s="1">
        <v>150</v>
      </c>
      <c r="D2" s="1" t="s">
        <v>6</v>
      </c>
      <c r="E2" s="1">
        <v>200</v>
      </c>
    </row>
    <row r="3" spans="1:5" ht="14.5" x14ac:dyDescent="0.35">
      <c r="A3" s="1">
        <v>2</v>
      </c>
      <c r="B3" s="1" t="s">
        <v>7</v>
      </c>
      <c r="C3" s="1">
        <v>100</v>
      </c>
      <c r="D3" s="1" t="s">
        <v>6</v>
      </c>
      <c r="E3" s="1">
        <v>250</v>
      </c>
    </row>
    <row r="4" spans="1:5" ht="14.5" x14ac:dyDescent="0.35">
      <c r="A4" s="1">
        <v>3</v>
      </c>
      <c r="B4" s="1" t="s">
        <v>8</v>
      </c>
      <c r="C4" s="1">
        <v>120</v>
      </c>
      <c r="D4" s="1" t="s">
        <v>6</v>
      </c>
      <c r="E4" s="1">
        <v>150</v>
      </c>
    </row>
    <row r="5" spans="1:5" ht="14.5" x14ac:dyDescent="0.35">
      <c r="A5" s="1">
        <v>4</v>
      </c>
      <c r="B5" s="1" t="s">
        <v>9</v>
      </c>
      <c r="C5" s="1">
        <v>130</v>
      </c>
      <c r="D5" s="1" t="s">
        <v>6</v>
      </c>
      <c r="E5" s="1">
        <v>180</v>
      </c>
    </row>
    <row r="6" spans="1:5" ht="14.5" x14ac:dyDescent="0.35">
      <c r="A6" s="1">
        <v>5</v>
      </c>
      <c r="B6" s="1" t="s">
        <v>10</v>
      </c>
      <c r="C6" s="1">
        <v>180</v>
      </c>
      <c r="D6" s="1" t="s">
        <v>6</v>
      </c>
      <c r="E6" s="1">
        <v>220</v>
      </c>
    </row>
    <row r="7" spans="1:5" ht="14.5" x14ac:dyDescent="0.35">
      <c r="A7" s="1">
        <v>6</v>
      </c>
      <c r="B7" s="1" t="s">
        <v>11</v>
      </c>
      <c r="C7" s="1">
        <v>350</v>
      </c>
      <c r="D7" s="1" t="s">
        <v>6</v>
      </c>
      <c r="E7" s="1">
        <v>300</v>
      </c>
    </row>
    <row r="8" spans="1:5" ht="14.5" x14ac:dyDescent="0.35">
      <c r="A8" s="1">
        <v>7</v>
      </c>
      <c r="B8" s="1" t="s">
        <v>12</v>
      </c>
      <c r="C8" s="1">
        <v>90</v>
      </c>
      <c r="D8" s="1" t="s">
        <v>6</v>
      </c>
      <c r="E8" s="1">
        <v>200</v>
      </c>
    </row>
    <row r="9" spans="1:5" ht="14.5" x14ac:dyDescent="0.35">
      <c r="A9" s="1">
        <v>8</v>
      </c>
      <c r="B9" s="1" t="s">
        <v>13</v>
      </c>
      <c r="C9" s="1">
        <v>110</v>
      </c>
      <c r="D9" s="1" t="s">
        <v>6</v>
      </c>
      <c r="E9" s="1">
        <v>180</v>
      </c>
    </row>
    <row r="10" spans="1:5" ht="14.5" x14ac:dyDescent="0.35">
      <c r="A10" s="1">
        <v>9</v>
      </c>
      <c r="B10" s="1" t="s">
        <v>14</v>
      </c>
      <c r="C10" s="1">
        <v>140</v>
      </c>
      <c r="D10" s="1" t="s">
        <v>6</v>
      </c>
      <c r="E10" s="1">
        <v>220</v>
      </c>
    </row>
    <row r="11" spans="1:5" ht="14.5" x14ac:dyDescent="0.35">
      <c r="A11" s="1">
        <v>10</v>
      </c>
      <c r="B11" s="1" t="s">
        <v>15</v>
      </c>
      <c r="C11" s="1">
        <v>120</v>
      </c>
      <c r="D11" s="1" t="s">
        <v>6</v>
      </c>
      <c r="E11" s="1">
        <v>200</v>
      </c>
    </row>
    <row r="12" spans="1:5" ht="14.5" x14ac:dyDescent="0.35">
      <c r="A12" s="1">
        <v>11</v>
      </c>
      <c r="B12" s="1" t="s">
        <v>16</v>
      </c>
      <c r="C12" s="1">
        <v>160</v>
      </c>
      <c r="D12" s="1" t="s">
        <v>17</v>
      </c>
      <c r="E12" s="1">
        <v>300</v>
      </c>
    </row>
    <row r="13" spans="1:5" ht="14.5" x14ac:dyDescent="0.35">
      <c r="A13" s="1">
        <v>12</v>
      </c>
      <c r="B13" s="1" t="s">
        <v>18</v>
      </c>
      <c r="C13" s="1">
        <v>150</v>
      </c>
      <c r="D13" s="1" t="s">
        <v>17</v>
      </c>
      <c r="E13" s="1">
        <v>300</v>
      </c>
    </row>
    <row r="14" spans="1:5" ht="14.5" x14ac:dyDescent="0.35">
      <c r="A14" s="1">
        <v>13</v>
      </c>
      <c r="B14" s="1" t="s">
        <v>19</v>
      </c>
      <c r="C14" s="1">
        <v>170</v>
      </c>
      <c r="D14" s="1" t="s">
        <v>17</v>
      </c>
      <c r="E14" s="1">
        <v>280</v>
      </c>
    </row>
    <row r="15" spans="1:5" ht="14.5" x14ac:dyDescent="0.35">
      <c r="A15" s="1">
        <v>14</v>
      </c>
      <c r="B15" s="1" t="s">
        <v>20</v>
      </c>
      <c r="C15" s="1">
        <v>220</v>
      </c>
      <c r="D15" s="1" t="s">
        <v>17</v>
      </c>
      <c r="E15" s="1">
        <v>350</v>
      </c>
    </row>
    <row r="16" spans="1:5" ht="14.5" x14ac:dyDescent="0.35">
      <c r="A16" s="1">
        <v>15</v>
      </c>
      <c r="B16" s="1" t="s">
        <v>21</v>
      </c>
      <c r="C16" s="1">
        <v>140</v>
      </c>
      <c r="D16" s="1" t="s">
        <v>17</v>
      </c>
      <c r="E16" s="1">
        <v>250</v>
      </c>
    </row>
    <row r="17" spans="1:5" ht="14.5" x14ac:dyDescent="0.35">
      <c r="A17" s="1">
        <v>16</v>
      </c>
      <c r="B17" s="1" t="s">
        <v>22</v>
      </c>
      <c r="C17" s="1">
        <v>150</v>
      </c>
      <c r="D17" s="1" t="s">
        <v>17</v>
      </c>
      <c r="E17" s="1">
        <v>250</v>
      </c>
    </row>
    <row r="18" spans="1:5" ht="14.5" x14ac:dyDescent="0.35">
      <c r="A18" s="1">
        <v>17</v>
      </c>
      <c r="B18" s="1" t="s">
        <v>23</v>
      </c>
      <c r="C18" s="1">
        <v>130</v>
      </c>
      <c r="D18" s="1" t="s">
        <v>17</v>
      </c>
      <c r="E18" s="1">
        <v>250</v>
      </c>
    </row>
    <row r="19" spans="1:5" ht="14.5" x14ac:dyDescent="0.35">
      <c r="A19" s="1">
        <v>18</v>
      </c>
      <c r="B19" s="1" t="s">
        <v>24</v>
      </c>
      <c r="C19" s="1">
        <v>180</v>
      </c>
      <c r="D19" s="1" t="s">
        <v>17</v>
      </c>
      <c r="E19" s="1">
        <v>300</v>
      </c>
    </row>
    <row r="20" spans="1:5" ht="14.5" x14ac:dyDescent="0.35">
      <c r="A20" s="1">
        <v>19</v>
      </c>
      <c r="B20" s="1" t="s">
        <v>25</v>
      </c>
      <c r="C20" s="1">
        <v>160</v>
      </c>
      <c r="D20" s="1" t="s">
        <v>17</v>
      </c>
      <c r="E20" s="1">
        <v>300</v>
      </c>
    </row>
    <row r="21" spans="1:5" ht="15.75" customHeight="1" x14ac:dyDescent="0.35">
      <c r="A21" s="1">
        <v>20</v>
      </c>
      <c r="B21" s="1" t="s">
        <v>26</v>
      </c>
      <c r="C21" s="1">
        <v>140</v>
      </c>
      <c r="D21" s="1" t="s">
        <v>17</v>
      </c>
      <c r="E21" s="1">
        <v>250</v>
      </c>
    </row>
    <row r="22" spans="1:5" ht="15.75" customHeight="1" x14ac:dyDescent="0.35">
      <c r="A22" s="1">
        <v>21</v>
      </c>
      <c r="B22" s="1" t="s">
        <v>27</v>
      </c>
      <c r="C22" s="1">
        <v>210</v>
      </c>
      <c r="D22" s="1" t="s">
        <v>28</v>
      </c>
      <c r="E22" s="1">
        <v>250</v>
      </c>
    </row>
    <row r="23" spans="1:5" ht="15.75" customHeight="1" x14ac:dyDescent="0.35">
      <c r="A23" s="1">
        <v>22</v>
      </c>
      <c r="B23" s="1" t="s">
        <v>29</v>
      </c>
      <c r="C23" s="1">
        <v>190</v>
      </c>
      <c r="D23" s="1" t="s">
        <v>28</v>
      </c>
      <c r="E23" s="1">
        <v>250</v>
      </c>
    </row>
    <row r="24" spans="1:5" ht="15.75" customHeight="1" x14ac:dyDescent="0.35">
      <c r="A24" s="1">
        <v>23</v>
      </c>
      <c r="B24" s="1" t="s">
        <v>30</v>
      </c>
      <c r="C24" s="1">
        <v>220</v>
      </c>
      <c r="D24" s="1" t="s">
        <v>28</v>
      </c>
      <c r="E24" s="1">
        <v>250</v>
      </c>
    </row>
    <row r="25" spans="1:5" ht="15.75" customHeight="1" x14ac:dyDescent="0.35">
      <c r="A25" s="1">
        <v>24</v>
      </c>
      <c r="B25" s="1" t="s">
        <v>31</v>
      </c>
      <c r="C25" s="1">
        <v>230</v>
      </c>
      <c r="D25" s="1" t="s">
        <v>28</v>
      </c>
      <c r="E25" s="1">
        <v>250</v>
      </c>
    </row>
    <row r="26" spans="1:5" ht="15.75" customHeight="1" x14ac:dyDescent="0.35">
      <c r="A26" s="1">
        <v>25</v>
      </c>
      <c r="B26" s="1" t="s">
        <v>32</v>
      </c>
      <c r="C26" s="1">
        <v>170</v>
      </c>
      <c r="D26" s="1" t="s">
        <v>28</v>
      </c>
      <c r="E26" s="1">
        <v>250</v>
      </c>
    </row>
    <row r="27" spans="1:5" ht="15.75" customHeight="1" x14ac:dyDescent="0.35">
      <c r="A27" s="1">
        <v>26</v>
      </c>
      <c r="B27" s="1" t="s">
        <v>33</v>
      </c>
      <c r="C27" s="1">
        <v>130</v>
      </c>
      <c r="D27" s="1" t="s">
        <v>28</v>
      </c>
      <c r="E27" s="1">
        <v>250</v>
      </c>
    </row>
    <row r="28" spans="1:5" ht="15.75" customHeight="1" x14ac:dyDescent="0.35">
      <c r="A28" s="1">
        <v>27</v>
      </c>
      <c r="B28" s="1" t="s">
        <v>34</v>
      </c>
      <c r="C28" s="1">
        <v>210</v>
      </c>
      <c r="D28" s="1" t="s">
        <v>28</v>
      </c>
      <c r="E28" s="1">
        <v>250</v>
      </c>
    </row>
    <row r="29" spans="1:5" ht="15.75" customHeight="1" x14ac:dyDescent="0.35">
      <c r="A29" s="1">
        <v>28</v>
      </c>
      <c r="B29" s="1" t="s">
        <v>35</v>
      </c>
      <c r="C29" s="1">
        <v>260</v>
      </c>
      <c r="D29" s="1" t="s">
        <v>28</v>
      </c>
      <c r="E29" s="1">
        <v>250</v>
      </c>
    </row>
    <row r="30" spans="1:5" ht="15.75" customHeight="1" x14ac:dyDescent="0.35">
      <c r="A30" s="1">
        <v>29</v>
      </c>
      <c r="B30" s="1" t="s">
        <v>36</v>
      </c>
      <c r="C30" s="1">
        <v>190</v>
      </c>
      <c r="D30" s="1" t="s">
        <v>28</v>
      </c>
      <c r="E30" s="1">
        <v>250</v>
      </c>
    </row>
    <row r="31" spans="1:5" ht="15.75" customHeight="1" x14ac:dyDescent="0.35">
      <c r="A31" s="1">
        <v>30</v>
      </c>
      <c r="B31" s="1" t="s">
        <v>37</v>
      </c>
      <c r="C31" s="1">
        <v>220</v>
      </c>
      <c r="D31" s="1" t="s">
        <v>28</v>
      </c>
      <c r="E31" s="1">
        <v>250</v>
      </c>
    </row>
    <row r="32" spans="1:5" ht="15.75" customHeight="1" x14ac:dyDescent="0.35">
      <c r="A32" s="1">
        <v>31</v>
      </c>
      <c r="B32" s="1" t="s">
        <v>38</v>
      </c>
      <c r="C32" s="1">
        <v>150</v>
      </c>
      <c r="D32" s="1" t="s">
        <v>39</v>
      </c>
      <c r="E32" s="1">
        <v>150</v>
      </c>
    </row>
    <row r="33" spans="1:5" ht="15.75" customHeight="1" x14ac:dyDescent="0.35">
      <c r="A33" s="1">
        <v>32</v>
      </c>
      <c r="B33" s="1" t="s">
        <v>40</v>
      </c>
      <c r="C33" s="1">
        <v>170</v>
      </c>
      <c r="D33" s="1" t="s">
        <v>39</v>
      </c>
      <c r="E33" s="1">
        <v>150</v>
      </c>
    </row>
    <row r="34" spans="1:5" ht="15.75" customHeight="1" x14ac:dyDescent="0.35">
      <c r="A34" s="1">
        <v>33</v>
      </c>
      <c r="B34" s="1" t="s">
        <v>41</v>
      </c>
      <c r="C34" s="1">
        <v>190</v>
      </c>
      <c r="D34" s="1" t="s">
        <v>39</v>
      </c>
      <c r="E34" s="1">
        <v>150</v>
      </c>
    </row>
    <row r="35" spans="1:5" ht="15.75" customHeight="1" x14ac:dyDescent="0.35">
      <c r="A35" s="1">
        <v>34</v>
      </c>
      <c r="B35" s="1" t="s">
        <v>42</v>
      </c>
      <c r="C35" s="1">
        <v>200</v>
      </c>
      <c r="D35" s="1" t="s">
        <v>39</v>
      </c>
      <c r="E35" s="1">
        <v>150</v>
      </c>
    </row>
    <row r="36" spans="1:5" ht="15.75" customHeight="1" x14ac:dyDescent="0.35">
      <c r="A36" s="1">
        <v>35</v>
      </c>
      <c r="B36" s="1" t="s">
        <v>43</v>
      </c>
      <c r="C36" s="1">
        <v>160</v>
      </c>
      <c r="D36" s="1" t="s">
        <v>39</v>
      </c>
      <c r="E36" s="1">
        <v>150</v>
      </c>
    </row>
    <row r="37" spans="1:5" ht="15.75" customHeight="1" x14ac:dyDescent="0.35">
      <c r="A37" s="1">
        <v>36</v>
      </c>
      <c r="B37" s="1" t="s">
        <v>44</v>
      </c>
      <c r="C37" s="1">
        <v>180</v>
      </c>
      <c r="D37" s="1" t="s">
        <v>39</v>
      </c>
      <c r="E37" s="1">
        <v>150</v>
      </c>
    </row>
    <row r="38" spans="1:5" ht="15.75" customHeight="1" x14ac:dyDescent="0.35">
      <c r="A38" s="1">
        <v>37</v>
      </c>
      <c r="B38" s="1" t="s">
        <v>45</v>
      </c>
      <c r="C38" s="1">
        <v>90</v>
      </c>
      <c r="D38" s="1" t="s">
        <v>39</v>
      </c>
      <c r="E38" s="1">
        <v>100</v>
      </c>
    </row>
    <row r="39" spans="1:5" ht="15.75" customHeight="1" x14ac:dyDescent="0.35">
      <c r="A39" s="1">
        <v>38</v>
      </c>
      <c r="B39" s="1" t="s">
        <v>46</v>
      </c>
      <c r="C39" s="1">
        <v>220</v>
      </c>
      <c r="D39" s="1" t="s">
        <v>39</v>
      </c>
      <c r="E39" s="1">
        <v>150</v>
      </c>
    </row>
    <row r="40" spans="1:5" ht="15.75" customHeight="1" x14ac:dyDescent="0.35">
      <c r="A40" s="1">
        <v>39</v>
      </c>
      <c r="B40" s="1" t="s">
        <v>47</v>
      </c>
      <c r="C40" s="1">
        <v>100</v>
      </c>
      <c r="D40" s="1" t="s">
        <v>39</v>
      </c>
      <c r="E40" s="1">
        <v>150</v>
      </c>
    </row>
    <row r="41" spans="1:5" ht="15.75" customHeight="1" x14ac:dyDescent="0.35">
      <c r="A41" s="1">
        <v>40</v>
      </c>
      <c r="B41" s="1" t="s">
        <v>48</v>
      </c>
      <c r="C41" s="1">
        <v>140</v>
      </c>
      <c r="D41" s="1" t="s">
        <v>39</v>
      </c>
      <c r="E41" s="1">
        <v>150</v>
      </c>
    </row>
    <row r="42" spans="1:5" ht="15.75" customHeight="1" x14ac:dyDescent="0.35">
      <c r="A42" s="1">
        <v>41</v>
      </c>
      <c r="B42" s="1" t="s">
        <v>49</v>
      </c>
      <c r="C42" s="1">
        <v>250</v>
      </c>
      <c r="D42" s="1" t="s">
        <v>50</v>
      </c>
      <c r="E42" s="1">
        <v>220</v>
      </c>
    </row>
    <row r="43" spans="1:5" ht="15.75" customHeight="1" x14ac:dyDescent="0.35">
      <c r="A43" s="1">
        <v>42</v>
      </c>
      <c r="B43" s="1" t="s">
        <v>51</v>
      </c>
      <c r="C43" s="1">
        <v>300</v>
      </c>
      <c r="D43" s="1" t="s">
        <v>50</v>
      </c>
      <c r="E43" s="1">
        <v>250</v>
      </c>
    </row>
    <row r="44" spans="1:5" ht="15.75" customHeight="1" x14ac:dyDescent="0.35">
      <c r="A44" s="1">
        <v>43</v>
      </c>
      <c r="B44" s="1" t="s">
        <v>52</v>
      </c>
      <c r="C44" s="1">
        <v>320</v>
      </c>
      <c r="D44" s="1" t="s">
        <v>50</v>
      </c>
      <c r="E44" s="1">
        <v>250</v>
      </c>
    </row>
    <row r="45" spans="1:5" ht="15.75" customHeight="1" x14ac:dyDescent="0.35">
      <c r="A45" s="1">
        <v>44</v>
      </c>
      <c r="B45" s="1" t="s">
        <v>53</v>
      </c>
      <c r="C45" s="1">
        <v>350</v>
      </c>
      <c r="D45" s="1" t="s">
        <v>50</v>
      </c>
      <c r="E45" s="1">
        <v>250</v>
      </c>
    </row>
    <row r="46" spans="1:5" ht="15.75" customHeight="1" x14ac:dyDescent="0.35">
      <c r="A46" s="1">
        <v>45</v>
      </c>
      <c r="B46" s="1" t="s">
        <v>54</v>
      </c>
      <c r="C46" s="1">
        <v>270</v>
      </c>
      <c r="D46" s="1" t="s">
        <v>50</v>
      </c>
      <c r="E46" s="1">
        <v>200</v>
      </c>
    </row>
    <row r="47" spans="1:5" ht="15.75" customHeight="1" x14ac:dyDescent="0.35">
      <c r="A47" s="1">
        <v>46</v>
      </c>
      <c r="B47" s="1" t="s">
        <v>55</v>
      </c>
      <c r="C47" s="1">
        <v>280</v>
      </c>
      <c r="D47" s="1" t="s">
        <v>50</v>
      </c>
      <c r="E47" s="1">
        <v>200</v>
      </c>
    </row>
    <row r="48" spans="1:5" ht="15.75" customHeight="1" x14ac:dyDescent="0.35">
      <c r="A48" s="1">
        <v>47</v>
      </c>
      <c r="B48" s="1" t="s">
        <v>56</v>
      </c>
      <c r="C48" s="1">
        <v>180</v>
      </c>
      <c r="D48" s="1" t="s">
        <v>50</v>
      </c>
      <c r="E48" s="1">
        <v>200</v>
      </c>
    </row>
    <row r="49" spans="1:5" ht="15.75" customHeight="1" x14ac:dyDescent="0.35">
      <c r="A49" s="1">
        <v>48</v>
      </c>
      <c r="B49" s="1" t="s">
        <v>57</v>
      </c>
      <c r="C49" s="1">
        <v>200</v>
      </c>
      <c r="D49" s="1" t="s">
        <v>50</v>
      </c>
      <c r="E49" s="1">
        <v>200</v>
      </c>
    </row>
    <row r="50" spans="1:5" ht="15.75" customHeight="1" x14ac:dyDescent="0.35">
      <c r="A50" s="1">
        <v>49</v>
      </c>
      <c r="B50" s="1" t="s">
        <v>58</v>
      </c>
      <c r="C50" s="1">
        <v>190</v>
      </c>
      <c r="D50" s="1" t="s">
        <v>50</v>
      </c>
      <c r="E50" s="1">
        <v>200</v>
      </c>
    </row>
    <row r="51" spans="1:5" ht="15.75" customHeight="1" x14ac:dyDescent="0.35">
      <c r="A51" s="1">
        <v>50</v>
      </c>
      <c r="B51" s="1" t="s">
        <v>59</v>
      </c>
      <c r="C51" s="1">
        <v>170</v>
      </c>
      <c r="D51" s="1" t="s">
        <v>50</v>
      </c>
      <c r="E51" s="1">
        <v>200</v>
      </c>
    </row>
    <row r="52" spans="1:5" ht="15.75" customHeight="1" x14ac:dyDescent="0.35">
      <c r="A52" s="1">
        <v>51</v>
      </c>
      <c r="B52" s="1" t="s">
        <v>60</v>
      </c>
      <c r="C52" s="1">
        <v>220</v>
      </c>
      <c r="D52" s="1" t="s">
        <v>50</v>
      </c>
      <c r="E52" s="1">
        <v>100</v>
      </c>
    </row>
    <row r="53" spans="1:5" ht="15.75" customHeight="1" x14ac:dyDescent="0.35">
      <c r="A53" s="1">
        <v>52</v>
      </c>
      <c r="B53" s="1" t="s">
        <v>61</v>
      </c>
      <c r="C53" s="1">
        <v>210</v>
      </c>
      <c r="D53" s="1" t="s">
        <v>50</v>
      </c>
      <c r="E53" s="1">
        <v>100</v>
      </c>
    </row>
    <row r="54" spans="1:5" ht="15.75" customHeight="1" x14ac:dyDescent="0.35">
      <c r="A54" s="1">
        <v>53</v>
      </c>
      <c r="B54" s="1" t="s">
        <v>62</v>
      </c>
      <c r="C54" s="1">
        <v>180</v>
      </c>
      <c r="D54" s="1" t="s">
        <v>50</v>
      </c>
      <c r="E54" s="1">
        <v>100</v>
      </c>
    </row>
    <row r="55" spans="1:5" ht="15.75" customHeight="1" x14ac:dyDescent="0.35">
      <c r="A55" s="1">
        <v>54</v>
      </c>
      <c r="B55" s="1" t="s">
        <v>63</v>
      </c>
      <c r="C55" s="1">
        <v>230</v>
      </c>
      <c r="D55" s="1" t="s">
        <v>50</v>
      </c>
      <c r="E55" s="1">
        <v>100</v>
      </c>
    </row>
    <row r="56" spans="1:5" ht="15.75" customHeight="1" x14ac:dyDescent="0.35">
      <c r="A56" s="1">
        <v>55</v>
      </c>
      <c r="B56" s="1" t="s">
        <v>64</v>
      </c>
      <c r="C56" s="1">
        <v>240</v>
      </c>
      <c r="D56" s="1" t="s">
        <v>50</v>
      </c>
      <c r="E56" s="1">
        <v>100</v>
      </c>
    </row>
    <row r="57" spans="1:5" ht="15.75" customHeight="1" x14ac:dyDescent="0.35">
      <c r="A57" s="1">
        <v>56</v>
      </c>
      <c r="B57" s="1" t="s">
        <v>65</v>
      </c>
      <c r="C57" s="1">
        <v>260</v>
      </c>
      <c r="D57" s="1" t="s">
        <v>50</v>
      </c>
      <c r="E57" s="1">
        <v>200</v>
      </c>
    </row>
    <row r="58" spans="1:5" ht="15.75" customHeight="1" x14ac:dyDescent="0.35">
      <c r="A58" s="1">
        <v>57</v>
      </c>
      <c r="B58" s="1" t="s">
        <v>66</v>
      </c>
      <c r="C58" s="1">
        <v>190</v>
      </c>
      <c r="D58" s="1" t="s">
        <v>50</v>
      </c>
      <c r="E58" s="1">
        <v>200</v>
      </c>
    </row>
    <row r="59" spans="1:5" ht="15.75" customHeight="1" x14ac:dyDescent="0.35">
      <c r="A59" s="1">
        <v>58</v>
      </c>
      <c r="B59" s="1" t="s">
        <v>67</v>
      </c>
      <c r="C59" s="1">
        <v>200</v>
      </c>
      <c r="D59" s="1" t="s">
        <v>50</v>
      </c>
      <c r="E59" s="1">
        <v>200</v>
      </c>
    </row>
    <row r="60" spans="1:5" ht="15.75" customHeight="1" x14ac:dyDescent="0.35">
      <c r="A60" s="1">
        <v>59</v>
      </c>
      <c r="B60" s="1" t="s">
        <v>68</v>
      </c>
      <c r="C60" s="1">
        <v>500</v>
      </c>
      <c r="D60" s="1" t="s">
        <v>50</v>
      </c>
      <c r="E60" s="1">
        <v>300</v>
      </c>
    </row>
    <row r="61" spans="1:5" ht="15.75" customHeight="1" x14ac:dyDescent="0.35">
      <c r="A61" s="1">
        <v>60</v>
      </c>
      <c r="B61" s="1" t="s">
        <v>69</v>
      </c>
      <c r="C61" s="1">
        <v>310</v>
      </c>
      <c r="D61" s="1" t="s">
        <v>50</v>
      </c>
      <c r="E61" s="1">
        <v>250</v>
      </c>
    </row>
    <row r="62" spans="1:5" ht="15.75" customHeight="1" x14ac:dyDescent="0.35"/>
    <row r="63" spans="1:5" ht="15.75" customHeight="1" x14ac:dyDescent="0.35"/>
    <row r="64" spans="1: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D55" sqref="D55"/>
    </sheetView>
  </sheetViews>
  <sheetFormatPr defaultColWidth="14.453125" defaultRowHeight="15" customHeight="1" x14ac:dyDescent="0.35"/>
  <cols>
    <col min="1" max="1" width="3.26953125" customWidth="1"/>
    <col min="2" max="2" width="21" customWidth="1"/>
    <col min="3" max="26" width="8.7265625" customWidth="1"/>
  </cols>
  <sheetData>
    <row r="1" spans="1:2" ht="14.5" x14ac:dyDescent="0.35">
      <c r="A1" s="1" t="s">
        <v>0</v>
      </c>
      <c r="B1" s="1" t="s">
        <v>70</v>
      </c>
    </row>
    <row r="2" spans="1:2" ht="14.5" x14ac:dyDescent="0.35">
      <c r="A2" s="1">
        <v>1</v>
      </c>
      <c r="B2" s="1" t="s">
        <v>71</v>
      </c>
    </row>
    <row r="3" spans="1:2" ht="14.5" x14ac:dyDescent="0.35">
      <c r="A3" s="1">
        <v>2</v>
      </c>
      <c r="B3" s="1" t="s">
        <v>72</v>
      </c>
    </row>
    <row r="4" spans="1:2" ht="14.5" x14ac:dyDescent="0.35">
      <c r="A4" s="1">
        <v>3</v>
      </c>
      <c r="B4" s="1" t="s">
        <v>73</v>
      </c>
    </row>
    <row r="5" spans="1:2" ht="14.5" x14ac:dyDescent="0.35">
      <c r="A5" s="1">
        <v>4</v>
      </c>
      <c r="B5" s="1" t="s">
        <v>74</v>
      </c>
    </row>
    <row r="6" spans="1:2" ht="14.5" x14ac:dyDescent="0.35">
      <c r="A6" s="1">
        <v>5</v>
      </c>
      <c r="B6" s="1" t="s">
        <v>75</v>
      </c>
    </row>
    <row r="7" spans="1:2" ht="14.5" x14ac:dyDescent="0.35">
      <c r="A7" s="1">
        <v>6</v>
      </c>
      <c r="B7" s="1" t="s">
        <v>76</v>
      </c>
    </row>
    <row r="8" spans="1:2" ht="14.5" x14ac:dyDescent="0.35">
      <c r="A8" s="1">
        <v>7</v>
      </c>
      <c r="B8" s="1" t="s">
        <v>77</v>
      </c>
    </row>
    <row r="9" spans="1:2" ht="14.5" x14ac:dyDescent="0.35">
      <c r="A9" s="1">
        <v>8</v>
      </c>
      <c r="B9" s="1" t="s">
        <v>78</v>
      </c>
    </row>
    <row r="10" spans="1:2" ht="14.5" x14ac:dyDescent="0.35">
      <c r="A10" s="1">
        <v>9</v>
      </c>
      <c r="B10" s="1" t="s">
        <v>79</v>
      </c>
    </row>
    <row r="11" spans="1:2" ht="14.5" x14ac:dyDescent="0.35">
      <c r="A11" s="1">
        <v>10</v>
      </c>
      <c r="B11" s="1" t="s">
        <v>80</v>
      </c>
    </row>
    <row r="12" spans="1:2" ht="14.5" x14ac:dyDescent="0.35">
      <c r="A12" s="1">
        <v>11</v>
      </c>
      <c r="B12" s="1" t="s">
        <v>81</v>
      </c>
    </row>
    <row r="13" spans="1:2" ht="14.5" x14ac:dyDescent="0.35">
      <c r="A13" s="1">
        <v>12</v>
      </c>
      <c r="B13" s="1" t="s">
        <v>82</v>
      </c>
    </row>
    <row r="14" spans="1:2" ht="14.5" x14ac:dyDescent="0.35">
      <c r="A14" s="1">
        <v>13</v>
      </c>
      <c r="B14" s="1" t="s">
        <v>83</v>
      </c>
    </row>
    <row r="15" spans="1:2" ht="14.5" x14ac:dyDescent="0.35">
      <c r="A15" s="1">
        <v>14</v>
      </c>
      <c r="B15" s="1" t="s">
        <v>84</v>
      </c>
    </row>
    <row r="16" spans="1:2" ht="14.5" x14ac:dyDescent="0.35">
      <c r="A16" s="1">
        <v>15</v>
      </c>
      <c r="B16" s="1" t="s">
        <v>85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13"/>
  <sheetViews>
    <sheetView workbookViewId="0"/>
  </sheetViews>
  <sheetFormatPr defaultColWidth="14.453125" defaultRowHeight="15" customHeight="1" x14ac:dyDescent="0.35"/>
  <cols>
    <col min="1" max="1" width="5.453125" customWidth="1"/>
    <col min="2" max="2" width="13.453125" customWidth="1"/>
    <col min="3" max="3" width="19.08984375" customWidth="1"/>
    <col min="4" max="26" width="8.7265625" customWidth="1"/>
  </cols>
  <sheetData>
    <row r="1" spans="1:3" ht="14.5" x14ac:dyDescent="0.35">
      <c r="A1" s="1" t="s">
        <v>0</v>
      </c>
      <c r="B1" s="1" t="s">
        <v>86</v>
      </c>
      <c r="C1" s="1" t="s">
        <v>87</v>
      </c>
    </row>
    <row r="2" spans="1:3" ht="14.5" x14ac:dyDescent="0.35">
      <c r="A2" s="1">
        <v>1</v>
      </c>
      <c r="B2" s="1">
        <v>6</v>
      </c>
      <c r="C2" s="1" t="s">
        <v>88</v>
      </c>
    </row>
    <row r="3" spans="1:3" ht="14.5" x14ac:dyDescent="0.35">
      <c r="A3" s="1">
        <v>2</v>
      </c>
      <c r="B3" s="1">
        <v>7</v>
      </c>
      <c r="C3" s="1" t="s">
        <v>89</v>
      </c>
    </row>
    <row r="4" spans="1:3" ht="14.5" x14ac:dyDescent="0.35">
      <c r="A4" s="1">
        <v>3</v>
      </c>
      <c r="B4" s="1">
        <v>9</v>
      </c>
      <c r="C4" s="1" t="s">
        <v>90</v>
      </c>
    </row>
    <row r="5" spans="1:3" ht="14.5" x14ac:dyDescent="0.35">
      <c r="A5" s="1">
        <v>4</v>
      </c>
      <c r="B5" s="1">
        <v>4</v>
      </c>
      <c r="C5" s="1" t="s">
        <v>91</v>
      </c>
    </row>
    <row r="6" spans="1:3" ht="14.5" x14ac:dyDescent="0.35">
      <c r="A6" s="1">
        <v>5</v>
      </c>
      <c r="B6" s="1">
        <v>2</v>
      </c>
      <c r="C6" s="1" t="s">
        <v>92</v>
      </c>
    </row>
    <row r="7" spans="1:3" ht="14.5" x14ac:dyDescent="0.35">
      <c r="A7" s="1">
        <v>6</v>
      </c>
      <c r="B7" s="1">
        <v>1</v>
      </c>
      <c r="C7" s="1" t="s">
        <v>93</v>
      </c>
    </row>
    <row r="8" spans="1:3" ht="14.5" x14ac:dyDescent="0.35">
      <c r="A8" s="1">
        <v>7</v>
      </c>
      <c r="B8" s="1">
        <v>5</v>
      </c>
      <c r="C8" s="1" t="s">
        <v>94</v>
      </c>
    </row>
    <row r="9" spans="1:3" ht="14.5" x14ac:dyDescent="0.35">
      <c r="A9" s="1">
        <v>8</v>
      </c>
      <c r="B9" s="1">
        <v>6</v>
      </c>
      <c r="C9" s="1" t="s">
        <v>95</v>
      </c>
    </row>
    <row r="10" spans="1:3" ht="14.5" x14ac:dyDescent="0.35">
      <c r="A10" s="1">
        <v>9</v>
      </c>
      <c r="B10" s="1">
        <v>12</v>
      </c>
      <c r="C10" s="1" t="s">
        <v>96</v>
      </c>
    </row>
    <row r="11" spans="1:3" ht="14.5" x14ac:dyDescent="0.35">
      <c r="A11" s="1">
        <v>10</v>
      </c>
      <c r="B11" s="1">
        <v>6</v>
      </c>
      <c r="C11" s="1" t="s">
        <v>97</v>
      </c>
    </row>
    <row r="12" spans="1:3" ht="14.5" x14ac:dyDescent="0.35">
      <c r="A12" s="1">
        <v>11</v>
      </c>
      <c r="B12" s="1">
        <v>1</v>
      </c>
      <c r="C12" s="1" t="s">
        <v>98</v>
      </c>
    </row>
    <row r="13" spans="1:3" ht="14.5" x14ac:dyDescent="0.35">
      <c r="A13" s="1">
        <v>12</v>
      </c>
      <c r="B13" s="1">
        <v>7</v>
      </c>
      <c r="C13" s="1" t="s">
        <v>99</v>
      </c>
    </row>
    <row r="14" spans="1:3" ht="14.5" x14ac:dyDescent="0.35">
      <c r="A14" s="1">
        <v>13</v>
      </c>
      <c r="B14" s="1">
        <v>13</v>
      </c>
      <c r="C14" s="1" t="s">
        <v>100</v>
      </c>
    </row>
    <row r="15" spans="1:3" ht="14.5" x14ac:dyDescent="0.35">
      <c r="A15" s="1">
        <v>14</v>
      </c>
      <c r="B15" s="1">
        <v>15</v>
      </c>
      <c r="C15" s="1" t="s">
        <v>101</v>
      </c>
    </row>
    <row r="16" spans="1:3" ht="14.5" x14ac:dyDescent="0.35">
      <c r="A16" s="1">
        <v>15</v>
      </c>
      <c r="B16" s="1">
        <v>4</v>
      </c>
      <c r="C16" s="1" t="s">
        <v>102</v>
      </c>
    </row>
    <row r="17" spans="1:3" ht="14.5" x14ac:dyDescent="0.35">
      <c r="A17" s="1">
        <v>16</v>
      </c>
      <c r="B17" s="1">
        <v>15</v>
      </c>
      <c r="C17" s="1" t="s">
        <v>103</v>
      </c>
    </row>
    <row r="18" spans="1:3" ht="14.5" x14ac:dyDescent="0.35">
      <c r="A18" s="1">
        <v>17</v>
      </c>
      <c r="B18" s="1">
        <v>5</v>
      </c>
      <c r="C18" s="1" t="s">
        <v>104</v>
      </c>
    </row>
    <row r="19" spans="1:3" ht="14.5" x14ac:dyDescent="0.35">
      <c r="A19" s="1">
        <v>18</v>
      </c>
      <c r="B19" s="1">
        <v>14</v>
      </c>
      <c r="C19" s="1" t="s">
        <v>105</v>
      </c>
    </row>
    <row r="20" spans="1:3" ht="14.5" x14ac:dyDescent="0.35">
      <c r="A20" s="1">
        <v>19</v>
      </c>
      <c r="B20" s="1">
        <v>6</v>
      </c>
      <c r="C20" s="1" t="s">
        <v>106</v>
      </c>
    </row>
    <row r="21" spans="1:3" ht="15.75" customHeight="1" x14ac:dyDescent="0.35">
      <c r="A21" s="1">
        <v>20</v>
      </c>
      <c r="B21" s="1">
        <v>5</v>
      </c>
      <c r="C21" s="1" t="s">
        <v>107</v>
      </c>
    </row>
    <row r="22" spans="1:3" ht="15.75" customHeight="1" x14ac:dyDescent="0.35">
      <c r="A22" s="1">
        <v>21</v>
      </c>
      <c r="B22" s="1">
        <v>13</v>
      </c>
      <c r="C22" s="1" t="s">
        <v>108</v>
      </c>
    </row>
    <row r="23" spans="1:3" ht="15.75" customHeight="1" x14ac:dyDescent="0.35">
      <c r="A23" s="1">
        <v>22</v>
      </c>
      <c r="B23" s="1">
        <v>13</v>
      </c>
      <c r="C23" s="1" t="s">
        <v>109</v>
      </c>
    </row>
    <row r="24" spans="1:3" ht="15.75" customHeight="1" x14ac:dyDescent="0.35">
      <c r="A24" s="1">
        <v>23</v>
      </c>
      <c r="B24" s="1">
        <v>10</v>
      </c>
      <c r="C24" s="1" t="s">
        <v>110</v>
      </c>
    </row>
    <row r="25" spans="1:3" ht="15.75" customHeight="1" x14ac:dyDescent="0.35">
      <c r="A25" s="1">
        <v>24</v>
      </c>
      <c r="B25" s="1">
        <v>7</v>
      </c>
      <c r="C25" s="1" t="s">
        <v>111</v>
      </c>
    </row>
    <row r="26" spans="1:3" ht="15.75" customHeight="1" x14ac:dyDescent="0.35">
      <c r="A26" s="1">
        <v>25</v>
      </c>
      <c r="B26" s="1">
        <v>1</v>
      </c>
      <c r="C26" s="1" t="s">
        <v>112</v>
      </c>
    </row>
    <row r="27" spans="1:3" ht="15.75" customHeight="1" x14ac:dyDescent="0.35">
      <c r="A27" s="1">
        <v>26</v>
      </c>
      <c r="B27" s="1">
        <v>3</v>
      </c>
      <c r="C27" s="1" t="s">
        <v>113</v>
      </c>
    </row>
    <row r="28" spans="1:3" ht="15.75" customHeight="1" x14ac:dyDescent="0.35">
      <c r="A28" s="1">
        <v>27</v>
      </c>
      <c r="B28" s="1">
        <v>8</v>
      </c>
      <c r="C28" s="1" t="s">
        <v>114</v>
      </c>
    </row>
    <row r="29" spans="1:3" ht="15.75" customHeight="1" x14ac:dyDescent="0.35">
      <c r="A29" s="1">
        <v>28</v>
      </c>
      <c r="B29" s="1">
        <v>12</v>
      </c>
      <c r="C29" s="1" t="s">
        <v>115</v>
      </c>
    </row>
    <row r="30" spans="1:3" ht="15.75" customHeight="1" x14ac:dyDescent="0.35">
      <c r="A30" s="1">
        <v>29</v>
      </c>
      <c r="B30" s="1">
        <v>12</v>
      </c>
      <c r="C30" s="1" t="s">
        <v>115</v>
      </c>
    </row>
    <row r="31" spans="1:3" ht="15.75" customHeight="1" x14ac:dyDescent="0.35">
      <c r="A31" s="1">
        <v>30</v>
      </c>
      <c r="B31" s="1">
        <v>1</v>
      </c>
      <c r="C31" s="1" t="s">
        <v>116</v>
      </c>
    </row>
    <row r="32" spans="1:3" ht="15.75" customHeight="1" x14ac:dyDescent="0.35">
      <c r="A32" s="1">
        <v>31</v>
      </c>
      <c r="B32" s="1">
        <v>13</v>
      </c>
      <c r="C32" s="1" t="s">
        <v>117</v>
      </c>
    </row>
    <row r="33" spans="1:3" ht="15.75" customHeight="1" x14ac:dyDescent="0.35">
      <c r="A33" s="1">
        <v>32</v>
      </c>
      <c r="B33" s="1">
        <v>14</v>
      </c>
      <c r="C33" s="1" t="s">
        <v>118</v>
      </c>
    </row>
    <row r="34" spans="1:3" ht="15.75" customHeight="1" x14ac:dyDescent="0.35">
      <c r="A34" s="1">
        <v>33</v>
      </c>
      <c r="B34" s="1">
        <v>15</v>
      </c>
      <c r="C34" s="1" t="s">
        <v>119</v>
      </c>
    </row>
    <row r="35" spans="1:3" ht="15.75" customHeight="1" x14ac:dyDescent="0.35">
      <c r="A35" s="1">
        <v>34</v>
      </c>
      <c r="B35" s="1">
        <v>4</v>
      </c>
      <c r="C35" s="1" t="s">
        <v>120</v>
      </c>
    </row>
    <row r="36" spans="1:3" ht="15.75" customHeight="1" x14ac:dyDescent="0.35">
      <c r="A36" s="1">
        <v>35</v>
      </c>
      <c r="B36" s="1">
        <v>15</v>
      </c>
      <c r="C36" s="1" t="s">
        <v>121</v>
      </c>
    </row>
    <row r="37" spans="1:3" ht="15.75" customHeight="1" x14ac:dyDescent="0.35">
      <c r="A37" s="1">
        <v>36</v>
      </c>
      <c r="B37" s="1">
        <v>8</v>
      </c>
      <c r="C37" s="1" t="s">
        <v>122</v>
      </c>
    </row>
    <row r="38" spans="1:3" ht="15.75" customHeight="1" x14ac:dyDescent="0.35">
      <c r="A38" s="1">
        <v>37</v>
      </c>
      <c r="B38" s="1">
        <v>14</v>
      </c>
      <c r="C38" s="1" t="s">
        <v>123</v>
      </c>
    </row>
    <row r="39" spans="1:3" ht="15.75" customHeight="1" x14ac:dyDescent="0.35">
      <c r="A39" s="1">
        <v>38</v>
      </c>
      <c r="B39" s="1">
        <v>4</v>
      </c>
      <c r="C39" s="1" t="s">
        <v>124</v>
      </c>
    </row>
    <row r="40" spans="1:3" ht="15.75" customHeight="1" x14ac:dyDescent="0.35">
      <c r="A40" s="1">
        <v>39</v>
      </c>
      <c r="B40" s="1">
        <v>10</v>
      </c>
      <c r="C40" s="1" t="s">
        <v>125</v>
      </c>
    </row>
    <row r="41" spans="1:3" ht="15.75" customHeight="1" x14ac:dyDescent="0.35">
      <c r="A41" s="1">
        <v>40</v>
      </c>
      <c r="B41" s="1">
        <v>12</v>
      </c>
      <c r="C41" s="1" t="s">
        <v>126</v>
      </c>
    </row>
    <row r="42" spans="1:3" ht="15.75" customHeight="1" x14ac:dyDescent="0.35">
      <c r="A42" s="1">
        <v>41</v>
      </c>
      <c r="B42" s="1">
        <v>4</v>
      </c>
      <c r="C42" s="1" t="s">
        <v>127</v>
      </c>
    </row>
    <row r="43" spans="1:3" ht="15.75" customHeight="1" x14ac:dyDescent="0.35">
      <c r="A43" s="1">
        <v>42</v>
      </c>
      <c r="B43" s="1">
        <v>14</v>
      </c>
      <c r="C43" s="1" t="s">
        <v>128</v>
      </c>
    </row>
    <row r="44" spans="1:3" ht="15.75" customHeight="1" x14ac:dyDescent="0.35">
      <c r="A44" s="1">
        <v>43</v>
      </c>
      <c r="B44" s="1">
        <v>5</v>
      </c>
      <c r="C44" s="1" t="s">
        <v>129</v>
      </c>
    </row>
    <row r="45" spans="1:3" ht="15.75" customHeight="1" x14ac:dyDescent="0.35">
      <c r="A45" s="1">
        <v>44</v>
      </c>
      <c r="B45" s="1">
        <v>7</v>
      </c>
      <c r="C45" s="1" t="s">
        <v>130</v>
      </c>
    </row>
    <row r="46" spans="1:3" ht="15.75" customHeight="1" x14ac:dyDescent="0.35">
      <c r="A46" s="1">
        <v>45</v>
      </c>
      <c r="B46" s="1">
        <v>7</v>
      </c>
      <c r="C46" s="1" t="s">
        <v>131</v>
      </c>
    </row>
    <row r="47" spans="1:3" ht="15.75" customHeight="1" x14ac:dyDescent="0.35">
      <c r="A47" s="1">
        <v>46</v>
      </c>
      <c r="B47" s="1">
        <v>14</v>
      </c>
      <c r="C47" s="1" t="s">
        <v>132</v>
      </c>
    </row>
    <row r="48" spans="1:3" ht="15.75" customHeight="1" x14ac:dyDescent="0.35">
      <c r="A48" s="1">
        <v>47</v>
      </c>
      <c r="B48" s="1">
        <v>1</v>
      </c>
      <c r="C48" s="1" t="s">
        <v>133</v>
      </c>
    </row>
    <row r="49" spans="1:3" ht="15.75" customHeight="1" x14ac:dyDescent="0.35">
      <c r="A49" s="1">
        <v>48</v>
      </c>
      <c r="B49" s="1">
        <v>2</v>
      </c>
      <c r="C49" s="1" t="s">
        <v>134</v>
      </c>
    </row>
    <row r="50" spans="1:3" ht="15.75" customHeight="1" x14ac:dyDescent="0.35">
      <c r="A50" s="1">
        <v>49</v>
      </c>
      <c r="B50" s="1">
        <v>3</v>
      </c>
      <c r="C50" s="1" t="s">
        <v>135</v>
      </c>
    </row>
    <row r="51" spans="1:3" ht="15.75" customHeight="1" x14ac:dyDescent="0.35">
      <c r="A51" s="1">
        <v>50</v>
      </c>
      <c r="B51" s="1">
        <v>13</v>
      </c>
      <c r="C51" s="1" t="s">
        <v>136</v>
      </c>
    </row>
    <row r="52" spans="1:3" ht="15.75" customHeight="1" x14ac:dyDescent="0.35">
      <c r="A52" s="1">
        <v>51</v>
      </c>
      <c r="B52" s="1">
        <v>4</v>
      </c>
      <c r="C52" s="1" t="s">
        <v>137</v>
      </c>
    </row>
    <row r="53" spans="1:3" ht="15.75" customHeight="1" x14ac:dyDescent="0.35">
      <c r="A53" s="1">
        <v>52</v>
      </c>
      <c r="B53" s="1">
        <v>2</v>
      </c>
      <c r="C53" s="1" t="s">
        <v>138</v>
      </c>
    </row>
    <row r="54" spans="1:3" ht="15.75" customHeight="1" x14ac:dyDescent="0.35">
      <c r="A54" s="1">
        <v>53</v>
      </c>
      <c r="B54" s="1">
        <v>15</v>
      </c>
      <c r="C54" s="1" t="s">
        <v>139</v>
      </c>
    </row>
    <row r="55" spans="1:3" ht="15.75" customHeight="1" x14ac:dyDescent="0.35">
      <c r="A55" s="1">
        <v>54</v>
      </c>
      <c r="B55" s="1">
        <v>10</v>
      </c>
      <c r="C55" s="1" t="s">
        <v>140</v>
      </c>
    </row>
    <row r="56" spans="1:3" ht="15.75" customHeight="1" x14ac:dyDescent="0.35">
      <c r="A56" s="1">
        <v>55</v>
      </c>
      <c r="B56" s="1">
        <v>2</v>
      </c>
      <c r="C56" s="1" t="s">
        <v>141</v>
      </c>
    </row>
    <row r="57" spans="1:3" ht="15.75" customHeight="1" x14ac:dyDescent="0.35">
      <c r="A57" s="1">
        <v>56</v>
      </c>
      <c r="B57" s="1">
        <v>7</v>
      </c>
      <c r="C57" s="1" t="s">
        <v>142</v>
      </c>
    </row>
    <row r="58" spans="1:3" ht="15.75" customHeight="1" x14ac:dyDescent="0.35">
      <c r="A58" s="1">
        <v>57</v>
      </c>
      <c r="B58" s="1">
        <v>10</v>
      </c>
      <c r="C58" s="1" t="s">
        <v>143</v>
      </c>
    </row>
    <row r="59" spans="1:3" ht="15.75" customHeight="1" x14ac:dyDescent="0.35">
      <c r="A59" s="1">
        <v>58</v>
      </c>
      <c r="B59" s="1">
        <v>14</v>
      </c>
      <c r="C59" s="1" t="s">
        <v>144</v>
      </c>
    </row>
    <row r="60" spans="1:3" ht="15.75" customHeight="1" x14ac:dyDescent="0.35">
      <c r="A60" s="1">
        <v>59</v>
      </c>
      <c r="B60" s="1">
        <v>14</v>
      </c>
      <c r="C60" s="1" t="s">
        <v>145</v>
      </c>
    </row>
    <row r="61" spans="1:3" ht="15.75" customHeight="1" x14ac:dyDescent="0.35">
      <c r="A61" s="1">
        <v>60</v>
      </c>
      <c r="B61" s="1">
        <v>7</v>
      </c>
      <c r="C61" s="1" t="s">
        <v>146</v>
      </c>
    </row>
    <row r="62" spans="1:3" ht="15.75" customHeight="1" x14ac:dyDescent="0.35">
      <c r="A62" s="1">
        <v>61</v>
      </c>
      <c r="B62" s="1">
        <v>11</v>
      </c>
      <c r="C62" s="1" t="s">
        <v>147</v>
      </c>
    </row>
    <row r="63" spans="1:3" ht="15.75" customHeight="1" x14ac:dyDescent="0.35">
      <c r="A63" s="1">
        <v>62</v>
      </c>
      <c r="B63" s="1">
        <v>3</v>
      </c>
      <c r="C63" s="1" t="s">
        <v>148</v>
      </c>
    </row>
    <row r="64" spans="1:3" ht="15.75" customHeight="1" x14ac:dyDescent="0.35">
      <c r="A64" s="1">
        <v>63</v>
      </c>
      <c r="B64" s="1">
        <v>2</v>
      </c>
      <c r="C64" s="1" t="s">
        <v>149</v>
      </c>
    </row>
    <row r="65" spans="1:3" ht="15.75" customHeight="1" x14ac:dyDescent="0.35">
      <c r="A65" s="1">
        <v>64</v>
      </c>
      <c r="B65" s="1">
        <v>15</v>
      </c>
      <c r="C65" s="1" t="s">
        <v>150</v>
      </c>
    </row>
    <row r="66" spans="1:3" ht="15.75" customHeight="1" x14ac:dyDescent="0.35">
      <c r="A66" s="1">
        <v>65</v>
      </c>
      <c r="B66" s="1">
        <v>7</v>
      </c>
      <c r="C66" s="1" t="s">
        <v>151</v>
      </c>
    </row>
    <row r="67" spans="1:3" ht="15.75" customHeight="1" x14ac:dyDescent="0.35">
      <c r="A67" s="1">
        <v>66</v>
      </c>
      <c r="B67" s="1">
        <v>14</v>
      </c>
      <c r="C67" s="1" t="s">
        <v>152</v>
      </c>
    </row>
    <row r="68" spans="1:3" ht="15.75" customHeight="1" x14ac:dyDescent="0.35">
      <c r="A68" s="1">
        <v>67</v>
      </c>
      <c r="B68" s="1">
        <v>14</v>
      </c>
      <c r="C68" s="1" t="s">
        <v>153</v>
      </c>
    </row>
    <row r="69" spans="1:3" ht="15.75" customHeight="1" x14ac:dyDescent="0.35">
      <c r="A69" s="1">
        <v>68</v>
      </c>
      <c r="B69" s="1">
        <v>8</v>
      </c>
      <c r="C69" s="1" t="s">
        <v>154</v>
      </c>
    </row>
    <row r="70" spans="1:3" ht="15.75" customHeight="1" x14ac:dyDescent="0.35">
      <c r="A70" s="1">
        <v>69</v>
      </c>
      <c r="B70" s="1">
        <v>6</v>
      </c>
      <c r="C70" s="1" t="s">
        <v>155</v>
      </c>
    </row>
    <row r="71" spans="1:3" ht="15.75" customHeight="1" x14ac:dyDescent="0.35">
      <c r="A71" s="1">
        <v>70</v>
      </c>
      <c r="B71" s="1">
        <v>3</v>
      </c>
      <c r="C71" s="1" t="s">
        <v>156</v>
      </c>
    </row>
    <row r="72" spans="1:3" ht="15.75" customHeight="1" x14ac:dyDescent="0.35">
      <c r="A72" s="1">
        <v>71</v>
      </c>
      <c r="B72" s="1">
        <v>12</v>
      </c>
      <c r="C72" s="1" t="s">
        <v>157</v>
      </c>
    </row>
    <row r="73" spans="1:3" ht="15.75" customHeight="1" x14ac:dyDescent="0.35">
      <c r="A73" s="1">
        <v>72</v>
      </c>
      <c r="B73" s="1">
        <v>9</v>
      </c>
      <c r="C73" s="1" t="s">
        <v>158</v>
      </c>
    </row>
    <row r="74" spans="1:3" ht="15.75" customHeight="1" x14ac:dyDescent="0.35">
      <c r="A74" s="1">
        <v>73</v>
      </c>
      <c r="B74" s="1">
        <v>7</v>
      </c>
      <c r="C74" s="1" t="s">
        <v>159</v>
      </c>
    </row>
    <row r="75" spans="1:3" ht="15.75" customHeight="1" x14ac:dyDescent="0.35">
      <c r="A75" s="1">
        <v>74</v>
      </c>
      <c r="B75" s="1">
        <v>5</v>
      </c>
      <c r="C75" s="1" t="s">
        <v>160</v>
      </c>
    </row>
    <row r="76" spans="1:3" ht="15.75" customHeight="1" x14ac:dyDescent="0.35">
      <c r="A76" s="1">
        <v>75</v>
      </c>
      <c r="B76" s="1">
        <v>3</v>
      </c>
      <c r="C76" s="1" t="s">
        <v>161</v>
      </c>
    </row>
    <row r="77" spans="1:3" ht="15.75" customHeight="1" x14ac:dyDescent="0.35">
      <c r="A77" s="1">
        <v>76</v>
      </c>
      <c r="B77" s="1">
        <v>6</v>
      </c>
      <c r="C77" s="1" t="s">
        <v>162</v>
      </c>
    </row>
    <row r="78" spans="1:3" ht="15.75" customHeight="1" x14ac:dyDescent="0.35">
      <c r="A78" s="1">
        <v>77</v>
      </c>
      <c r="B78" s="1">
        <v>2</v>
      </c>
      <c r="C78" s="1" t="s">
        <v>163</v>
      </c>
    </row>
    <row r="79" spans="1:3" ht="15.75" customHeight="1" x14ac:dyDescent="0.35">
      <c r="A79" s="1">
        <v>78</v>
      </c>
      <c r="B79" s="1">
        <v>12</v>
      </c>
      <c r="C79" s="1" t="s">
        <v>164</v>
      </c>
    </row>
    <row r="80" spans="1:3" ht="15.75" customHeight="1" x14ac:dyDescent="0.35">
      <c r="A80" s="1">
        <v>79</v>
      </c>
      <c r="B80" s="1">
        <v>15</v>
      </c>
      <c r="C80" s="1" t="s">
        <v>165</v>
      </c>
    </row>
    <row r="81" spans="1:3" ht="15.75" customHeight="1" x14ac:dyDescent="0.35">
      <c r="A81" s="1">
        <v>80</v>
      </c>
      <c r="B81" s="1">
        <v>4</v>
      </c>
      <c r="C81" s="1" t="s">
        <v>166</v>
      </c>
    </row>
    <row r="82" spans="1:3" ht="15.75" customHeight="1" x14ac:dyDescent="0.35">
      <c r="A82" s="1">
        <v>81</v>
      </c>
      <c r="B82" s="1">
        <v>8</v>
      </c>
      <c r="C82" s="1" t="s">
        <v>167</v>
      </c>
    </row>
    <row r="83" spans="1:3" ht="15.75" customHeight="1" x14ac:dyDescent="0.35">
      <c r="A83" s="1">
        <v>82</v>
      </c>
      <c r="B83" s="1">
        <v>13</v>
      </c>
      <c r="C83" s="1" t="s">
        <v>168</v>
      </c>
    </row>
    <row r="84" spans="1:3" ht="15.75" customHeight="1" x14ac:dyDescent="0.35">
      <c r="A84" s="1">
        <v>83</v>
      </c>
      <c r="B84" s="1">
        <v>11</v>
      </c>
      <c r="C84" s="1" t="s">
        <v>169</v>
      </c>
    </row>
    <row r="85" spans="1:3" ht="15.75" customHeight="1" x14ac:dyDescent="0.35">
      <c r="A85" s="1">
        <v>84</v>
      </c>
      <c r="B85" s="1">
        <v>9</v>
      </c>
      <c r="C85" s="1" t="s">
        <v>170</v>
      </c>
    </row>
    <row r="86" spans="1:3" ht="15.75" customHeight="1" x14ac:dyDescent="0.35">
      <c r="A86" s="1">
        <v>85</v>
      </c>
      <c r="B86" s="1">
        <v>11</v>
      </c>
      <c r="C86" s="1" t="s">
        <v>171</v>
      </c>
    </row>
    <row r="87" spans="1:3" ht="15.75" customHeight="1" x14ac:dyDescent="0.35">
      <c r="A87" s="1">
        <v>86</v>
      </c>
      <c r="B87" s="1">
        <v>2</v>
      </c>
      <c r="C87" s="1" t="s">
        <v>172</v>
      </c>
    </row>
    <row r="88" spans="1:3" ht="15.75" customHeight="1" x14ac:dyDescent="0.35">
      <c r="A88" s="1">
        <v>87</v>
      </c>
      <c r="B88" s="1">
        <v>1</v>
      </c>
      <c r="C88" s="1" t="s">
        <v>173</v>
      </c>
    </row>
    <row r="89" spans="1:3" ht="15.75" customHeight="1" x14ac:dyDescent="0.35">
      <c r="A89" s="1">
        <v>88</v>
      </c>
      <c r="B89" s="1">
        <v>14</v>
      </c>
      <c r="C89" s="1" t="s">
        <v>174</v>
      </c>
    </row>
    <row r="90" spans="1:3" ht="15.75" customHeight="1" x14ac:dyDescent="0.35">
      <c r="A90" s="1">
        <v>89</v>
      </c>
      <c r="B90" s="1">
        <v>7</v>
      </c>
      <c r="C90" s="1" t="s">
        <v>175</v>
      </c>
    </row>
    <row r="91" spans="1:3" ht="15.75" customHeight="1" x14ac:dyDescent="0.35">
      <c r="A91" s="1">
        <v>90</v>
      </c>
      <c r="B91" s="1">
        <v>15</v>
      </c>
      <c r="C91" s="1" t="s">
        <v>176</v>
      </c>
    </row>
    <row r="92" spans="1:3" ht="15.75" customHeight="1" x14ac:dyDescent="0.35">
      <c r="A92" s="1">
        <v>91</v>
      </c>
      <c r="B92" s="1">
        <v>11</v>
      </c>
      <c r="C92" s="1" t="s">
        <v>177</v>
      </c>
    </row>
    <row r="93" spans="1:3" ht="15.75" customHeight="1" x14ac:dyDescent="0.35">
      <c r="A93" s="1">
        <v>92</v>
      </c>
      <c r="B93" s="1">
        <v>12</v>
      </c>
      <c r="C93" s="1" t="s">
        <v>178</v>
      </c>
    </row>
    <row r="94" spans="1:3" ht="15.75" customHeight="1" x14ac:dyDescent="0.35">
      <c r="A94" s="1">
        <v>93</v>
      </c>
      <c r="B94" s="1">
        <v>6</v>
      </c>
      <c r="C94" s="1" t="s">
        <v>179</v>
      </c>
    </row>
    <row r="95" spans="1:3" ht="15.75" customHeight="1" x14ac:dyDescent="0.35">
      <c r="A95" s="1">
        <v>94</v>
      </c>
      <c r="B95" s="1">
        <v>10</v>
      </c>
      <c r="C95" s="1" t="s">
        <v>180</v>
      </c>
    </row>
    <row r="96" spans="1:3" ht="15.75" customHeight="1" x14ac:dyDescent="0.35">
      <c r="A96" s="1">
        <v>95</v>
      </c>
      <c r="B96" s="1">
        <v>14</v>
      </c>
      <c r="C96" s="1" t="s">
        <v>181</v>
      </c>
    </row>
    <row r="97" spans="1:3" ht="15.75" customHeight="1" x14ac:dyDescent="0.35">
      <c r="A97" s="1">
        <v>96</v>
      </c>
      <c r="B97" s="1">
        <v>5</v>
      </c>
      <c r="C97" s="1" t="s">
        <v>182</v>
      </c>
    </row>
    <row r="98" spans="1:3" ht="15.75" customHeight="1" x14ac:dyDescent="0.35">
      <c r="A98" s="1">
        <v>97</v>
      </c>
      <c r="B98" s="1">
        <v>5</v>
      </c>
      <c r="C98" s="1" t="s">
        <v>183</v>
      </c>
    </row>
    <row r="99" spans="1:3" ht="15.75" customHeight="1" x14ac:dyDescent="0.35">
      <c r="A99" s="1">
        <v>98</v>
      </c>
      <c r="B99" s="1">
        <v>11</v>
      </c>
      <c r="C99" s="1" t="s">
        <v>184</v>
      </c>
    </row>
    <row r="100" spans="1:3" ht="15.75" customHeight="1" x14ac:dyDescent="0.35">
      <c r="A100" s="1">
        <v>99</v>
      </c>
      <c r="B100" s="1">
        <v>12</v>
      </c>
      <c r="C100" s="1" t="s">
        <v>185</v>
      </c>
    </row>
    <row r="101" spans="1:3" ht="15.75" customHeight="1" x14ac:dyDescent="0.35">
      <c r="A101" s="1">
        <v>100</v>
      </c>
      <c r="B101" s="1">
        <v>11</v>
      </c>
      <c r="C101" s="1" t="s">
        <v>186</v>
      </c>
    </row>
    <row r="102" spans="1:3" ht="15.75" customHeight="1" x14ac:dyDescent="0.35">
      <c r="A102" s="1">
        <v>101</v>
      </c>
      <c r="B102" s="1">
        <v>8</v>
      </c>
      <c r="C102" s="1" t="s">
        <v>187</v>
      </c>
    </row>
    <row r="103" spans="1:3" ht="15.75" customHeight="1" x14ac:dyDescent="0.35">
      <c r="A103" s="1">
        <v>102</v>
      </c>
      <c r="B103" s="1">
        <v>12</v>
      </c>
      <c r="C103" s="1" t="s">
        <v>188</v>
      </c>
    </row>
    <row r="104" spans="1:3" ht="15.75" customHeight="1" x14ac:dyDescent="0.35">
      <c r="A104" s="1">
        <v>103</v>
      </c>
      <c r="B104" s="1">
        <v>2</v>
      </c>
      <c r="C104" s="1" t="s">
        <v>189</v>
      </c>
    </row>
    <row r="105" spans="1:3" ht="15.75" customHeight="1" x14ac:dyDescent="0.35">
      <c r="A105" s="1">
        <v>104</v>
      </c>
      <c r="B105" s="1">
        <v>12</v>
      </c>
      <c r="C105" s="1" t="s">
        <v>190</v>
      </c>
    </row>
    <row r="106" spans="1:3" ht="15.75" customHeight="1" x14ac:dyDescent="0.35">
      <c r="A106" s="1">
        <v>105</v>
      </c>
      <c r="B106" s="1">
        <v>4</v>
      </c>
      <c r="C106" s="1" t="s">
        <v>191</v>
      </c>
    </row>
    <row r="107" spans="1:3" ht="15.75" customHeight="1" x14ac:dyDescent="0.35">
      <c r="A107" s="1">
        <v>106</v>
      </c>
      <c r="B107" s="1">
        <v>14</v>
      </c>
      <c r="C107" s="1" t="s">
        <v>192</v>
      </c>
    </row>
    <row r="108" spans="1:3" ht="15.75" customHeight="1" x14ac:dyDescent="0.35">
      <c r="A108" s="1">
        <v>107</v>
      </c>
      <c r="B108" s="1">
        <v>15</v>
      </c>
      <c r="C108" s="1" t="s">
        <v>193</v>
      </c>
    </row>
    <row r="109" spans="1:3" ht="15.75" customHeight="1" x14ac:dyDescent="0.35">
      <c r="A109" s="1">
        <v>108</v>
      </c>
      <c r="B109" s="1">
        <v>4</v>
      </c>
      <c r="C109" s="1" t="s">
        <v>194</v>
      </c>
    </row>
    <row r="110" spans="1:3" ht="15.75" customHeight="1" x14ac:dyDescent="0.35">
      <c r="A110" s="1">
        <v>109</v>
      </c>
      <c r="B110" s="1">
        <v>12</v>
      </c>
      <c r="C110" s="1" t="s">
        <v>195</v>
      </c>
    </row>
    <row r="111" spans="1:3" ht="15.75" customHeight="1" x14ac:dyDescent="0.35">
      <c r="A111" s="1">
        <v>110</v>
      </c>
      <c r="B111" s="1">
        <v>1</v>
      </c>
      <c r="C111" s="1" t="s">
        <v>196</v>
      </c>
    </row>
    <row r="112" spans="1:3" ht="15.75" customHeight="1" x14ac:dyDescent="0.35">
      <c r="A112" s="1">
        <v>111</v>
      </c>
      <c r="B112" s="1">
        <v>5</v>
      </c>
      <c r="C112" s="1" t="s">
        <v>197</v>
      </c>
    </row>
    <row r="113" spans="1:3" ht="15.75" customHeight="1" x14ac:dyDescent="0.35">
      <c r="A113" s="1">
        <v>112</v>
      </c>
      <c r="B113" s="1">
        <v>9</v>
      </c>
      <c r="C113" s="1" t="s">
        <v>198</v>
      </c>
    </row>
    <row r="114" spans="1:3" ht="15.75" customHeight="1" x14ac:dyDescent="0.35">
      <c r="A114" s="1">
        <v>113</v>
      </c>
      <c r="B114" s="1">
        <v>12</v>
      </c>
      <c r="C114" s="1" t="s">
        <v>199</v>
      </c>
    </row>
    <row r="115" spans="1:3" ht="15.75" customHeight="1" x14ac:dyDescent="0.35">
      <c r="A115" s="1">
        <v>114</v>
      </c>
      <c r="B115" s="1">
        <v>2</v>
      </c>
      <c r="C115" s="1" t="s">
        <v>200</v>
      </c>
    </row>
    <row r="116" spans="1:3" ht="15.75" customHeight="1" x14ac:dyDescent="0.35">
      <c r="A116" s="1">
        <v>115</v>
      </c>
      <c r="B116" s="1">
        <v>3</v>
      </c>
      <c r="C116" s="1" t="s">
        <v>201</v>
      </c>
    </row>
    <row r="117" spans="1:3" ht="15.75" customHeight="1" x14ac:dyDescent="0.35">
      <c r="A117" s="1">
        <v>116</v>
      </c>
      <c r="B117" s="1">
        <v>6</v>
      </c>
      <c r="C117" s="1" t="s">
        <v>202</v>
      </c>
    </row>
    <row r="118" spans="1:3" ht="15.75" customHeight="1" x14ac:dyDescent="0.35">
      <c r="A118" s="1">
        <v>117</v>
      </c>
      <c r="B118" s="1">
        <v>11</v>
      </c>
      <c r="C118" s="1" t="s">
        <v>203</v>
      </c>
    </row>
    <row r="119" spans="1:3" ht="15.75" customHeight="1" x14ac:dyDescent="0.35">
      <c r="A119" s="1">
        <v>118</v>
      </c>
      <c r="B119" s="1">
        <v>5</v>
      </c>
      <c r="C119" s="1" t="s">
        <v>204</v>
      </c>
    </row>
    <row r="120" spans="1:3" ht="15.75" customHeight="1" x14ac:dyDescent="0.35">
      <c r="A120" s="1">
        <v>119</v>
      </c>
      <c r="B120" s="1">
        <v>10</v>
      </c>
      <c r="C120" s="1" t="s">
        <v>205</v>
      </c>
    </row>
    <row r="121" spans="1:3" ht="15.75" customHeight="1" x14ac:dyDescent="0.35">
      <c r="A121" s="1">
        <v>120</v>
      </c>
      <c r="B121" s="1">
        <v>6</v>
      </c>
      <c r="C121" s="1" t="s">
        <v>206</v>
      </c>
    </row>
    <row r="122" spans="1:3" ht="15.75" customHeight="1" x14ac:dyDescent="0.35">
      <c r="A122" s="1">
        <v>121</v>
      </c>
      <c r="B122" s="1">
        <v>6</v>
      </c>
      <c r="C122" s="1" t="s">
        <v>207</v>
      </c>
    </row>
    <row r="123" spans="1:3" ht="15.75" customHeight="1" x14ac:dyDescent="0.35">
      <c r="A123" s="1">
        <v>122</v>
      </c>
      <c r="B123" s="1">
        <v>5</v>
      </c>
      <c r="C123" s="1" t="s">
        <v>208</v>
      </c>
    </row>
    <row r="124" spans="1:3" ht="15.75" customHeight="1" x14ac:dyDescent="0.35">
      <c r="A124" s="1">
        <v>123</v>
      </c>
      <c r="B124" s="1">
        <v>1</v>
      </c>
      <c r="C124" s="1" t="s">
        <v>209</v>
      </c>
    </row>
    <row r="125" spans="1:3" ht="15.75" customHeight="1" x14ac:dyDescent="0.35">
      <c r="A125" s="1">
        <v>124</v>
      </c>
      <c r="B125" s="1">
        <v>13</v>
      </c>
      <c r="C125" s="1" t="s">
        <v>210</v>
      </c>
    </row>
    <row r="126" spans="1:3" ht="15.75" customHeight="1" x14ac:dyDescent="0.35">
      <c r="A126" s="1">
        <v>125</v>
      </c>
      <c r="B126" s="1">
        <v>7</v>
      </c>
      <c r="C126" s="1" t="s">
        <v>211</v>
      </c>
    </row>
    <row r="127" spans="1:3" ht="15.75" customHeight="1" x14ac:dyDescent="0.35">
      <c r="A127" s="1">
        <v>126</v>
      </c>
      <c r="B127" s="1">
        <v>8</v>
      </c>
      <c r="C127" s="1" t="s">
        <v>212</v>
      </c>
    </row>
    <row r="128" spans="1:3" ht="15.75" customHeight="1" x14ac:dyDescent="0.35">
      <c r="A128" s="1">
        <v>127</v>
      </c>
      <c r="B128" s="1">
        <v>5</v>
      </c>
      <c r="C128" s="1" t="s">
        <v>213</v>
      </c>
    </row>
    <row r="129" spans="1:3" ht="15.75" customHeight="1" x14ac:dyDescent="0.35">
      <c r="A129" s="1">
        <v>128</v>
      </c>
      <c r="B129" s="1">
        <v>2</v>
      </c>
      <c r="C129" s="1" t="s">
        <v>214</v>
      </c>
    </row>
    <row r="130" spans="1:3" ht="15.75" customHeight="1" x14ac:dyDescent="0.35">
      <c r="A130" s="1">
        <v>129</v>
      </c>
      <c r="B130" s="1">
        <v>9</v>
      </c>
      <c r="C130" s="1" t="s">
        <v>214</v>
      </c>
    </row>
    <row r="131" spans="1:3" ht="15.75" customHeight="1" x14ac:dyDescent="0.35">
      <c r="A131" s="1">
        <v>130</v>
      </c>
      <c r="B131" s="1">
        <v>7</v>
      </c>
      <c r="C131" s="1" t="s">
        <v>215</v>
      </c>
    </row>
    <row r="132" spans="1:3" ht="15.75" customHeight="1" x14ac:dyDescent="0.35">
      <c r="A132" s="1">
        <v>131</v>
      </c>
      <c r="B132" s="1">
        <v>11</v>
      </c>
      <c r="C132" s="1" t="s">
        <v>216</v>
      </c>
    </row>
    <row r="133" spans="1:3" ht="15.75" customHeight="1" x14ac:dyDescent="0.35">
      <c r="A133" s="1">
        <v>132</v>
      </c>
      <c r="B133" s="1">
        <v>6</v>
      </c>
      <c r="C133" s="1" t="s">
        <v>217</v>
      </c>
    </row>
    <row r="134" spans="1:3" ht="15.75" customHeight="1" x14ac:dyDescent="0.35">
      <c r="A134" s="1">
        <v>133</v>
      </c>
      <c r="B134" s="1">
        <v>3</v>
      </c>
      <c r="C134" s="1" t="s">
        <v>218</v>
      </c>
    </row>
    <row r="135" spans="1:3" ht="15.75" customHeight="1" x14ac:dyDescent="0.35">
      <c r="A135" s="1">
        <v>134</v>
      </c>
      <c r="B135" s="1">
        <v>2</v>
      </c>
      <c r="C135" s="1" t="s">
        <v>219</v>
      </c>
    </row>
    <row r="136" spans="1:3" ht="15.75" customHeight="1" x14ac:dyDescent="0.35">
      <c r="A136" s="1">
        <v>135</v>
      </c>
      <c r="B136" s="1">
        <v>10</v>
      </c>
      <c r="C136" s="1" t="s">
        <v>220</v>
      </c>
    </row>
    <row r="137" spans="1:3" ht="15.75" customHeight="1" x14ac:dyDescent="0.35">
      <c r="A137" s="1">
        <v>136</v>
      </c>
      <c r="B137" s="1">
        <v>7</v>
      </c>
      <c r="C137" s="1" t="s">
        <v>221</v>
      </c>
    </row>
    <row r="138" spans="1:3" ht="15.75" customHeight="1" x14ac:dyDescent="0.35">
      <c r="A138" s="1">
        <v>137</v>
      </c>
      <c r="B138" s="1">
        <v>12</v>
      </c>
      <c r="C138" s="1" t="s">
        <v>222</v>
      </c>
    </row>
    <row r="139" spans="1:3" ht="15.75" customHeight="1" x14ac:dyDescent="0.35">
      <c r="A139" s="1">
        <v>138</v>
      </c>
      <c r="B139" s="1">
        <v>5</v>
      </c>
      <c r="C139" s="1" t="s">
        <v>223</v>
      </c>
    </row>
    <row r="140" spans="1:3" ht="15.75" customHeight="1" x14ac:dyDescent="0.35">
      <c r="A140" s="1">
        <v>139</v>
      </c>
      <c r="B140" s="1">
        <v>12</v>
      </c>
      <c r="C140" s="1" t="s">
        <v>224</v>
      </c>
    </row>
    <row r="141" spans="1:3" ht="15.75" customHeight="1" x14ac:dyDescent="0.35">
      <c r="A141" s="1">
        <v>140</v>
      </c>
      <c r="B141" s="1">
        <v>15</v>
      </c>
      <c r="C141" s="1" t="s">
        <v>225</v>
      </c>
    </row>
    <row r="142" spans="1:3" ht="15.75" customHeight="1" x14ac:dyDescent="0.35">
      <c r="A142" s="1">
        <v>141</v>
      </c>
      <c r="B142" s="1">
        <v>6</v>
      </c>
      <c r="C142" s="1" t="s">
        <v>226</v>
      </c>
    </row>
    <row r="143" spans="1:3" ht="15.75" customHeight="1" x14ac:dyDescent="0.35">
      <c r="A143" s="1">
        <v>142</v>
      </c>
      <c r="B143" s="1">
        <v>7</v>
      </c>
      <c r="C143" s="1" t="s">
        <v>227</v>
      </c>
    </row>
    <row r="144" spans="1:3" ht="15.75" customHeight="1" x14ac:dyDescent="0.35">
      <c r="A144" s="1">
        <v>143</v>
      </c>
      <c r="B144" s="1">
        <v>5</v>
      </c>
      <c r="C144" s="1" t="s">
        <v>228</v>
      </c>
    </row>
    <row r="145" spans="1:3" ht="15.75" customHeight="1" x14ac:dyDescent="0.35">
      <c r="A145" s="1">
        <v>144</v>
      </c>
      <c r="B145" s="1">
        <v>6</v>
      </c>
      <c r="C145" s="1" t="s">
        <v>229</v>
      </c>
    </row>
    <row r="146" spans="1:3" ht="15.75" customHeight="1" x14ac:dyDescent="0.35">
      <c r="A146" s="1">
        <v>145</v>
      </c>
      <c r="B146" s="1">
        <v>12</v>
      </c>
      <c r="C146" s="1" t="s">
        <v>230</v>
      </c>
    </row>
    <row r="147" spans="1:3" ht="15.75" customHeight="1" x14ac:dyDescent="0.35">
      <c r="A147" s="1">
        <v>146</v>
      </c>
      <c r="B147" s="1">
        <v>2</v>
      </c>
      <c r="C147" s="1" t="s">
        <v>231</v>
      </c>
    </row>
    <row r="148" spans="1:3" ht="15.75" customHeight="1" x14ac:dyDescent="0.35">
      <c r="A148" s="1">
        <v>147</v>
      </c>
      <c r="B148" s="1">
        <v>1</v>
      </c>
      <c r="C148" s="1" t="s">
        <v>232</v>
      </c>
    </row>
    <row r="149" spans="1:3" ht="15.75" customHeight="1" x14ac:dyDescent="0.35">
      <c r="A149" s="1">
        <v>148</v>
      </c>
      <c r="B149" s="1">
        <v>12</v>
      </c>
      <c r="C149" s="1" t="s">
        <v>233</v>
      </c>
    </row>
    <row r="150" spans="1:3" ht="15.75" customHeight="1" x14ac:dyDescent="0.35">
      <c r="A150" s="1">
        <v>149</v>
      </c>
      <c r="B150" s="1">
        <v>5</v>
      </c>
      <c r="C150" s="1" t="s">
        <v>234</v>
      </c>
    </row>
    <row r="151" spans="1:3" ht="15.75" customHeight="1" x14ac:dyDescent="0.35">
      <c r="A151" s="1">
        <v>150</v>
      </c>
      <c r="B151" s="1">
        <v>6</v>
      </c>
      <c r="C151" s="1" t="s">
        <v>235</v>
      </c>
    </row>
    <row r="152" spans="1:3" ht="15.75" customHeight="1" x14ac:dyDescent="0.35">
      <c r="A152" s="1">
        <v>151</v>
      </c>
      <c r="B152" s="1">
        <v>6</v>
      </c>
      <c r="C152" s="1" t="s">
        <v>236</v>
      </c>
    </row>
    <row r="153" spans="1:3" ht="15.75" customHeight="1" x14ac:dyDescent="0.35">
      <c r="A153" s="1">
        <v>152</v>
      </c>
      <c r="B153" s="1">
        <v>6</v>
      </c>
      <c r="C153" s="1" t="s">
        <v>237</v>
      </c>
    </row>
    <row r="154" spans="1:3" ht="15.75" customHeight="1" x14ac:dyDescent="0.35">
      <c r="A154" s="1">
        <v>153</v>
      </c>
      <c r="B154" s="1">
        <v>2</v>
      </c>
      <c r="C154" s="1" t="s">
        <v>238</v>
      </c>
    </row>
    <row r="155" spans="1:3" ht="15.75" customHeight="1" x14ac:dyDescent="0.35">
      <c r="A155" s="1">
        <v>154</v>
      </c>
      <c r="B155" s="1">
        <v>2</v>
      </c>
      <c r="C155" s="1" t="s">
        <v>239</v>
      </c>
    </row>
    <row r="156" spans="1:3" ht="15.75" customHeight="1" x14ac:dyDescent="0.35">
      <c r="A156" s="1">
        <v>155</v>
      </c>
      <c r="B156" s="1">
        <v>7</v>
      </c>
      <c r="C156" s="1" t="s">
        <v>240</v>
      </c>
    </row>
    <row r="157" spans="1:3" ht="15.75" customHeight="1" x14ac:dyDescent="0.35">
      <c r="A157" s="1">
        <v>156</v>
      </c>
      <c r="B157" s="1">
        <v>8</v>
      </c>
      <c r="C157" s="1" t="s">
        <v>241</v>
      </c>
    </row>
    <row r="158" spans="1:3" ht="15.75" customHeight="1" x14ac:dyDescent="0.35">
      <c r="A158" s="1">
        <v>157</v>
      </c>
      <c r="B158" s="1">
        <v>11</v>
      </c>
      <c r="C158" s="1" t="s">
        <v>242</v>
      </c>
    </row>
    <row r="159" spans="1:3" ht="15.75" customHeight="1" x14ac:dyDescent="0.35">
      <c r="A159" s="1">
        <v>158</v>
      </c>
      <c r="B159" s="1">
        <v>12</v>
      </c>
      <c r="C159" s="1" t="s">
        <v>243</v>
      </c>
    </row>
    <row r="160" spans="1:3" ht="15.75" customHeight="1" x14ac:dyDescent="0.35">
      <c r="A160" s="1">
        <v>159</v>
      </c>
      <c r="B160" s="1">
        <v>13</v>
      </c>
      <c r="C160" s="1" t="s">
        <v>244</v>
      </c>
    </row>
    <row r="161" spans="1:3" ht="15.75" customHeight="1" x14ac:dyDescent="0.35">
      <c r="A161" s="1">
        <v>160</v>
      </c>
      <c r="B161" s="1">
        <v>3</v>
      </c>
      <c r="C161" s="1" t="s">
        <v>245</v>
      </c>
    </row>
    <row r="162" spans="1:3" ht="15.75" customHeight="1" x14ac:dyDescent="0.35">
      <c r="A162" s="1">
        <v>161</v>
      </c>
      <c r="B162" s="1">
        <v>9</v>
      </c>
      <c r="C162" s="1" t="s">
        <v>246</v>
      </c>
    </row>
    <row r="163" spans="1:3" ht="15.75" customHeight="1" x14ac:dyDescent="0.35">
      <c r="A163" s="1">
        <v>162</v>
      </c>
      <c r="B163" s="1">
        <v>11</v>
      </c>
      <c r="C163" s="1" t="s">
        <v>247</v>
      </c>
    </row>
    <row r="164" spans="1:3" ht="15.75" customHeight="1" x14ac:dyDescent="0.35">
      <c r="A164" s="1">
        <v>163</v>
      </c>
      <c r="B164" s="1">
        <v>12</v>
      </c>
      <c r="C164" s="1" t="s">
        <v>248</v>
      </c>
    </row>
    <row r="165" spans="1:3" ht="15.75" customHeight="1" x14ac:dyDescent="0.35">
      <c r="A165" s="1">
        <v>164</v>
      </c>
      <c r="B165" s="1">
        <v>3</v>
      </c>
      <c r="C165" s="1" t="s">
        <v>249</v>
      </c>
    </row>
    <row r="166" spans="1:3" ht="15.75" customHeight="1" x14ac:dyDescent="0.35">
      <c r="A166" s="1">
        <v>165</v>
      </c>
      <c r="B166" s="1">
        <v>13</v>
      </c>
      <c r="C166" s="1" t="s">
        <v>250</v>
      </c>
    </row>
    <row r="167" spans="1:3" ht="15.75" customHeight="1" x14ac:dyDescent="0.35">
      <c r="A167" s="1">
        <v>166</v>
      </c>
      <c r="B167" s="1">
        <v>3</v>
      </c>
      <c r="C167" s="1" t="s">
        <v>251</v>
      </c>
    </row>
    <row r="168" spans="1:3" ht="15.75" customHeight="1" x14ac:dyDescent="0.35">
      <c r="A168" s="1">
        <v>167</v>
      </c>
      <c r="B168" s="1">
        <v>10</v>
      </c>
      <c r="C168" s="1" t="s">
        <v>252</v>
      </c>
    </row>
    <row r="169" spans="1:3" ht="15.75" customHeight="1" x14ac:dyDescent="0.35">
      <c r="A169" s="1">
        <v>168</v>
      </c>
      <c r="B169" s="1">
        <v>7</v>
      </c>
      <c r="C169" s="1" t="s">
        <v>253</v>
      </c>
    </row>
    <row r="170" spans="1:3" ht="15.75" customHeight="1" x14ac:dyDescent="0.35">
      <c r="A170" s="1">
        <v>169</v>
      </c>
      <c r="B170" s="1">
        <v>11</v>
      </c>
      <c r="C170" s="1" t="s">
        <v>254</v>
      </c>
    </row>
    <row r="171" spans="1:3" ht="15.75" customHeight="1" x14ac:dyDescent="0.35">
      <c r="A171" s="1">
        <v>170</v>
      </c>
      <c r="B171" s="1">
        <v>13</v>
      </c>
      <c r="C171" s="1" t="s">
        <v>255</v>
      </c>
    </row>
    <row r="172" spans="1:3" ht="15.75" customHeight="1" x14ac:dyDescent="0.35">
      <c r="A172" s="1">
        <v>171</v>
      </c>
      <c r="B172" s="1">
        <v>10</v>
      </c>
      <c r="C172" s="1" t="s">
        <v>256</v>
      </c>
    </row>
    <row r="173" spans="1:3" ht="15.75" customHeight="1" x14ac:dyDescent="0.35">
      <c r="A173" s="1">
        <v>172</v>
      </c>
      <c r="B173" s="1">
        <v>11</v>
      </c>
      <c r="C173" s="1" t="s">
        <v>257</v>
      </c>
    </row>
    <row r="174" spans="1:3" ht="15.75" customHeight="1" x14ac:dyDescent="0.35">
      <c r="A174" s="1">
        <v>173</v>
      </c>
      <c r="B174" s="1">
        <v>9</v>
      </c>
      <c r="C174" s="1" t="s">
        <v>258</v>
      </c>
    </row>
    <row r="175" spans="1:3" ht="15.75" customHeight="1" x14ac:dyDescent="0.35">
      <c r="A175" s="1">
        <v>174</v>
      </c>
      <c r="B175" s="1">
        <v>9</v>
      </c>
      <c r="C175" s="1" t="s">
        <v>259</v>
      </c>
    </row>
    <row r="176" spans="1:3" ht="15.75" customHeight="1" x14ac:dyDescent="0.35">
      <c r="A176" s="1">
        <v>175</v>
      </c>
      <c r="B176" s="1">
        <v>11</v>
      </c>
      <c r="C176" s="1" t="s">
        <v>260</v>
      </c>
    </row>
    <row r="177" spans="1:3" ht="15.75" customHeight="1" x14ac:dyDescent="0.35">
      <c r="A177" s="1">
        <v>176</v>
      </c>
      <c r="B177" s="1">
        <v>2</v>
      </c>
      <c r="C177" s="1" t="s">
        <v>261</v>
      </c>
    </row>
    <row r="178" spans="1:3" ht="15.75" customHeight="1" x14ac:dyDescent="0.35">
      <c r="A178" s="1">
        <v>177</v>
      </c>
      <c r="B178" s="1">
        <v>14</v>
      </c>
      <c r="C178" s="1" t="s">
        <v>262</v>
      </c>
    </row>
    <row r="179" spans="1:3" ht="15.75" customHeight="1" x14ac:dyDescent="0.35">
      <c r="A179" s="1">
        <v>178</v>
      </c>
      <c r="B179" s="1">
        <v>12</v>
      </c>
      <c r="C179" s="1" t="s">
        <v>263</v>
      </c>
    </row>
    <row r="180" spans="1:3" ht="15.75" customHeight="1" x14ac:dyDescent="0.35">
      <c r="A180" s="1">
        <v>179</v>
      </c>
      <c r="B180" s="1">
        <v>3</v>
      </c>
      <c r="C180" s="1" t="s">
        <v>264</v>
      </c>
    </row>
    <row r="181" spans="1:3" ht="15.75" customHeight="1" x14ac:dyDescent="0.35">
      <c r="A181" s="1">
        <v>180</v>
      </c>
      <c r="B181" s="1">
        <v>4</v>
      </c>
      <c r="C181" s="1" t="s">
        <v>265</v>
      </c>
    </row>
    <row r="182" spans="1:3" ht="15.75" customHeight="1" x14ac:dyDescent="0.35">
      <c r="A182" s="1">
        <v>181</v>
      </c>
      <c r="B182" s="1">
        <v>5</v>
      </c>
      <c r="C182" s="1" t="s">
        <v>266</v>
      </c>
    </row>
    <row r="183" spans="1:3" ht="15.75" customHeight="1" x14ac:dyDescent="0.35">
      <c r="A183" s="1">
        <v>182</v>
      </c>
      <c r="B183" s="1">
        <v>10</v>
      </c>
      <c r="C183" s="1" t="s">
        <v>267</v>
      </c>
    </row>
    <row r="184" spans="1:3" ht="15.75" customHeight="1" x14ac:dyDescent="0.35">
      <c r="A184" s="1">
        <v>183</v>
      </c>
      <c r="B184" s="1">
        <v>1</v>
      </c>
      <c r="C184" s="1" t="s">
        <v>268</v>
      </c>
    </row>
    <row r="185" spans="1:3" ht="15.75" customHeight="1" x14ac:dyDescent="0.35">
      <c r="A185" s="1">
        <v>184</v>
      </c>
      <c r="B185" s="1">
        <v>6</v>
      </c>
      <c r="C185" s="1" t="s">
        <v>269</v>
      </c>
    </row>
    <row r="186" spans="1:3" ht="15.75" customHeight="1" x14ac:dyDescent="0.35">
      <c r="A186" s="1">
        <v>185</v>
      </c>
      <c r="B186" s="1">
        <v>7</v>
      </c>
      <c r="C186" s="1" t="s">
        <v>270</v>
      </c>
    </row>
    <row r="187" spans="1:3" ht="15.75" customHeight="1" x14ac:dyDescent="0.35">
      <c r="A187" s="1">
        <v>186</v>
      </c>
      <c r="B187" s="1">
        <v>1</v>
      </c>
      <c r="C187" s="1" t="s">
        <v>271</v>
      </c>
    </row>
    <row r="188" spans="1:3" ht="15.75" customHeight="1" x14ac:dyDescent="0.35">
      <c r="A188" s="1">
        <v>187</v>
      </c>
      <c r="B188" s="1">
        <v>2</v>
      </c>
      <c r="C188" s="1" t="s">
        <v>272</v>
      </c>
    </row>
    <row r="189" spans="1:3" ht="15.75" customHeight="1" x14ac:dyDescent="0.35">
      <c r="A189" s="1">
        <v>188</v>
      </c>
      <c r="B189" s="1">
        <v>14</v>
      </c>
      <c r="C189" s="1" t="s">
        <v>273</v>
      </c>
    </row>
    <row r="190" spans="1:3" ht="15.75" customHeight="1" x14ac:dyDescent="0.35">
      <c r="A190" s="1">
        <v>189</v>
      </c>
      <c r="B190" s="1">
        <v>15</v>
      </c>
      <c r="C190" s="1" t="s">
        <v>274</v>
      </c>
    </row>
    <row r="191" spans="1:3" ht="15.75" customHeight="1" x14ac:dyDescent="0.35">
      <c r="A191" s="1">
        <v>190</v>
      </c>
      <c r="B191" s="1">
        <v>14</v>
      </c>
      <c r="C191" s="1" t="s">
        <v>275</v>
      </c>
    </row>
    <row r="192" spans="1:3" ht="15.75" customHeight="1" x14ac:dyDescent="0.35">
      <c r="A192" s="1">
        <v>191</v>
      </c>
      <c r="B192" s="1">
        <v>4</v>
      </c>
      <c r="C192" s="1" t="s">
        <v>276</v>
      </c>
    </row>
    <row r="193" spans="1:3" ht="15.75" customHeight="1" x14ac:dyDescent="0.35">
      <c r="A193" s="1">
        <v>192</v>
      </c>
      <c r="B193" s="1">
        <v>5</v>
      </c>
      <c r="C193" s="1" t="s">
        <v>277</v>
      </c>
    </row>
    <row r="194" spans="1:3" ht="15.75" customHeight="1" x14ac:dyDescent="0.35">
      <c r="A194" s="1">
        <v>193</v>
      </c>
      <c r="B194" s="1">
        <v>2</v>
      </c>
      <c r="C194" s="1" t="s">
        <v>278</v>
      </c>
    </row>
    <row r="195" spans="1:3" ht="15.75" customHeight="1" x14ac:dyDescent="0.35">
      <c r="A195" s="1">
        <v>194</v>
      </c>
      <c r="B195" s="1">
        <v>2</v>
      </c>
      <c r="C195" s="1" t="s">
        <v>279</v>
      </c>
    </row>
    <row r="196" spans="1:3" ht="15.75" customHeight="1" x14ac:dyDescent="0.35">
      <c r="A196" s="1">
        <v>195</v>
      </c>
      <c r="B196" s="1">
        <v>1</v>
      </c>
      <c r="C196" s="1" t="s">
        <v>280</v>
      </c>
    </row>
    <row r="197" spans="1:3" ht="15.75" customHeight="1" x14ac:dyDescent="0.35">
      <c r="A197" s="1">
        <v>196</v>
      </c>
      <c r="B197" s="1">
        <v>3</v>
      </c>
      <c r="C197" s="1" t="s">
        <v>281</v>
      </c>
    </row>
    <row r="198" spans="1:3" ht="15.75" customHeight="1" x14ac:dyDescent="0.35">
      <c r="A198" s="1">
        <v>197</v>
      </c>
      <c r="B198" s="1">
        <v>5</v>
      </c>
      <c r="C198" s="1" t="s">
        <v>282</v>
      </c>
    </row>
    <row r="199" spans="1:3" ht="15.75" customHeight="1" x14ac:dyDescent="0.35">
      <c r="A199" s="1">
        <v>198</v>
      </c>
      <c r="B199" s="1">
        <v>15</v>
      </c>
      <c r="C199" s="1" t="s">
        <v>283</v>
      </c>
    </row>
    <row r="200" spans="1:3" ht="15.75" customHeight="1" x14ac:dyDescent="0.35">
      <c r="A200" s="1">
        <v>199</v>
      </c>
      <c r="B200" s="1">
        <v>4</v>
      </c>
      <c r="C200" s="1" t="s">
        <v>284</v>
      </c>
    </row>
    <row r="201" spans="1:3" ht="15.75" customHeight="1" x14ac:dyDescent="0.35">
      <c r="A201" s="1">
        <v>200</v>
      </c>
      <c r="B201" s="1">
        <v>10</v>
      </c>
      <c r="C201" s="1" t="s">
        <v>285</v>
      </c>
    </row>
    <row r="202" spans="1:3" ht="15.75" customHeight="1" x14ac:dyDescent="0.35">
      <c r="A202" s="1">
        <v>201</v>
      </c>
      <c r="B202" s="1">
        <v>9</v>
      </c>
      <c r="C202" s="1" t="s">
        <v>286</v>
      </c>
    </row>
    <row r="203" spans="1:3" ht="15.75" customHeight="1" x14ac:dyDescent="0.35">
      <c r="A203" s="1">
        <v>202</v>
      </c>
      <c r="B203" s="1">
        <v>10</v>
      </c>
      <c r="C203" s="1" t="s">
        <v>287</v>
      </c>
    </row>
    <row r="204" spans="1:3" ht="15.75" customHeight="1" x14ac:dyDescent="0.35">
      <c r="A204" s="1">
        <v>203</v>
      </c>
      <c r="B204" s="1">
        <v>11</v>
      </c>
      <c r="C204" s="1" t="s">
        <v>288</v>
      </c>
    </row>
    <row r="205" spans="1:3" ht="15.75" customHeight="1" x14ac:dyDescent="0.35">
      <c r="A205" s="1">
        <v>204</v>
      </c>
      <c r="B205" s="1">
        <v>6</v>
      </c>
      <c r="C205" s="1" t="s">
        <v>289</v>
      </c>
    </row>
    <row r="206" spans="1:3" ht="15.75" customHeight="1" x14ac:dyDescent="0.35">
      <c r="A206" s="1">
        <v>205</v>
      </c>
      <c r="B206" s="1">
        <v>3</v>
      </c>
      <c r="C206" s="1" t="s">
        <v>290</v>
      </c>
    </row>
    <row r="207" spans="1:3" ht="15.75" customHeight="1" x14ac:dyDescent="0.35">
      <c r="A207" s="1">
        <v>206</v>
      </c>
      <c r="B207" s="1">
        <v>14</v>
      </c>
      <c r="C207" s="1" t="s">
        <v>291</v>
      </c>
    </row>
    <row r="208" spans="1:3" ht="15.75" customHeight="1" x14ac:dyDescent="0.35">
      <c r="A208" s="1">
        <v>207</v>
      </c>
      <c r="B208" s="1">
        <v>4</v>
      </c>
      <c r="C208" s="1" t="s">
        <v>292</v>
      </c>
    </row>
    <row r="209" spans="1:3" ht="15.75" customHeight="1" x14ac:dyDescent="0.35">
      <c r="A209" s="1">
        <v>208</v>
      </c>
      <c r="B209" s="1">
        <v>15</v>
      </c>
      <c r="C209" s="1" t="s">
        <v>293</v>
      </c>
    </row>
    <row r="210" spans="1:3" ht="15.75" customHeight="1" x14ac:dyDescent="0.35">
      <c r="A210" s="1">
        <v>209</v>
      </c>
      <c r="B210" s="1">
        <v>7</v>
      </c>
      <c r="C210" s="1" t="s">
        <v>294</v>
      </c>
    </row>
    <row r="211" spans="1:3" ht="15.75" customHeight="1" x14ac:dyDescent="0.35">
      <c r="A211" s="1">
        <v>210</v>
      </c>
      <c r="B211" s="1">
        <v>13</v>
      </c>
      <c r="C211" s="1" t="s">
        <v>295</v>
      </c>
    </row>
    <row r="212" spans="1:3" ht="15.75" customHeight="1" x14ac:dyDescent="0.35">
      <c r="A212" s="1">
        <v>211</v>
      </c>
      <c r="B212" s="1">
        <v>10</v>
      </c>
      <c r="C212" s="1" t="s">
        <v>296</v>
      </c>
    </row>
    <row r="213" spans="1:3" ht="15.75" customHeight="1" x14ac:dyDescent="0.35">
      <c r="A213" s="1">
        <v>212</v>
      </c>
      <c r="B213" s="1">
        <v>11</v>
      </c>
      <c r="C213" s="1" t="s">
        <v>297</v>
      </c>
    </row>
    <row r="214" spans="1:3" ht="15.75" customHeight="1" x14ac:dyDescent="0.35">
      <c r="A214" s="1">
        <v>213</v>
      </c>
      <c r="B214" s="1">
        <v>3</v>
      </c>
      <c r="C214" s="1" t="s">
        <v>298</v>
      </c>
    </row>
    <row r="215" spans="1:3" ht="15.75" customHeight="1" x14ac:dyDescent="0.35">
      <c r="A215" s="1">
        <v>214</v>
      </c>
      <c r="B215" s="1">
        <v>4</v>
      </c>
      <c r="C215" s="1" t="s">
        <v>299</v>
      </c>
    </row>
    <row r="216" spans="1:3" ht="15.75" customHeight="1" x14ac:dyDescent="0.35">
      <c r="A216" s="1">
        <v>215</v>
      </c>
      <c r="B216" s="1">
        <v>9</v>
      </c>
      <c r="C216" s="1" t="s">
        <v>300</v>
      </c>
    </row>
    <row r="217" spans="1:3" ht="15.75" customHeight="1" x14ac:dyDescent="0.35">
      <c r="A217" s="1">
        <v>216</v>
      </c>
      <c r="B217" s="1">
        <v>3</v>
      </c>
      <c r="C217" s="1" t="s">
        <v>301</v>
      </c>
    </row>
    <row r="218" spans="1:3" ht="15.75" customHeight="1" x14ac:dyDescent="0.35">
      <c r="A218" s="1">
        <v>217</v>
      </c>
      <c r="B218" s="1">
        <v>9</v>
      </c>
      <c r="C218" s="1" t="s">
        <v>302</v>
      </c>
    </row>
    <row r="219" spans="1:3" ht="15.75" customHeight="1" x14ac:dyDescent="0.35">
      <c r="A219" s="1">
        <v>218</v>
      </c>
      <c r="B219" s="1">
        <v>9</v>
      </c>
      <c r="C219" s="1" t="s">
        <v>303</v>
      </c>
    </row>
    <row r="220" spans="1:3" ht="15.75" customHeight="1" x14ac:dyDescent="0.35">
      <c r="A220" s="1">
        <v>219</v>
      </c>
      <c r="B220" s="1">
        <v>3</v>
      </c>
      <c r="C220" s="1" t="s">
        <v>304</v>
      </c>
    </row>
    <row r="221" spans="1:3" ht="15.75" customHeight="1" x14ac:dyDescent="0.35">
      <c r="A221" s="1">
        <v>220</v>
      </c>
      <c r="B221" s="1">
        <v>7</v>
      </c>
      <c r="C221" s="1" t="s">
        <v>305</v>
      </c>
    </row>
    <row r="222" spans="1:3" ht="15.75" customHeight="1" x14ac:dyDescent="0.35">
      <c r="A222" s="1">
        <v>221</v>
      </c>
      <c r="B222" s="1">
        <v>7</v>
      </c>
      <c r="C222" s="1" t="s">
        <v>306</v>
      </c>
    </row>
    <row r="223" spans="1:3" ht="15.75" customHeight="1" x14ac:dyDescent="0.35">
      <c r="A223" s="1">
        <v>222</v>
      </c>
      <c r="B223" s="1">
        <v>13</v>
      </c>
      <c r="C223" s="1" t="s">
        <v>307</v>
      </c>
    </row>
    <row r="224" spans="1:3" ht="15.75" customHeight="1" x14ac:dyDescent="0.35">
      <c r="A224" s="1">
        <v>223</v>
      </c>
      <c r="B224" s="1">
        <v>12</v>
      </c>
      <c r="C224" s="1" t="s">
        <v>308</v>
      </c>
    </row>
    <row r="225" spans="1:3" ht="15.75" customHeight="1" x14ac:dyDescent="0.35">
      <c r="A225" s="1">
        <v>224</v>
      </c>
      <c r="B225" s="1">
        <v>11</v>
      </c>
      <c r="C225" s="1" t="s">
        <v>309</v>
      </c>
    </row>
    <row r="226" spans="1:3" ht="15.75" customHeight="1" x14ac:dyDescent="0.35">
      <c r="A226" s="1">
        <v>225</v>
      </c>
      <c r="B226" s="1">
        <v>12</v>
      </c>
      <c r="C226" s="1" t="s">
        <v>310</v>
      </c>
    </row>
    <row r="227" spans="1:3" ht="15.75" customHeight="1" x14ac:dyDescent="0.35">
      <c r="A227" s="1">
        <v>226</v>
      </c>
      <c r="B227" s="1">
        <v>12</v>
      </c>
      <c r="C227" s="1" t="s">
        <v>311</v>
      </c>
    </row>
    <row r="228" spans="1:3" ht="15.75" customHeight="1" x14ac:dyDescent="0.35">
      <c r="A228" s="1">
        <v>227</v>
      </c>
      <c r="B228" s="1">
        <v>6</v>
      </c>
      <c r="C228" s="1" t="s">
        <v>312</v>
      </c>
    </row>
    <row r="229" spans="1:3" ht="15.75" customHeight="1" x14ac:dyDescent="0.35">
      <c r="A229" s="1">
        <v>228</v>
      </c>
      <c r="B229" s="1">
        <v>13</v>
      </c>
      <c r="C229" s="1" t="s">
        <v>313</v>
      </c>
    </row>
    <row r="230" spans="1:3" ht="15.75" customHeight="1" x14ac:dyDescent="0.35">
      <c r="A230" s="1">
        <v>229</v>
      </c>
      <c r="B230" s="1">
        <v>13</v>
      </c>
      <c r="C230" s="1" t="s">
        <v>314</v>
      </c>
    </row>
    <row r="231" spans="1:3" ht="15.75" customHeight="1" x14ac:dyDescent="0.35">
      <c r="A231" s="1">
        <v>230</v>
      </c>
      <c r="B231" s="1">
        <v>1</v>
      </c>
      <c r="C231" s="1" t="s">
        <v>315</v>
      </c>
    </row>
    <row r="232" spans="1:3" ht="15.75" customHeight="1" x14ac:dyDescent="0.35">
      <c r="A232" s="1">
        <v>231</v>
      </c>
      <c r="B232" s="1">
        <v>4</v>
      </c>
      <c r="C232" s="1" t="s">
        <v>316</v>
      </c>
    </row>
    <row r="233" spans="1:3" ht="15.75" customHeight="1" x14ac:dyDescent="0.35">
      <c r="A233" s="1">
        <v>232</v>
      </c>
      <c r="B233" s="1">
        <v>13</v>
      </c>
      <c r="C233" s="1" t="s">
        <v>317</v>
      </c>
    </row>
    <row r="234" spans="1:3" ht="15.75" customHeight="1" x14ac:dyDescent="0.35">
      <c r="A234" s="1">
        <v>233</v>
      </c>
      <c r="B234" s="1">
        <v>4</v>
      </c>
      <c r="C234" s="1" t="s">
        <v>318</v>
      </c>
    </row>
    <row r="235" spans="1:3" ht="15.75" customHeight="1" x14ac:dyDescent="0.35">
      <c r="A235" s="1">
        <v>234</v>
      </c>
      <c r="B235" s="1">
        <v>15</v>
      </c>
      <c r="C235" s="1" t="s">
        <v>319</v>
      </c>
    </row>
    <row r="236" spans="1:3" ht="15.75" customHeight="1" x14ac:dyDescent="0.35">
      <c r="A236" s="1">
        <v>235</v>
      </c>
      <c r="B236" s="1">
        <v>3</v>
      </c>
      <c r="C236" s="1" t="s">
        <v>320</v>
      </c>
    </row>
    <row r="237" spans="1:3" ht="15.75" customHeight="1" x14ac:dyDescent="0.35">
      <c r="A237" s="1">
        <v>236</v>
      </c>
      <c r="B237" s="1">
        <v>12</v>
      </c>
      <c r="C237" s="1" t="s">
        <v>321</v>
      </c>
    </row>
    <row r="238" spans="1:3" ht="15.75" customHeight="1" x14ac:dyDescent="0.35">
      <c r="A238" s="1">
        <v>237</v>
      </c>
      <c r="B238" s="1">
        <v>12</v>
      </c>
      <c r="C238" s="1" t="s">
        <v>322</v>
      </c>
    </row>
    <row r="239" spans="1:3" ht="15.75" customHeight="1" x14ac:dyDescent="0.35">
      <c r="A239" s="1">
        <v>238</v>
      </c>
      <c r="B239" s="1">
        <v>8</v>
      </c>
      <c r="C239" s="1" t="s">
        <v>323</v>
      </c>
    </row>
    <row r="240" spans="1:3" ht="15.75" customHeight="1" x14ac:dyDescent="0.35">
      <c r="A240" s="1">
        <v>239</v>
      </c>
      <c r="B240" s="1">
        <v>3</v>
      </c>
      <c r="C240" s="1" t="s">
        <v>324</v>
      </c>
    </row>
    <row r="241" spans="1:3" ht="15.75" customHeight="1" x14ac:dyDescent="0.35">
      <c r="A241" s="1">
        <v>240</v>
      </c>
      <c r="B241" s="1">
        <v>1</v>
      </c>
      <c r="C241" s="1" t="s">
        <v>325</v>
      </c>
    </row>
    <row r="242" spans="1:3" ht="15.75" customHeight="1" x14ac:dyDescent="0.35">
      <c r="A242" s="1">
        <v>241</v>
      </c>
      <c r="B242" s="1">
        <v>10</v>
      </c>
      <c r="C242" s="1" t="s">
        <v>326</v>
      </c>
    </row>
    <row r="243" spans="1:3" ht="15.75" customHeight="1" x14ac:dyDescent="0.35">
      <c r="A243" s="1">
        <v>242</v>
      </c>
      <c r="B243" s="1">
        <v>8</v>
      </c>
      <c r="C243" s="1" t="s">
        <v>327</v>
      </c>
    </row>
    <row r="244" spans="1:3" ht="15.75" customHeight="1" x14ac:dyDescent="0.35">
      <c r="A244" s="1">
        <v>243</v>
      </c>
      <c r="B244" s="1">
        <v>2</v>
      </c>
      <c r="C244" s="1" t="s">
        <v>328</v>
      </c>
    </row>
    <row r="245" spans="1:3" ht="15.75" customHeight="1" x14ac:dyDescent="0.35">
      <c r="A245" s="1">
        <v>244</v>
      </c>
      <c r="B245" s="1">
        <v>13</v>
      </c>
      <c r="C245" s="1" t="s">
        <v>329</v>
      </c>
    </row>
    <row r="246" spans="1:3" ht="15.75" customHeight="1" x14ac:dyDescent="0.35">
      <c r="A246" s="1">
        <v>245</v>
      </c>
      <c r="B246" s="1">
        <v>11</v>
      </c>
      <c r="C246" s="1" t="s">
        <v>330</v>
      </c>
    </row>
    <row r="247" spans="1:3" ht="15.75" customHeight="1" x14ac:dyDescent="0.35">
      <c r="A247" s="1">
        <v>246</v>
      </c>
      <c r="B247" s="1">
        <v>8</v>
      </c>
      <c r="C247" s="1" t="s">
        <v>331</v>
      </c>
    </row>
    <row r="248" spans="1:3" ht="15.75" customHeight="1" x14ac:dyDescent="0.35">
      <c r="A248" s="1">
        <v>247</v>
      </c>
      <c r="B248" s="1">
        <v>6</v>
      </c>
      <c r="C248" s="1" t="s">
        <v>332</v>
      </c>
    </row>
    <row r="249" spans="1:3" ht="15.75" customHeight="1" x14ac:dyDescent="0.35">
      <c r="A249" s="1">
        <v>248</v>
      </c>
      <c r="B249" s="1">
        <v>3</v>
      </c>
      <c r="C249" s="1" t="s">
        <v>333</v>
      </c>
    </row>
    <row r="250" spans="1:3" ht="15.75" customHeight="1" x14ac:dyDescent="0.35">
      <c r="A250" s="1">
        <v>249</v>
      </c>
      <c r="B250" s="1">
        <v>14</v>
      </c>
      <c r="C250" s="1" t="s">
        <v>334</v>
      </c>
    </row>
    <row r="251" spans="1:3" ht="15.75" customHeight="1" x14ac:dyDescent="0.35">
      <c r="A251" s="1">
        <v>250</v>
      </c>
      <c r="B251" s="1">
        <v>3</v>
      </c>
      <c r="C251" s="1" t="s">
        <v>335</v>
      </c>
    </row>
    <row r="252" spans="1:3" ht="15.75" customHeight="1" x14ac:dyDescent="0.35">
      <c r="A252" s="1">
        <v>251</v>
      </c>
      <c r="B252" s="1">
        <v>1</v>
      </c>
      <c r="C252" s="1" t="s">
        <v>336</v>
      </c>
    </row>
    <row r="253" spans="1:3" ht="15.75" customHeight="1" x14ac:dyDescent="0.35">
      <c r="A253" s="1">
        <v>252</v>
      </c>
      <c r="B253" s="1">
        <v>10</v>
      </c>
      <c r="C253" s="1" t="s">
        <v>337</v>
      </c>
    </row>
    <row r="254" spans="1:3" ht="15.75" customHeight="1" x14ac:dyDescent="0.35">
      <c r="A254" s="1">
        <v>253</v>
      </c>
      <c r="B254" s="1">
        <v>7</v>
      </c>
      <c r="C254" s="1" t="s">
        <v>338</v>
      </c>
    </row>
    <row r="255" spans="1:3" ht="15.75" customHeight="1" x14ac:dyDescent="0.35">
      <c r="A255" s="1">
        <v>254</v>
      </c>
      <c r="B255" s="1">
        <v>8</v>
      </c>
      <c r="C255" s="1" t="s">
        <v>339</v>
      </c>
    </row>
    <row r="256" spans="1:3" ht="15.75" customHeight="1" x14ac:dyDescent="0.35">
      <c r="A256" s="1">
        <v>255</v>
      </c>
      <c r="B256" s="1">
        <v>2</v>
      </c>
      <c r="C256" s="1" t="s">
        <v>340</v>
      </c>
    </row>
    <row r="257" spans="1:3" ht="15.75" customHeight="1" x14ac:dyDescent="0.35">
      <c r="A257" s="1">
        <v>256</v>
      </c>
      <c r="B257" s="1">
        <v>5</v>
      </c>
      <c r="C257" s="1" t="s">
        <v>341</v>
      </c>
    </row>
    <row r="258" spans="1:3" ht="15.75" customHeight="1" x14ac:dyDescent="0.35">
      <c r="A258" s="1">
        <v>257</v>
      </c>
      <c r="B258" s="1">
        <v>13</v>
      </c>
      <c r="C258" s="1" t="s">
        <v>342</v>
      </c>
    </row>
    <row r="259" spans="1:3" ht="15.75" customHeight="1" x14ac:dyDescent="0.35">
      <c r="A259" s="1">
        <v>258</v>
      </c>
      <c r="B259" s="1">
        <v>1</v>
      </c>
      <c r="C259" s="1" t="s">
        <v>343</v>
      </c>
    </row>
    <row r="260" spans="1:3" ht="15.75" customHeight="1" x14ac:dyDescent="0.35">
      <c r="A260" s="1">
        <v>259</v>
      </c>
      <c r="B260" s="1">
        <v>14</v>
      </c>
      <c r="C260" s="1" t="s">
        <v>344</v>
      </c>
    </row>
    <row r="261" spans="1:3" ht="15.75" customHeight="1" x14ac:dyDescent="0.35">
      <c r="A261" s="1">
        <v>260</v>
      </c>
      <c r="B261" s="1">
        <v>3</v>
      </c>
      <c r="C261" s="1" t="s">
        <v>345</v>
      </c>
    </row>
    <row r="262" spans="1:3" ht="15.75" customHeight="1" x14ac:dyDescent="0.35">
      <c r="A262" s="1">
        <v>261</v>
      </c>
      <c r="B262" s="1">
        <v>11</v>
      </c>
      <c r="C262" s="1" t="s">
        <v>346</v>
      </c>
    </row>
    <row r="263" spans="1:3" ht="15.75" customHeight="1" x14ac:dyDescent="0.35">
      <c r="A263" s="1">
        <v>262</v>
      </c>
      <c r="B263" s="1">
        <v>3</v>
      </c>
      <c r="C263" s="1" t="s">
        <v>347</v>
      </c>
    </row>
    <row r="264" spans="1:3" ht="15.75" customHeight="1" x14ac:dyDescent="0.35">
      <c r="A264" s="1">
        <v>263</v>
      </c>
      <c r="B264" s="1">
        <v>10</v>
      </c>
      <c r="C264" s="1" t="s">
        <v>348</v>
      </c>
    </row>
    <row r="265" spans="1:3" ht="15.75" customHeight="1" x14ac:dyDescent="0.35">
      <c r="A265" s="1">
        <v>264</v>
      </c>
      <c r="B265" s="1">
        <v>15</v>
      </c>
      <c r="C265" s="1" t="s">
        <v>349</v>
      </c>
    </row>
    <row r="266" spans="1:3" ht="15.75" customHeight="1" x14ac:dyDescent="0.35">
      <c r="A266" s="1">
        <v>265</v>
      </c>
      <c r="B266" s="1">
        <v>10</v>
      </c>
      <c r="C266" s="1" t="s">
        <v>350</v>
      </c>
    </row>
    <row r="267" spans="1:3" ht="15.75" customHeight="1" x14ac:dyDescent="0.35">
      <c r="A267" s="1">
        <v>266</v>
      </c>
      <c r="B267" s="1">
        <v>1</v>
      </c>
      <c r="C267" s="1" t="s">
        <v>351</v>
      </c>
    </row>
    <row r="268" spans="1:3" ht="15.75" customHeight="1" x14ac:dyDescent="0.35">
      <c r="A268" s="1">
        <v>267</v>
      </c>
      <c r="B268" s="1">
        <v>5</v>
      </c>
      <c r="C268" s="1" t="s">
        <v>352</v>
      </c>
    </row>
    <row r="269" spans="1:3" ht="15.75" customHeight="1" x14ac:dyDescent="0.35">
      <c r="A269" s="1">
        <v>268</v>
      </c>
      <c r="B269" s="1">
        <v>3</v>
      </c>
      <c r="C269" s="1" t="s">
        <v>353</v>
      </c>
    </row>
    <row r="270" spans="1:3" ht="15.75" customHeight="1" x14ac:dyDescent="0.35">
      <c r="A270" s="1">
        <v>269</v>
      </c>
      <c r="B270" s="1">
        <v>7</v>
      </c>
      <c r="C270" s="1" t="s">
        <v>354</v>
      </c>
    </row>
    <row r="271" spans="1:3" ht="15.75" customHeight="1" x14ac:dyDescent="0.35">
      <c r="A271" s="1">
        <v>270</v>
      </c>
      <c r="B271" s="1">
        <v>12</v>
      </c>
      <c r="C271" s="1" t="s">
        <v>355</v>
      </c>
    </row>
    <row r="272" spans="1:3" ht="15.75" customHeight="1" x14ac:dyDescent="0.35">
      <c r="A272" s="1">
        <v>271</v>
      </c>
      <c r="B272" s="1">
        <v>1</v>
      </c>
      <c r="C272" s="1" t="s">
        <v>356</v>
      </c>
    </row>
    <row r="273" spans="1:3" ht="15.75" customHeight="1" x14ac:dyDescent="0.35">
      <c r="A273" s="1">
        <v>272</v>
      </c>
      <c r="B273" s="1">
        <v>5</v>
      </c>
      <c r="C273" s="1" t="s">
        <v>357</v>
      </c>
    </row>
    <row r="274" spans="1:3" ht="15.75" customHeight="1" x14ac:dyDescent="0.35">
      <c r="A274" s="1">
        <v>273</v>
      </c>
      <c r="B274" s="1">
        <v>15</v>
      </c>
      <c r="C274" s="1" t="s">
        <v>358</v>
      </c>
    </row>
    <row r="275" spans="1:3" ht="15.75" customHeight="1" x14ac:dyDescent="0.35">
      <c r="A275" s="1">
        <v>274</v>
      </c>
      <c r="B275" s="1">
        <v>9</v>
      </c>
      <c r="C275" s="1" t="s">
        <v>359</v>
      </c>
    </row>
    <row r="276" spans="1:3" ht="15.75" customHeight="1" x14ac:dyDescent="0.35">
      <c r="A276" s="1">
        <v>275</v>
      </c>
      <c r="B276" s="1">
        <v>11</v>
      </c>
      <c r="C276" s="1" t="s">
        <v>360</v>
      </c>
    </row>
    <row r="277" spans="1:3" ht="15.75" customHeight="1" x14ac:dyDescent="0.35">
      <c r="A277" s="1">
        <v>276</v>
      </c>
      <c r="B277" s="1">
        <v>8</v>
      </c>
      <c r="C277" s="1" t="s">
        <v>361</v>
      </c>
    </row>
    <row r="278" spans="1:3" ht="15.75" customHeight="1" x14ac:dyDescent="0.35">
      <c r="A278" s="1">
        <v>277</v>
      </c>
      <c r="B278" s="1">
        <v>11</v>
      </c>
      <c r="C278" s="1" t="s">
        <v>362</v>
      </c>
    </row>
    <row r="279" spans="1:3" ht="15.75" customHeight="1" x14ac:dyDescent="0.35">
      <c r="A279" s="1">
        <v>278</v>
      </c>
      <c r="B279" s="1">
        <v>10</v>
      </c>
      <c r="C279" s="1" t="s">
        <v>363</v>
      </c>
    </row>
    <row r="280" spans="1:3" ht="15.75" customHeight="1" x14ac:dyDescent="0.35">
      <c r="A280" s="1">
        <v>279</v>
      </c>
      <c r="B280" s="1">
        <v>10</v>
      </c>
      <c r="C280" s="1" t="s">
        <v>364</v>
      </c>
    </row>
    <row r="281" spans="1:3" ht="15.75" customHeight="1" x14ac:dyDescent="0.35">
      <c r="A281" s="1">
        <v>280</v>
      </c>
      <c r="B281" s="1">
        <v>12</v>
      </c>
      <c r="C281" s="1" t="s">
        <v>365</v>
      </c>
    </row>
    <row r="282" spans="1:3" ht="15.75" customHeight="1" x14ac:dyDescent="0.35">
      <c r="A282" s="1">
        <v>281</v>
      </c>
      <c r="B282" s="1">
        <v>12</v>
      </c>
      <c r="C282" s="1" t="s">
        <v>366</v>
      </c>
    </row>
    <row r="283" spans="1:3" ht="15.75" customHeight="1" x14ac:dyDescent="0.35">
      <c r="A283" s="1">
        <v>282</v>
      </c>
      <c r="B283" s="1">
        <v>6</v>
      </c>
      <c r="C283" s="1" t="s">
        <v>367</v>
      </c>
    </row>
    <row r="284" spans="1:3" ht="15.75" customHeight="1" x14ac:dyDescent="0.35">
      <c r="A284" s="1">
        <v>283</v>
      </c>
      <c r="B284" s="1">
        <v>1</v>
      </c>
      <c r="C284" s="1" t="s">
        <v>368</v>
      </c>
    </row>
    <row r="285" spans="1:3" ht="15.75" customHeight="1" x14ac:dyDescent="0.35">
      <c r="A285" s="1">
        <v>284</v>
      </c>
      <c r="B285" s="1">
        <v>2</v>
      </c>
      <c r="C285" s="1" t="s">
        <v>369</v>
      </c>
    </row>
    <row r="286" spans="1:3" ht="15.75" customHeight="1" x14ac:dyDescent="0.35">
      <c r="A286" s="1">
        <v>285</v>
      </c>
      <c r="B286" s="1">
        <v>15</v>
      </c>
      <c r="C286" s="1" t="s">
        <v>370</v>
      </c>
    </row>
    <row r="287" spans="1:3" ht="15.75" customHeight="1" x14ac:dyDescent="0.35">
      <c r="A287" s="1">
        <v>286</v>
      </c>
      <c r="B287" s="1">
        <v>5</v>
      </c>
      <c r="C287" s="1" t="s">
        <v>371</v>
      </c>
    </row>
    <row r="288" spans="1:3" ht="15.75" customHeight="1" x14ac:dyDescent="0.35">
      <c r="A288" s="1">
        <v>287</v>
      </c>
      <c r="B288" s="1">
        <v>4</v>
      </c>
      <c r="C288" s="1" t="s">
        <v>372</v>
      </c>
    </row>
    <row r="289" spans="1:3" ht="15.75" customHeight="1" x14ac:dyDescent="0.35">
      <c r="A289" s="1">
        <v>288</v>
      </c>
      <c r="B289" s="1">
        <v>12</v>
      </c>
      <c r="C289" s="1" t="s">
        <v>373</v>
      </c>
    </row>
    <row r="290" spans="1:3" ht="15.75" customHeight="1" x14ac:dyDescent="0.35">
      <c r="A290" s="1">
        <v>289</v>
      </c>
      <c r="B290" s="1">
        <v>9</v>
      </c>
      <c r="C290" s="1" t="s">
        <v>374</v>
      </c>
    </row>
    <row r="291" spans="1:3" ht="15.75" customHeight="1" x14ac:dyDescent="0.35">
      <c r="A291" s="1">
        <v>290</v>
      </c>
      <c r="B291" s="1">
        <v>5</v>
      </c>
      <c r="C291" s="1" t="s">
        <v>375</v>
      </c>
    </row>
    <row r="292" spans="1:3" ht="15.75" customHeight="1" x14ac:dyDescent="0.35">
      <c r="A292" s="1">
        <v>291</v>
      </c>
      <c r="B292" s="1">
        <v>7</v>
      </c>
      <c r="C292" s="1" t="s">
        <v>376</v>
      </c>
    </row>
    <row r="293" spans="1:3" ht="15.75" customHeight="1" x14ac:dyDescent="0.35">
      <c r="A293" s="1">
        <v>292</v>
      </c>
      <c r="B293" s="1">
        <v>15</v>
      </c>
      <c r="C293" s="1" t="s">
        <v>377</v>
      </c>
    </row>
    <row r="294" spans="1:3" ht="15.75" customHeight="1" x14ac:dyDescent="0.35">
      <c r="A294" s="1">
        <v>293</v>
      </c>
      <c r="B294" s="1">
        <v>10</v>
      </c>
      <c r="C294" s="1" t="s">
        <v>378</v>
      </c>
    </row>
    <row r="295" spans="1:3" ht="15.75" customHeight="1" x14ac:dyDescent="0.35">
      <c r="A295" s="1">
        <v>294</v>
      </c>
      <c r="B295" s="1">
        <v>2</v>
      </c>
      <c r="C295" s="1" t="s">
        <v>379</v>
      </c>
    </row>
    <row r="296" spans="1:3" ht="15.75" customHeight="1" x14ac:dyDescent="0.35">
      <c r="A296" s="1">
        <v>295</v>
      </c>
      <c r="B296" s="1">
        <v>10</v>
      </c>
      <c r="C296" s="1" t="s">
        <v>380</v>
      </c>
    </row>
    <row r="297" spans="1:3" ht="15.75" customHeight="1" x14ac:dyDescent="0.35">
      <c r="A297" s="1">
        <v>296</v>
      </c>
      <c r="B297" s="1">
        <v>8</v>
      </c>
      <c r="C297" s="1" t="s">
        <v>381</v>
      </c>
    </row>
    <row r="298" spans="1:3" ht="15.75" customHeight="1" x14ac:dyDescent="0.35">
      <c r="A298" s="1">
        <v>297</v>
      </c>
      <c r="B298" s="1">
        <v>1</v>
      </c>
      <c r="C298" s="1" t="s">
        <v>382</v>
      </c>
    </row>
    <row r="299" spans="1:3" ht="15.75" customHeight="1" x14ac:dyDescent="0.35">
      <c r="A299" s="1">
        <v>298</v>
      </c>
      <c r="B299" s="1">
        <v>4</v>
      </c>
      <c r="C299" s="1" t="s">
        <v>383</v>
      </c>
    </row>
    <row r="300" spans="1:3" ht="15.75" customHeight="1" x14ac:dyDescent="0.35">
      <c r="A300" s="1">
        <v>299</v>
      </c>
      <c r="B300" s="1">
        <v>5</v>
      </c>
      <c r="C300" s="1" t="s">
        <v>384</v>
      </c>
    </row>
    <row r="301" spans="1:3" ht="15.75" customHeight="1" x14ac:dyDescent="0.35">
      <c r="A301" s="1">
        <v>300</v>
      </c>
      <c r="B301" s="1">
        <v>8</v>
      </c>
      <c r="C301" s="1" t="s">
        <v>385</v>
      </c>
    </row>
    <row r="302" spans="1:3" ht="15.75" customHeight="1" x14ac:dyDescent="0.35">
      <c r="A302" s="1">
        <v>301</v>
      </c>
      <c r="B302" s="1">
        <v>14</v>
      </c>
      <c r="C302" s="1" t="s">
        <v>386</v>
      </c>
    </row>
    <row r="303" spans="1:3" ht="15.75" customHeight="1" x14ac:dyDescent="0.35">
      <c r="A303" s="1">
        <v>302</v>
      </c>
      <c r="B303" s="1">
        <v>4</v>
      </c>
      <c r="C303" s="1" t="s">
        <v>387</v>
      </c>
    </row>
    <row r="304" spans="1:3" ht="15.75" customHeight="1" x14ac:dyDescent="0.35">
      <c r="A304" s="1">
        <v>303</v>
      </c>
      <c r="B304" s="1">
        <v>3</v>
      </c>
      <c r="C304" s="1" t="s">
        <v>388</v>
      </c>
    </row>
    <row r="305" spans="1:3" ht="15.75" customHeight="1" x14ac:dyDescent="0.35">
      <c r="A305" s="1">
        <v>304</v>
      </c>
      <c r="B305" s="1">
        <v>3</v>
      </c>
      <c r="C305" s="1" t="s">
        <v>389</v>
      </c>
    </row>
    <row r="306" spans="1:3" ht="15.75" customHeight="1" x14ac:dyDescent="0.35">
      <c r="A306" s="1">
        <v>305</v>
      </c>
      <c r="B306" s="1">
        <v>11</v>
      </c>
      <c r="C306" s="1" t="s">
        <v>390</v>
      </c>
    </row>
    <row r="307" spans="1:3" ht="15.75" customHeight="1" x14ac:dyDescent="0.35">
      <c r="A307" s="1">
        <v>306</v>
      </c>
      <c r="B307" s="1">
        <v>3</v>
      </c>
      <c r="C307" s="1" t="s">
        <v>391</v>
      </c>
    </row>
    <row r="308" spans="1:3" ht="15.75" customHeight="1" x14ac:dyDescent="0.35">
      <c r="A308" s="1">
        <v>307</v>
      </c>
      <c r="B308" s="1">
        <v>11</v>
      </c>
      <c r="C308" s="1" t="s">
        <v>392</v>
      </c>
    </row>
    <row r="309" spans="1:3" ht="15.75" customHeight="1" x14ac:dyDescent="0.35">
      <c r="A309" s="1">
        <v>308</v>
      </c>
      <c r="B309" s="1">
        <v>8</v>
      </c>
      <c r="C309" s="1" t="s">
        <v>393</v>
      </c>
    </row>
    <row r="310" spans="1:3" ht="15.75" customHeight="1" x14ac:dyDescent="0.35">
      <c r="A310" s="1">
        <v>309</v>
      </c>
      <c r="B310" s="1">
        <v>2</v>
      </c>
      <c r="C310" s="1" t="s">
        <v>394</v>
      </c>
    </row>
    <row r="311" spans="1:3" ht="15.75" customHeight="1" x14ac:dyDescent="0.35">
      <c r="A311" s="1">
        <v>310</v>
      </c>
      <c r="B311" s="1">
        <v>14</v>
      </c>
      <c r="C311" s="1" t="s">
        <v>395</v>
      </c>
    </row>
    <row r="312" spans="1:3" ht="15.75" customHeight="1" x14ac:dyDescent="0.35">
      <c r="A312" s="1">
        <v>311</v>
      </c>
      <c r="B312" s="1">
        <v>3</v>
      </c>
      <c r="C312" s="1" t="s">
        <v>396</v>
      </c>
    </row>
    <row r="313" spans="1:3" ht="15.75" customHeight="1" x14ac:dyDescent="0.35">
      <c r="A313" s="1">
        <v>312</v>
      </c>
      <c r="B313" s="1">
        <v>15</v>
      </c>
      <c r="C313" s="1" t="s">
        <v>397</v>
      </c>
    </row>
    <row r="314" spans="1:3" ht="15.75" customHeight="1" x14ac:dyDescent="0.35">
      <c r="A314" s="1">
        <v>313</v>
      </c>
      <c r="B314" s="1">
        <v>4</v>
      </c>
      <c r="C314" s="1" t="s">
        <v>398</v>
      </c>
    </row>
    <row r="315" spans="1:3" ht="15.75" customHeight="1" x14ac:dyDescent="0.35">
      <c r="A315" s="1">
        <v>314</v>
      </c>
      <c r="B315" s="1">
        <v>6</v>
      </c>
      <c r="C315" s="1" t="s">
        <v>399</v>
      </c>
    </row>
    <row r="316" spans="1:3" ht="15.75" customHeight="1" x14ac:dyDescent="0.35">
      <c r="A316" s="1">
        <v>315</v>
      </c>
      <c r="B316" s="1">
        <v>10</v>
      </c>
      <c r="C316" s="1" t="s">
        <v>400</v>
      </c>
    </row>
    <row r="317" spans="1:3" ht="15.75" customHeight="1" x14ac:dyDescent="0.35">
      <c r="A317" s="1">
        <v>316</v>
      </c>
      <c r="B317" s="1">
        <v>12</v>
      </c>
      <c r="C317" s="1" t="s">
        <v>401</v>
      </c>
    </row>
    <row r="318" spans="1:3" ht="15.75" customHeight="1" x14ac:dyDescent="0.35">
      <c r="A318" s="1">
        <v>317</v>
      </c>
      <c r="B318" s="1">
        <v>6</v>
      </c>
      <c r="C318" s="1" t="s">
        <v>402</v>
      </c>
    </row>
    <row r="319" spans="1:3" ht="15.75" customHeight="1" x14ac:dyDescent="0.35">
      <c r="A319" s="1">
        <v>318</v>
      </c>
      <c r="B319" s="1">
        <v>8</v>
      </c>
      <c r="C319" s="1" t="s">
        <v>403</v>
      </c>
    </row>
    <row r="320" spans="1:3" ht="15.75" customHeight="1" x14ac:dyDescent="0.35">
      <c r="A320" s="1">
        <v>319</v>
      </c>
      <c r="B320" s="1">
        <v>1</v>
      </c>
      <c r="C320" s="1" t="s">
        <v>404</v>
      </c>
    </row>
    <row r="321" spans="1:3" ht="15.75" customHeight="1" x14ac:dyDescent="0.35">
      <c r="A321" s="1">
        <v>320</v>
      </c>
      <c r="B321" s="1">
        <v>9</v>
      </c>
      <c r="C321" s="1" t="s">
        <v>405</v>
      </c>
    </row>
    <row r="322" spans="1:3" ht="15.75" customHeight="1" x14ac:dyDescent="0.35">
      <c r="A322" s="1">
        <v>321</v>
      </c>
      <c r="B322" s="1">
        <v>5</v>
      </c>
      <c r="C322" s="1" t="s">
        <v>406</v>
      </c>
    </row>
    <row r="323" spans="1:3" ht="15.75" customHeight="1" x14ac:dyDescent="0.35">
      <c r="A323" s="1">
        <v>322</v>
      </c>
      <c r="B323" s="1">
        <v>7</v>
      </c>
      <c r="C323" s="1" t="s">
        <v>407</v>
      </c>
    </row>
    <row r="324" spans="1:3" ht="15.75" customHeight="1" x14ac:dyDescent="0.35">
      <c r="A324" s="1">
        <v>323</v>
      </c>
      <c r="B324" s="1">
        <v>14</v>
      </c>
      <c r="C324" s="1" t="s">
        <v>408</v>
      </c>
    </row>
    <row r="325" spans="1:3" ht="15.75" customHeight="1" x14ac:dyDescent="0.35">
      <c r="A325" s="1">
        <v>324</v>
      </c>
      <c r="B325" s="1">
        <v>9</v>
      </c>
      <c r="C325" s="1" t="s">
        <v>409</v>
      </c>
    </row>
    <row r="326" spans="1:3" ht="15.75" customHeight="1" x14ac:dyDescent="0.35">
      <c r="A326" s="1">
        <v>325</v>
      </c>
      <c r="B326" s="1">
        <v>2</v>
      </c>
      <c r="C326" s="1" t="s">
        <v>410</v>
      </c>
    </row>
    <row r="327" spans="1:3" ht="15.75" customHeight="1" x14ac:dyDescent="0.35">
      <c r="A327" s="1">
        <v>326</v>
      </c>
      <c r="B327" s="1">
        <v>3</v>
      </c>
      <c r="C327" s="1" t="s">
        <v>411</v>
      </c>
    </row>
    <row r="328" spans="1:3" ht="15.75" customHeight="1" x14ac:dyDescent="0.35">
      <c r="A328" s="1">
        <v>327</v>
      </c>
      <c r="B328" s="1">
        <v>14</v>
      </c>
      <c r="C328" s="1" t="s">
        <v>412</v>
      </c>
    </row>
    <row r="329" spans="1:3" ht="15.75" customHeight="1" x14ac:dyDescent="0.35">
      <c r="A329" s="1">
        <v>328</v>
      </c>
      <c r="B329" s="1">
        <v>8</v>
      </c>
      <c r="C329" s="1" t="s">
        <v>413</v>
      </c>
    </row>
    <row r="330" spans="1:3" ht="15.75" customHeight="1" x14ac:dyDescent="0.35">
      <c r="A330" s="1">
        <v>329</v>
      </c>
      <c r="B330" s="1">
        <v>3</v>
      </c>
      <c r="C330" s="1" t="s">
        <v>414</v>
      </c>
    </row>
    <row r="331" spans="1:3" ht="15.75" customHeight="1" x14ac:dyDescent="0.35">
      <c r="A331" s="1">
        <v>330</v>
      </c>
      <c r="B331" s="1">
        <v>14</v>
      </c>
      <c r="C331" s="1" t="s">
        <v>415</v>
      </c>
    </row>
    <row r="332" spans="1:3" ht="15.75" customHeight="1" x14ac:dyDescent="0.35">
      <c r="A332" s="1">
        <v>331</v>
      </c>
      <c r="B332" s="1">
        <v>10</v>
      </c>
      <c r="C332" s="1" t="s">
        <v>416</v>
      </c>
    </row>
    <row r="333" spans="1:3" ht="15.75" customHeight="1" x14ac:dyDescent="0.35">
      <c r="A333" s="1">
        <v>332</v>
      </c>
      <c r="B333" s="1">
        <v>2</v>
      </c>
      <c r="C333" s="1" t="s">
        <v>417</v>
      </c>
    </row>
    <row r="334" spans="1:3" ht="15.75" customHeight="1" x14ac:dyDescent="0.35">
      <c r="A334" s="1">
        <v>333</v>
      </c>
      <c r="B334" s="1">
        <v>2</v>
      </c>
      <c r="C334" s="1" t="s">
        <v>418</v>
      </c>
    </row>
    <row r="335" spans="1:3" ht="15.75" customHeight="1" x14ac:dyDescent="0.35">
      <c r="A335" s="1">
        <v>334</v>
      </c>
      <c r="B335" s="1">
        <v>8</v>
      </c>
      <c r="C335" s="1" t="s">
        <v>419</v>
      </c>
    </row>
    <row r="336" spans="1:3" ht="15.75" customHeight="1" x14ac:dyDescent="0.35">
      <c r="A336" s="1">
        <v>335</v>
      </c>
      <c r="B336" s="1">
        <v>3</v>
      </c>
      <c r="C336" s="1" t="s">
        <v>420</v>
      </c>
    </row>
    <row r="337" spans="1:3" ht="15.75" customHeight="1" x14ac:dyDescent="0.35">
      <c r="A337" s="1">
        <v>336</v>
      </c>
      <c r="B337" s="1">
        <v>15</v>
      </c>
      <c r="C337" s="1" t="s">
        <v>421</v>
      </c>
    </row>
    <row r="338" spans="1:3" ht="15.75" customHeight="1" x14ac:dyDescent="0.35">
      <c r="A338" s="1">
        <v>337</v>
      </c>
      <c r="B338" s="1">
        <v>5</v>
      </c>
      <c r="C338" s="1" t="s">
        <v>422</v>
      </c>
    </row>
    <row r="339" spans="1:3" ht="15.75" customHeight="1" x14ac:dyDescent="0.35">
      <c r="A339" s="1">
        <v>338</v>
      </c>
      <c r="B339" s="1">
        <v>2</v>
      </c>
      <c r="C339" s="1" t="s">
        <v>423</v>
      </c>
    </row>
    <row r="340" spans="1:3" ht="15.75" customHeight="1" x14ac:dyDescent="0.35">
      <c r="A340" s="1">
        <v>339</v>
      </c>
      <c r="B340" s="1">
        <v>10</v>
      </c>
      <c r="C340" s="1" t="s">
        <v>424</v>
      </c>
    </row>
    <row r="341" spans="1:3" ht="15.75" customHeight="1" x14ac:dyDescent="0.35">
      <c r="A341" s="1">
        <v>340</v>
      </c>
      <c r="B341" s="1">
        <v>4</v>
      </c>
      <c r="C341" s="1" t="s">
        <v>425</v>
      </c>
    </row>
    <row r="342" spans="1:3" ht="15.75" customHeight="1" x14ac:dyDescent="0.35">
      <c r="A342" s="1">
        <v>341</v>
      </c>
      <c r="B342" s="1">
        <v>14</v>
      </c>
      <c r="C342" s="1" t="s">
        <v>426</v>
      </c>
    </row>
    <row r="343" spans="1:3" ht="15.75" customHeight="1" x14ac:dyDescent="0.35">
      <c r="A343" s="1">
        <v>342</v>
      </c>
      <c r="B343" s="1">
        <v>14</v>
      </c>
      <c r="C343" s="1" t="s">
        <v>427</v>
      </c>
    </row>
    <row r="344" spans="1:3" ht="15.75" customHeight="1" x14ac:dyDescent="0.35">
      <c r="A344" s="1">
        <v>343</v>
      </c>
      <c r="B344" s="1">
        <v>6</v>
      </c>
      <c r="C344" s="1" t="s">
        <v>428</v>
      </c>
    </row>
    <row r="345" spans="1:3" ht="15.75" customHeight="1" x14ac:dyDescent="0.35">
      <c r="A345" s="1">
        <v>344</v>
      </c>
      <c r="B345" s="1">
        <v>12</v>
      </c>
      <c r="C345" s="1" t="s">
        <v>428</v>
      </c>
    </row>
    <row r="346" spans="1:3" ht="15.75" customHeight="1" x14ac:dyDescent="0.35">
      <c r="A346" s="1">
        <v>345</v>
      </c>
      <c r="B346" s="1">
        <v>5</v>
      </c>
      <c r="C346" s="1" t="s">
        <v>429</v>
      </c>
    </row>
    <row r="347" spans="1:3" ht="15.75" customHeight="1" x14ac:dyDescent="0.35">
      <c r="A347" s="1">
        <v>346</v>
      </c>
      <c r="B347" s="1">
        <v>9</v>
      </c>
      <c r="C347" s="1" t="s">
        <v>430</v>
      </c>
    </row>
    <row r="348" spans="1:3" ht="15.75" customHeight="1" x14ac:dyDescent="0.35">
      <c r="A348" s="1">
        <v>347</v>
      </c>
      <c r="B348" s="1">
        <v>7</v>
      </c>
      <c r="C348" s="1" t="s">
        <v>431</v>
      </c>
    </row>
    <row r="349" spans="1:3" ht="15.75" customHeight="1" x14ac:dyDescent="0.35">
      <c r="A349" s="1">
        <v>348</v>
      </c>
      <c r="B349" s="1">
        <v>9</v>
      </c>
      <c r="C349" s="1" t="s">
        <v>432</v>
      </c>
    </row>
    <row r="350" spans="1:3" ht="15.75" customHeight="1" x14ac:dyDescent="0.35">
      <c r="A350" s="1">
        <v>349</v>
      </c>
      <c r="B350" s="1">
        <v>5</v>
      </c>
      <c r="C350" s="1" t="s">
        <v>433</v>
      </c>
    </row>
    <row r="351" spans="1:3" ht="15.75" customHeight="1" x14ac:dyDescent="0.35">
      <c r="A351" s="1">
        <v>350</v>
      </c>
      <c r="B351" s="1">
        <v>9</v>
      </c>
      <c r="C351" s="1" t="s">
        <v>434</v>
      </c>
    </row>
    <row r="352" spans="1:3" ht="15.75" customHeight="1" x14ac:dyDescent="0.35">
      <c r="A352" s="1">
        <v>351</v>
      </c>
      <c r="B352" s="1">
        <v>1</v>
      </c>
      <c r="C352" s="1" t="s">
        <v>435</v>
      </c>
    </row>
    <row r="353" spans="1:3" ht="15.75" customHeight="1" x14ac:dyDescent="0.35">
      <c r="A353" s="1">
        <v>352</v>
      </c>
      <c r="B353" s="1">
        <v>1</v>
      </c>
      <c r="C353" s="1" t="s">
        <v>436</v>
      </c>
    </row>
    <row r="354" spans="1:3" ht="15.75" customHeight="1" x14ac:dyDescent="0.35">
      <c r="A354" s="1">
        <v>353</v>
      </c>
      <c r="B354" s="1">
        <v>1</v>
      </c>
      <c r="C354" s="1" t="s">
        <v>437</v>
      </c>
    </row>
    <row r="355" spans="1:3" ht="15.75" customHeight="1" x14ac:dyDescent="0.35">
      <c r="A355" s="1">
        <v>354</v>
      </c>
      <c r="B355" s="1">
        <v>3</v>
      </c>
      <c r="C355" s="1" t="s">
        <v>438</v>
      </c>
    </row>
    <row r="356" spans="1:3" ht="15.75" customHeight="1" x14ac:dyDescent="0.35">
      <c r="A356" s="1">
        <v>355</v>
      </c>
      <c r="B356" s="1">
        <v>13</v>
      </c>
      <c r="C356" s="1" t="s">
        <v>439</v>
      </c>
    </row>
    <row r="357" spans="1:3" ht="15.75" customHeight="1" x14ac:dyDescent="0.35">
      <c r="A357" s="1">
        <v>356</v>
      </c>
      <c r="B357" s="1">
        <v>11</v>
      </c>
      <c r="C357" s="1" t="s">
        <v>440</v>
      </c>
    </row>
    <row r="358" spans="1:3" ht="15.75" customHeight="1" x14ac:dyDescent="0.35">
      <c r="A358" s="1">
        <v>357</v>
      </c>
      <c r="B358" s="1">
        <v>1</v>
      </c>
      <c r="C358" s="1" t="s">
        <v>441</v>
      </c>
    </row>
    <row r="359" spans="1:3" ht="15.75" customHeight="1" x14ac:dyDescent="0.35">
      <c r="A359" s="1">
        <v>358</v>
      </c>
      <c r="B359" s="1">
        <v>11</v>
      </c>
      <c r="C359" s="1" t="s">
        <v>441</v>
      </c>
    </row>
    <row r="360" spans="1:3" ht="15.75" customHeight="1" x14ac:dyDescent="0.35">
      <c r="A360" s="1">
        <v>359</v>
      </c>
      <c r="B360" s="1">
        <v>11</v>
      </c>
      <c r="C360" s="1" t="s">
        <v>442</v>
      </c>
    </row>
    <row r="361" spans="1:3" ht="15.75" customHeight="1" x14ac:dyDescent="0.35">
      <c r="A361" s="1">
        <v>360</v>
      </c>
      <c r="B361" s="1">
        <v>11</v>
      </c>
      <c r="C361" s="1" t="s">
        <v>443</v>
      </c>
    </row>
    <row r="362" spans="1:3" ht="15.75" customHeight="1" x14ac:dyDescent="0.35">
      <c r="A362" s="1">
        <v>361</v>
      </c>
      <c r="B362" s="1">
        <v>6</v>
      </c>
      <c r="C362" s="1" t="s">
        <v>444</v>
      </c>
    </row>
    <row r="363" spans="1:3" ht="15.75" customHeight="1" x14ac:dyDescent="0.35">
      <c r="A363" s="1">
        <v>362</v>
      </c>
      <c r="B363" s="1">
        <v>4</v>
      </c>
      <c r="C363" s="1" t="s">
        <v>445</v>
      </c>
    </row>
    <row r="364" spans="1:3" ht="15.75" customHeight="1" x14ac:dyDescent="0.35">
      <c r="A364" s="1">
        <v>363</v>
      </c>
      <c r="B364" s="1">
        <v>13</v>
      </c>
      <c r="C364" s="1" t="s">
        <v>446</v>
      </c>
    </row>
    <row r="365" spans="1:3" ht="15.75" customHeight="1" x14ac:dyDescent="0.35">
      <c r="A365" s="1">
        <v>364</v>
      </c>
      <c r="B365" s="1">
        <v>14</v>
      </c>
      <c r="C365" s="1" t="s">
        <v>447</v>
      </c>
    </row>
    <row r="366" spans="1:3" ht="15.75" customHeight="1" x14ac:dyDescent="0.35">
      <c r="A366" s="1">
        <v>365</v>
      </c>
      <c r="B366" s="1">
        <v>8</v>
      </c>
      <c r="C366" s="1" t="s">
        <v>448</v>
      </c>
    </row>
    <row r="367" spans="1:3" ht="15.75" customHeight="1" x14ac:dyDescent="0.35">
      <c r="A367" s="1">
        <v>366</v>
      </c>
      <c r="B367" s="1">
        <v>3</v>
      </c>
      <c r="C367" s="1" t="s">
        <v>449</v>
      </c>
    </row>
    <row r="368" spans="1:3" ht="15.75" customHeight="1" x14ac:dyDescent="0.35">
      <c r="A368" s="1">
        <v>367</v>
      </c>
      <c r="B368" s="1">
        <v>6</v>
      </c>
      <c r="C368" s="1" t="s">
        <v>450</v>
      </c>
    </row>
    <row r="369" spans="1:3" ht="15.75" customHeight="1" x14ac:dyDescent="0.35">
      <c r="A369" s="1">
        <v>368</v>
      </c>
      <c r="B369" s="1">
        <v>10</v>
      </c>
      <c r="C369" s="1" t="s">
        <v>451</v>
      </c>
    </row>
    <row r="370" spans="1:3" ht="15.75" customHeight="1" x14ac:dyDescent="0.35">
      <c r="A370" s="1">
        <v>369</v>
      </c>
      <c r="B370" s="1">
        <v>7</v>
      </c>
      <c r="C370" s="1" t="s">
        <v>452</v>
      </c>
    </row>
    <row r="371" spans="1:3" ht="15.75" customHeight="1" x14ac:dyDescent="0.35">
      <c r="A371" s="1">
        <v>370</v>
      </c>
      <c r="B371" s="1">
        <v>13</v>
      </c>
      <c r="C371" s="1" t="s">
        <v>453</v>
      </c>
    </row>
    <row r="372" spans="1:3" ht="15.75" customHeight="1" x14ac:dyDescent="0.35">
      <c r="A372" s="1">
        <v>371</v>
      </c>
      <c r="B372" s="1">
        <v>5</v>
      </c>
      <c r="C372" s="1" t="s">
        <v>454</v>
      </c>
    </row>
    <row r="373" spans="1:3" ht="15.75" customHeight="1" x14ac:dyDescent="0.35">
      <c r="A373" s="1">
        <v>372</v>
      </c>
      <c r="B373" s="1">
        <v>9</v>
      </c>
      <c r="C373" s="1" t="s">
        <v>455</v>
      </c>
    </row>
    <row r="374" spans="1:3" ht="15.75" customHeight="1" x14ac:dyDescent="0.35">
      <c r="A374" s="1">
        <v>373</v>
      </c>
      <c r="B374" s="1">
        <v>15</v>
      </c>
      <c r="C374" s="1" t="s">
        <v>456</v>
      </c>
    </row>
    <row r="375" spans="1:3" ht="15.75" customHeight="1" x14ac:dyDescent="0.35">
      <c r="A375" s="1">
        <v>374</v>
      </c>
      <c r="B375" s="1">
        <v>2</v>
      </c>
      <c r="C375" s="1" t="s">
        <v>457</v>
      </c>
    </row>
    <row r="376" spans="1:3" ht="15.75" customHeight="1" x14ac:dyDescent="0.35">
      <c r="A376" s="1">
        <v>375</v>
      </c>
      <c r="B376" s="1">
        <v>5</v>
      </c>
      <c r="C376" s="1" t="s">
        <v>458</v>
      </c>
    </row>
    <row r="377" spans="1:3" ht="15.75" customHeight="1" x14ac:dyDescent="0.35">
      <c r="A377" s="1">
        <v>376</v>
      </c>
      <c r="B377" s="1">
        <v>9</v>
      </c>
      <c r="C377" s="1" t="s">
        <v>459</v>
      </c>
    </row>
    <row r="378" spans="1:3" ht="15.75" customHeight="1" x14ac:dyDescent="0.35">
      <c r="A378" s="1">
        <v>377</v>
      </c>
      <c r="B378" s="1">
        <v>15</v>
      </c>
      <c r="C378" s="1" t="s">
        <v>460</v>
      </c>
    </row>
    <row r="379" spans="1:3" ht="15.75" customHeight="1" x14ac:dyDescent="0.35">
      <c r="A379" s="1">
        <v>378</v>
      </c>
      <c r="B379" s="1">
        <v>11</v>
      </c>
      <c r="C379" s="1" t="s">
        <v>461</v>
      </c>
    </row>
    <row r="380" spans="1:3" ht="15.75" customHeight="1" x14ac:dyDescent="0.35">
      <c r="A380" s="1">
        <v>379</v>
      </c>
      <c r="B380" s="1">
        <v>4</v>
      </c>
      <c r="C380" s="1" t="s">
        <v>462</v>
      </c>
    </row>
    <row r="381" spans="1:3" ht="15.75" customHeight="1" x14ac:dyDescent="0.35">
      <c r="A381" s="1">
        <v>380</v>
      </c>
      <c r="B381" s="1">
        <v>14</v>
      </c>
      <c r="C381" s="1" t="s">
        <v>463</v>
      </c>
    </row>
    <row r="382" spans="1:3" ht="15.75" customHeight="1" x14ac:dyDescent="0.35">
      <c r="A382" s="1">
        <v>381</v>
      </c>
      <c r="B382" s="1">
        <v>6</v>
      </c>
      <c r="C382" s="1" t="s">
        <v>464</v>
      </c>
    </row>
    <row r="383" spans="1:3" ht="15.75" customHeight="1" x14ac:dyDescent="0.35">
      <c r="A383" s="1">
        <v>382</v>
      </c>
      <c r="B383" s="1">
        <v>9</v>
      </c>
      <c r="C383" s="1" t="s">
        <v>465</v>
      </c>
    </row>
    <row r="384" spans="1:3" ht="15.75" customHeight="1" x14ac:dyDescent="0.35">
      <c r="A384" s="1">
        <v>383</v>
      </c>
      <c r="B384" s="1">
        <v>2</v>
      </c>
      <c r="C384" s="1" t="s">
        <v>466</v>
      </c>
    </row>
    <row r="385" spans="1:3" ht="15.75" customHeight="1" x14ac:dyDescent="0.35">
      <c r="A385" s="1">
        <v>384</v>
      </c>
      <c r="B385" s="1">
        <v>14</v>
      </c>
      <c r="C385" s="1" t="s">
        <v>467</v>
      </c>
    </row>
    <row r="386" spans="1:3" ht="15.75" customHeight="1" x14ac:dyDescent="0.35">
      <c r="A386" s="1">
        <v>385</v>
      </c>
      <c r="B386" s="1">
        <v>9</v>
      </c>
      <c r="C386" s="1" t="s">
        <v>468</v>
      </c>
    </row>
    <row r="387" spans="1:3" ht="15.75" customHeight="1" x14ac:dyDescent="0.35">
      <c r="A387" s="1">
        <v>386</v>
      </c>
      <c r="B387" s="1">
        <v>14</v>
      </c>
      <c r="C387" s="1" t="s">
        <v>469</v>
      </c>
    </row>
    <row r="388" spans="1:3" ht="15.75" customHeight="1" x14ac:dyDescent="0.35">
      <c r="A388" s="1">
        <v>387</v>
      </c>
      <c r="B388" s="1">
        <v>8</v>
      </c>
      <c r="C388" s="1" t="s">
        <v>470</v>
      </c>
    </row>
    <row r="389" spans="1:3" ht="15.75" customHeight="1" x14ac:dyDescent="0.35">
      <c r="A389" s="1">
        <v>388</v>
      </c>
      <c r="B389" s="1">
        <v>10</v>
      </c>
      <c r="C389" s="1" t="s">
        <v>471</v>
      </c>
    </row>
    <row r="390" spans="1:3" ht="15.75" customHeight="1" x14ac:dyDescent="0.35">
      <c r="A390" s="1">
        <v>389</v>
      </c>
      <c r="B390" s="1">
        <v>11</v>
      </c>
      <c r="C390" s="1" t="s">
        <v>472</v>
      </c>
    </row>
    <row r="391" spans="1:3" ht="15.75" customHeight="1" x14ac:dyDescent="0.35">
      <c r="A391" s="1">
        <v>390</v>
      </c>
      <c r="B391" s="1">
        <v>15</v>
      </c>
      <c r="C391" s="1" t="s">
        <v>473</v>
      </c>
    </row>
    <row r="392" spans="1:3" ht="15.75" customHeight="1" x14ac:dyDescent="0.35">
      <c r="A392" s="1">
        <v>391</v>
      </c>
      <c r="B392" s="1">
        <v>13</v>
      </c>
      <c r="C392" s="1" t="s">
        <v>474</v>
      </c>
    </row>
    <row r="393" spans="1:3" ht="15.75" customHeight="1" x14ac:dyDescent="0.35">
      <c r="A393" s="1">
        <v>392</v>
      </c>
      <c r="B393" s="1">
        <v>15</v>
      </c>
      <c r="C393" s="1" t="s">
        <v>475</v>
      </c>
    </row>
    <row r="394" spans="1:3" ht="15.75" customHeight="1" x14ac:dyDescent="0.35">
      <c r="A394" s="1">
        <v>393</v>
      </c>
      <c r="B394" s="1">
        <v>1</v>
      </c>
      <c r="C394" s="1" t="s">
        <v>476</v>
      </c>
    </row>
    <row r="395" spans="1:3" ht="15.75" customHeight="1" x14ac:dyDescent="0.35">
      <c r="A395" s="1">
        <v>394</v>
      </c>
      <c r="B395" s="1">
        <v>15</v>
      </c>
      <c r="C395" s="1" t="s">
        <v>477</v>
      </c>
    </row>
    <row r="396" spans="1:3" ht="15.75" customHeight="1" x14ac:dyDescent="0.35">
      <c r="A396" s="1">
        <v>395</v>
      </c>
      <c r="B396" s="1">
        <v>14</v>
      </c>
      <c r="C396" s="1" t="s">
        <v>478</v>
      </c>
    </row>
    <row r="397" spans="1:3" ht="15.75" customHeight="1" x14ac:dyDescent="0.35">
      <c r="A397" s="1">
        <v>396</v>
      </c>
      <c r="B397" s="1">
        <v>7</v>
      </c>
      <c r="C397" s="1" t="s">
        <v>479</v>
      </c>
    </row>
    <row r="398" spans="1:3" ht="15.75" customHeight="1" x14ac:dyDescent="0.35">
      <c r="A398" s="1">
        <v>397</v>
      </c>
      <c r="B398" s="1">
        <v>15</v>
      </c>
      <c r="C398" s="1" t="s">
        <v>480</v>
      </c>
    </row>
    <row r="399" spans="1:3" ht="15.75" customHeight="1" x14ac:dyDescent="0.35">
      <c r="A399" s="1">
        <v>398</v>
      </c>
      <c r="B399" s="1">
        <v>11</v>
      </c>
      <c r="C399" s="1" t="s">
        <v>481</v>
      </c>
    </row>
    <row r="400" spans="1:3" ht="15.75" customHeight="1" x14ac:dyDescent="0.35">
      <c r="A400" s="1">
        <v>399</v>
      </c>
      <c r="B400" s="1">
        <v>9</v>
      </c>
      <c r="C400" s="1" t="s">
        <v>482</v>
      </c>
    </row>
    <row r="401" spans="1:3" ht="15.75" customHeight="1" x14ac:dyDescent="0.35">
      <c r="A401" s="1">
        <v>400</v>
      </c>
      <c r="B401" s="1">
        <v>7</v>
      </c>
      <c r="C401" s="1" t="s">
        <v>483</v>
      </c>
    </row>
    <row r="402" spans="1:3" ht="15.75" customHeight="1" x14ac:dyDescent="0.35">
      <c r="A402" s="1">
        <v>401</v>
      </c>
      <c r="B402" s="1">
        <v>9</v>
      </c>
      <c r="C402" s="1" t="s">
        <v>484</v>
      </c>
    </row>
    <row r="403" spans="1:3" ht="15.75" customHeight="1" x14ac:dyDescent="0.35">
      <c r="A403" s="1">
        <v>402</v>
      </c>
      <c r="B403" s="1">
        <v>12</v>
      </c>
      <c r="C403" s="1" t="s">
        <v>485</v>
      </c>
    </row>
    <row r="404" spans="1:3" ht="15.75" customHeight="1" x14ac:dyDescent="0.35">
      <c r="A404" s="1">
        <v>403</v>
      </c>
      <c r="B404" s="1">
        <v>4</v>
      </c>
      <c r="C404" s="1" t="s">
        <v>486</v>
      </c>
    </row>
    <row r="405" spans="1:3" ht="15.75" customHeight="1" x14ac:dyDescent="0.35">
      <c r="A405" s="1">
        <v>404</v>
      </c>
      <c r="B405" s="1">
        <v>6</v>
      </c>
      <c r="C405" s="1" t="s">
        <v>487</v>
      </c>
    </row>
    <row r="406" spans="1:3" ht="15.75" customHeight="1" x14ac:dyDescent="0.35">
      <c r="A406" s="1">
        <v>405</v>
      </c>
      <c r="B406" s="1">
        <v>5</v>
      </c>
      <c r="C406" s="1" t="s">
        <v>488</v>
      </c>
    </row>
    <row r="407" spans="1:3" ht="15.75" customHeight="1" x14ac:dyDescent="0.35">
      <c r="A407" s="1">
        <v>406</v>
      </c>
      <c r="B407" s="1">
        <v>14</v>
      </c>
      <c r="C407" s="1" t="s">
        <v>489</v>
      </c>
    </row>
    <row r="408" spans="1:3" ht="15.75" customHeight="1" x14ac:dyDescent="0.35">
      <c r="A408" s="1">
        <v>407</v>
      </c>
      <c r="B408" s="1">
        <v>12</v>
      </c>
      <c r="C408" s="1" t="s">
        <v>490</v>
      </c>
    </row>
    <row r="409" spans="1:3" ht="15.75" customHeight="1" x14ac:dyDescent="0.35">
      <c r="A409" s="1">
        <v>408</v>
      </c>
      <c r="B409" s="1">
        <v>4</v>
      </c>
      <c r="C409" s="1" t="s">
        <v>491</v>
      </c>
    </row>
    <row r="410" spans="1:3" ht="15.75" customHeight="1" x14ac:dyDescent="0.35">
      <c r="A410" s="1">
        <v>409</v>
      </c>
      <c r="B410" s="1">
        <v>8</v>
      </c>
      <c r="C410" s="1" t="s">
        <v>492</v>
      </c>
    </row>
    <row r="411" spans="1:3" ht="15.75" customHeight="1" x14ac:dyDescent="0.35">
      <c r="A411" s="1">
        <v>410</v>
      </c>
      <c r="B411" s="1">
        <v>9</v>
      </c>
      <c r="C411" s="1" t="s">
        <v>493</v>
      </c>
    </row>
    <row r="412" spans="1:3" ht="15.75" customHeight="1" x14ac:dyDescent="0.35">
      <c r="A412" s="1">
        <v>411</v>
      </c>
      <c r="B412" s="1">
        <v>5</v>
      </c>
      <c r="C412" s="1" t="s">
        <v>494</v>
      </c>
    </row>
    <row r="413" spans="1:3" ht="15.75" customHeight="1" x14ac:dyDescent="0.35">
      <c r="A413" s="1">
        <v>412</v>
      </c>
      <c r="B413" s="1">
        <v>11</v>
      </c>
      <c r="C413" s="1" t="s">
        <v>495</v>
      </c>
    </row>
    <row r="414" spans="1:3" ht="15.75" customHeight="1" x14ac:dyDescent="0.35">
      <c r="A414" s="1">
        <v>413</v>
      </c>
      <c r="B414" s="1">
        <v>15</v>
      </c>
      <c r="C414" s="1" t="s">
        <v>496</v>
      </c>
    </row>
    <row r="415" spans="1:3" ht="15.75" customHeight="1" x14ac:dyDescent="0.35">
      <c r="A415" s="1">
        <v>414</v>
      </c>
      <c r="B415" s="1">
        <v>14</v>
      </c>
      <c r="C415" s="1" t="s">
        <v>497</v>
      </c>
    </row>
    <row r="416" spans="1:3" ht="15.75" customHeight="1" x14ac:dyDescent="0.35">
      <c r="A416" s="1">
        <v>415</v>
      </c>
      <c r="B416" s="1">
        <v>3</v>
      </c>
      <c r="C416" s="1" t="s">
        <v>498</v>
      </c>
    </row>
    <row r="417" spans="1:3" ht="15.75" customHeight="1" x14ac:dyDescent="0.35">
      <c r="A417" s="1">
        <v>416</v>
      </c>
      <c r="B417" s="1">
        <v>13</v>
      </c>
      <c r="C417" s="1" t="s">
        <v>499</v>
      </c>
    </row>
    <row r="418" spans="1:3" ht="15.75" customHeight="1" x14ac:dyDescent="0.35">
      <c r="A418" s="1">
        <v>417</v>
      </c>
      <c r="B418" s="1">
        <v>6</v>
      </c>
      <c r="C418" s="1" t="s">
        <v>500</v>
      </c>
    </row>
    <row r="419" spans="1:3" ht="15.75" customHeight="1" x14ac:dyDescent="0.35">
      <c r="A419" s="1">
        <v>418</v>
      </c>
      <c r="B419" s="1">
        <v>6</v>
      </c>
      <c r="C419" s="1" t="s">
        <v>501</v>
      </c>
    </row>
    <row r="420" spans="1:3" ht="15.75" customHeight="1" x14ac:dyDescent="0.35">
      <c r="A420" s="1">
        <v>419</v>
      </c>
      <c r="B420" s="1">
        <v>3</v>
      </c>
      <c r="C420" s="1" t="s">
        <v>502</v>
      </c>
    </row>
    <row r="421" spans="1:3" ht="15.75" customHeight="1" x14ac:dyDescent="0.35">
      <c r="A421" s="1">
        <v>420</v>
      </c>
      <c r="B421" s="1">
        <v>1</v>
      </c>
      <c r="C421" s="1" t="s">
        <v>503</v>
      </c>
    </row>
    <row r="422" spans="1:3" ht="15.75" customHeight="1" x14ac:dyDescent="0.35">
      <c r="A422" s="1">
        <v>421</v>
      </c>
      <c r="B422" s="1">
        <v>15</v>
      </c>
      <c r="C422" s="1" t="s">
        <v>504</v>
      </c>
    </row>
    <row r="423" spans="1:3" ht="15.75" customHeight="1" x14ac:dyDescent="0.35">
      <c r="A423" s="1">
        <v>422</v>
      </c>
      <c r="B423" s="1">
        <v>14</v>
      </c>
      <c r="C423" s="1" t="s">
        <v>505</v>
      </c>
    </row>
    <row r="424" spans="1:3" ht="15.75" customHeight="1" x14ac:dyDescent="0.35">
      <c r="A424" s="1">
        <v>423</v>
      </c>
      <c r="B424" s="1">
        <v>12</v>
      </c>
      <c r="C424" s="1" t="s">
        <v>506</v>
      </c>
    </row>
    <row r="425" spans="1:3" ht="15.75" customHeight="1" x14ac:dyDescent="0.35">
      <c r="A425" s="1">
        <v>424</v>
      </c>
      <c r="B425" s="1">
        <v>10</v>
      </c>
      <c r="C425" s="1" t="s">
        <v>507</v>
      </c>
    </row>
    <row r="426" spans="1:3" ht="15.75" customHeight="1" x14ac:dyDescent="0.35">
      <c r="A426" s="1">
        <v>425</v>
      </c>
      <c r="B426" s="1">
        <v>10</v>
      </c>
      <c r="C426" s="1" t="s">
        <v>508</v>
      </c>
    </row>
    <row r="427" spans="1:3" ht="15.75" customHeight="1" x14ac:dyDescent="0.35">
      <c r="A427" s="1">
        <v>426</v>
      </c>
      <c r="B427" s="1">
        <v>1</v>
      </c>
      <c r="C427" s="1" t="s">
        <v>509</v>
      </c>
    </row>
    <row r="428" spans="1:3" ht="15.75" customHeight="1" x14ac:dyDescent="0.35">
      <c r="A428" s="1">
        <v>427</v>
      </c>
      <c r="B428" s="1">
        <v>5</v>
      </c>
      <c r="C428" s="1" t="s">
        <v>510</v>
      </c>
    </row>
    <row r="429" spans="1:3" ht="15.75" customHeight="1" x14ac:dyDescent="0.35">
      <c r="A429" s="1">
        <v>428</v>
      </c>
      <c r="B429" s="1">
        <v>12</v>
      </c>
      <c r="C429" s="1" t="s">
        <v>511</v>
      </c>
    </row>
    <row r="430" spans="1:3" ht="15.75" customHeight="1" x14ac:dyDescent="0.35">
      <c r="A430" s="1">
        <v>429</v>
      </c>
      <c r="B430" s="1">
        <v>7</v>
      </c>
      <c r="C430" s="1" t="s">
        <v>512</v>
      </c>
    </row>
    <row r="431" spans="1:3" ht="15.75" customHeight="1" x14ac:dyDescent="0.35">
      <c r="A431" s="1">
        <v>430</v>
      </c>
      <c r="B431" s="1">
        <v>3</v>
      </c>
      <c r="C431" s="1" t="s">
        <v>513</v>
      </c>
    </row>
    <row r="432" spans="1:3" ht="15.75" customHeight="1" x14ac:dyDescent="0.35">
      <c r="A432" s="1">
        <v>431</v>
      </c>
      <c r="B432" s="1">
        <v>8</v>
      </c>
      <c r="C432" s="1" t="s">
        <v>514</v>
      </c>
    </row>
    <row r="433" spans="1:3" ht="15.75" customHeight="1" x14ac:dyDescent="0.35">
      <c r="A433" s="1">
        <v>432</v>
      </c>
      <c r="B433" s="1">
        <v>10</v>
      </c>
      <c r="C433" s="1" t="s">
        <v>515</v>
      </c>
    </row>
    <row r="434" spans="1:3" ht="15.75" customHeight="1" x14ac:dyDescent="0.35">
      <c r="A434" s="1">
        <v>433</v>
      </c>
      <c r="B434" s="1">
        <v>6</v>
      </c>
      <c r="C434" s="1" t="s">
        <v>516</v>
      </c>
    </row>
    <row r="435" spans="1:3" ht="15.75" customHeight="1" x14ac:dyDescent="0.35">
      <c r="A435" s="1">
        <v>434</v>
      </c>
      <c r="B435" s="1">
        <v>11</v>
      </c>
      <c r="C435" s="1" t="s">
        <v>517</v>
      </c>
    </row>
    <row r="436" spans="1:3" ht="15.75" customHeight="1" x14ac:dyDescent="0.35">
      <c r="A436" s="1">
        <v>435</v>
      </c>
      <c r="B436" s="1">
        <v>13</v>
      </c>
      <c r="C436" s="1" t="s">
        <v>518</v>
      </c>
    </row>
    <row r="437" spans="1:3" ht="15.75" customHeight="1" x14ac:dyDescent="0.35">
      <c r="A437" s="1">
        <v>436</v>
      </c>
      <c r="B437" s="1">
        <v>5</v>
      </c>
      <c r="C437" s="1" t="s">
        <v>519</v>
      </c>
    </row>
    <row r="438" spans="1:3" ht="15.75" customHeight="1" x14ac:dyDescent="0.35">
      <c r="A438" s="1">
        <v>437</v>
      </c>
      <c r="B438" s="1">
        <v>14</v>
      </c>
      <c r="C438" s="1" t="s">
        <v>520</v>
      </c>
    </row>
    <row r="439" spans="1:3" ht="15.75" customHeight="1" x14ac:dyDescent="0.35">
      <c r="A439" s="1">
        <v>438</v>
      </c>
      <c r="B439" s="1">
        <v>12</v>
      </c>
      <c r="C439" s="1" t="s">
        <v>521</v>
      </c>
    </row>
    <row r="440" spans="1:3" ht="15.75" customHeight="1" x14ac:dyDescent="0.35">
      <c r="A440" s="1">
        <v>439</v>
      </c>
      <c r="B440" s="1">
        <v>13</v>
      </c>
      <c r="C440" s="1" t="s">
        <v>522</v>
      </c>
    </row>
    <row r="441" spans="1:3" ht="15.75" customHeight="1" x14ac:dyDescent="0.35">
      <c r="A441" s="1">
        <v>440</v>
      </c>
      <c r="B441" s="1">
        <v>8</v>
      </c>
      <c r="C441" s="1" t="s">
        <v>523</v>
      </c>
    </row>
    <row r="442" spans="1:3" ht="15.75" customHeight="1" x14ac:dyDescent="0.35">
      <c r="A442" s="1">
        <v>441</v>
      </c>
      <c r="B442" s="1">
        <v>8</v>
      </c>
      <c r="C442" s="1" t="s">
        <v>524</v>
      </c>
    </row>
    <row r="443" spans="1:3" ht="15.75" customHeight="1" x14ac:dyDescent="0.35">
      <c r="A443" s="1">
        <v>442</v>
      </c>
      <c r="B443" s="1">
        <v>8</v>
      </c>
      <c r="C443" s="1" t="s">
        <v>525</v>
      </c>
    </row>
    <row r="444" spans="1:3" ht="15.75" customHeight="1" x14ac:dyDescent="0.35">
      <c r="A444" s="1">
        <v>443</v>
      </c>
      <c r="B444" s="1">
        <v>6</v>
      </c>
      <c r="C444" s="1" t="s">
        <v>526</v>
      </c>
    </row>
    <row r="445" spans="1:3" ht="15.75" customHeight="1" x14ac:dyDescent="0.35">
      <c r="A445" s="1">
        <v>444</v>
      </c>
      <c r="B445" s="1">
        <v>8</v>
      </c>
      <c r="C445" s="1" t="s">
        <v>527</v>
      </c>
    </row>
    <row r="446" spans="1:3" ht="15.75" customHeight="1" x14ac:dyDescent="0.35">
      <c r="A446" s="1">
        <v>445</v>
      </c>
      <c r="B446" s="1">
        <v>5</v>
      </c>
      <c r="C446" s="1" t="s">
        <v>528</v>
      </c>
    </row>
    <row r="447" spans="1:3" ht="15.75" customHeight="1" x14ac:dyDescent="0.35">
      <c r="A447" s="1">
        <v>446</v>
      </c>
      <c r="B447" s="1">
        <v>4</v>
      </c>
      <c r="C447" s="1" t="s">
        <v>529</v>
      </c>
    </row>
    <row r="448" spans="1:3" ht="15.75" customHeight="1" x14ac:dyDescent="0.35">
      <c r="A448" s="1">
        <v>447</v>
      </c>
      <c r="B448" s="1">
        <v>6</v>
      </c>
      <c r="C448" s="1" t="s">
        <v>530</v>
      </c>
    </row>
    <row r="449" spans="1:3" ht="15.75" customHeight="1" x14ac:dyDescent="0.35">
      <c r="A449" s="1">
        <v>448</v>
      </c>
      <c r="B449" s="1">
        <v>13</v>
      </c>
      <c r="C449" s="1" t="s">
        <v>531</v>
      </c>
    </row>
    <row r="450" spans="1:3" ht="15.75" customHeight="1" x14ac:dyDescent="0.35">
      <c r="A450" s="1">
        <v>449</v>
      </c>
      <c r="B450" s="1">
        <v>11</v>
      </c>
      <c r="C450" s="1" t="s">
        <v>532</v>
      </c>
    </row>
    <row r="451" spans="1:3" ht="15.75" customHeight="1" x14ac:dyDescent="0.35">
      <c r="A451" s="1">
        <v>450</v>
      </c>
      <c r="B451" s="1">
        <v>3</v>
      </c>
      <c r="C451" s="1" t="s">
        <v>533</v>
      </c>
    </row>
    <row r="452" spans="1:3" ht="15.75" customHeight="1" x14ac:dyDescent="0.35">
      <c r="A452" s="1">
        <v>451</v>
      </c>
      <c r="B452" s="1">
        <v>8</v>
      </c>
      <c r="C452" s="1" t="s">
        <v>534</v>
      </c>
    </row>
    <row r="453" spans="1:3" ht="15.75" customHeight="1" x14ac:dyDescent="0.35">
      <c r="A453" s="1">
        <v>452</v>
      </c>
      <c r="B453" s="1">
        <v>13</v>
      </c>
      <c r="C453" s="1" t="s">
        <v>535</v>
      </c>
    </row>
    <row r="454" spans="1:3" ht="15.75" customHeight="1" x14ac:dyDescent="0.35">
      <c r="A454" s="1">
        <v>453</v>
      </c>
      <c r="B454" s="1">
        <v>14</v>
      </c>
      <c r="C454" s="1" t="s">
        <v>536</v>
      </c>
    </row>
    <row r="455" spans="1:3" ht="15.75" customHeight="1" x14ac:dyDescent="0.35">
      <c r="A455" s="1">
        <v>454</v>
      </c>
      <c r="B455" s="1">
        <v>3</v>
      </c>
      <c r="C455" s="1" t="s">
        <v>537</v>
      </c>
    </row>
    <row r="456" spans="1:3" ht="15.75" customHeight="1" x14ac:dyDescent="0.35">
      <c r="A456" s="1">
        <v>455</v>
      </c>
      <c r="B456" s="1">
        <v>10</v>
      </c>
      <c r="C456" s="1" t="s">
        <v>538</v>
      </c>
    </row>
    <row r="457" spans="1:3" ht="15.75" customHeight="1" x14ac:dyDescent="0.35">
      <c r="A457" s="1">
        <v>456</v>
      </c>
      <c r="B457" s="1">
        <v>1</v>
      </c>
      <c r="C457" s="1" t="s">
        <v>539</v>
      </c>
    </row>
    <row r="458" spans="1:3" ht="15.75" customHeight="1" x14ac:dyDescent="0.35">
      <c r="A458" s="1">
        <v>457</v>
      </c>
      <c r="B458" s="1">
        <v>15</v>
      </c>
      <c r="C458" s="1" t="s">
        <v>540</v>
      </c>
    </row>
    <row r="459" spans="1:3" ht="15.75" customHeight="1" x14ac:dyDescent="0.35">
      <c r="A459" s="1">
        <v>458</v>
      </c>
      <c r="B459" s="1">
        <v>1</v>
      </c>
      <c r="C459" s="1" t="s">
        <v>541</v>
      </c>
    </row>
    <row r="460" spans="1:3" ht="15.75" customHeight="1" x14ac:dyDescent="0.35">
      <c r="A460" s="1">
        <v>459</v>
      </c>
      <c r="B460" s="1">
        <v>1</v>
      </c>
      <c r="C460" s="1" t="s">
        <v>542</v>
      </c>
    </row>
    <row r="461" spans="1:3" ht="15.75" customHeight="1" x14ac:dyDescent="0.35">
      <c r="A461" s="1">
        <v>460</v>
      </c>
      <c r="B461" s="1">
        <v>5</v>
      </c>
      <c r="C461" s="1" t="s">
        <v>543</v>
      </c>
    </row>
    <row r="462" spans="1:3" ht="15.75" customHeight="1" x14ac:dyDescent="0.35">
      <c r="A462" s="1">
        <v>461</v>
      </c>
      <c r="B462" s="1">
        <v>3</v>
      </c>
      <c r="C462" s="1" t="s">
        <v>544</v>
      </c>
    </row>
    <row r="463" spans="1:3" ht="15.75" customHeight="1" x14ac:dyDescent="0.35">
      <c r="A463" s="1">
        <v>462</v>
      </c>
      <c r="B463" s="1">
        <v>5</v>
      </c>
      <c r="C463" s="1" t="s">
        <v>545</v>
      </c>
    </row>
    <row r="464" spans="1:3" ht="15.75" customHeight="1" x14ac:dyDescent="0.35">
      <c r="A464" s="1">
        <v>463</v>
      </c>
      <c r="B464" s="1">
        <v>9</v>
      </c>
      <c r="C464" s="1" t="s">
        <v>546</v>
      </c>
    </row>
    <row r="465" spans="1:3" ht="15.75" customHeight="1" x14ac:dyDescent="0.35">
      <c r="A465" s="1">
        <v>464</v>
      </c>
      <c r="B465" s="1">
        <v>1</v>
      </c>
      <c r="C465" s="1" t="s">
        <v>547</v>
      </c>
    </row>
    <row r="466" spans="1:3" ht="15.75" customHeight="1" x14ac:dyDescent="0.35">
      <c r="A466" s="1">
        <v>465</v>
      </c>
      <c r="B466" s="1">
        <v>5</v>
      </c>
      <c r="C466" s="1" t="s">
        <v>548</v>
      </c>
    </row>
    <row r="467" spans="1:3" ht="15.75" customHeight="1" x14ac:dyDescent="0.35">
      <c r="A467" s="1">
        <v>466</v>
      </c>
      <c r="B467" s="1">
        <v>6</v>
      </c>
      <c r="C467" s="1" t="s">
        <v>549</v>
      </c>
    </row>
    <row r="468" spans="1:3" ht="15.75" customHeight="1" x14ac:dyDescent="0.35">
      <c r="A468" s="1">
        <v>467</v>
      </c>
      <c r="B468" s="1">
        <v>7</v>
      </c>
      <c r="C468" s="1" t="s">
        <v>550</v>
      </c>
    </row>
    <row r="469" spans="1:3" ht="15.75" customHeight="1" x14ac:dyDescent="0.35">
      <c r="A469" s="1">
        <v>468</v>
      </c>
      <c r="B469" s="1">
        <v>5</v>
      </c>
      <c r="C469" s="1" t="s">
        <v>551</v>
      </c>
    </row>
    <row r="470" spans="1:3" ht="15.75" customHeight="1" x14ac:dyDescent="0.35">
      <c r="A470" s="1">
        <v>469</v>
      </c>
      <c r="B470" s="1">
        <v>10</v>
      </c>
      <c r="C470" s="1" t="s">
        <v>552</v>
      </c>
    </row>
    <row r="471" spans="1:3" ht="15.75" customHeight="1" x14ac:dyDescent="0.35">
      <c r="A471" s="1">
        <v>470</v>
      </c>
      <c r="B471" s="1">
        <v>10</v>
      </c>
      <c r="C471" s="1" t="s">
        <v>553</v>
      </c>
    </row>
    <row r="472" spans="1:3" ht="15.75" customHeight="1" x14ac:dyDescent="0.35">
      <c r="A472" s="1">
        <v>471</v>
      </c>
      <c r="B472" s="1">
        <v>11</v>
      </c>
      <c r="C472" s="1" t="s">
        <v>554</v>
      </c>
    </row>
    <row r="473" spans="1:3" ht="15.75" customHeight="1" x14ac:dyDescent="0.35">
      <c r="A473" s="1">
        <v>472</v>
      </c>
      <c r="B473" s="1">
        <v>1</v>
      </c>
      <c r="C473" s="1" t="s">
        <v>555</v>
      </c>
    </row>
    <row r="474" spans="1:3" ht="15.75" customHeight="1" x14ac:dyDescent="0.35">
      <c r="A474" s="1">
        <v>473</v>
      </c>
      <c r="B474" s="1">
        <v>4</v>
      </c>
      <c r="C474" s="1" t="s">
        <v>556</v>
      </c>
    </row>
    <row r="475" spans="1:3" ht="15.75" customHeight="1" x14ac:dyDescent="0.35">
      <c r="A475" s="1">
        <v>474</v>
      </c>
      <c r="B475" s="1">
        <v>13</v>
      </c>
      <c r="C475" s="1" t="s">
        <v>557</v>
      </c>
    </row>
    <row r="476" spans="1:3" ht="15.75" customHeight="1" x14ac:dyDescent="0.35">
      <c r="A476" s="1">
        <v>475</v>
      </c>
      <c r="B476" s="1">
        <v>9</v>
      </c>
      <c r="C476" s="1" t="s">
        <v>558</v>
      </c>
    </row>
    <row r="477" spans="1:3" ht="15.75" customHeight="1" x14ac:dyDescent="0.35">
      <c r="A477" s="1">
        <v>476</v>
      </c>
      <c r="B477" s="1">
        <v>6</v>
      </c>
      <c r="C477" s="1" t="s">
        <v>559</v>
      </c>
    </row>
    <row r="478" spans="1:3" ht="15.75" customHeight="1" x14ac:dyDescent="0.35">
      <c r="A478" s="1">
        <v>477</v>
      </c>
      <c r="B478" s="1">
        <v>12</v>
      </c>
      <c r="C478" s="1" t="s">
        <v>560</v>
      </c>
    </row>
    <row r="479" spans="1:3" ht="15.75" customHeight="1" x14ac:dyDescent="0.35">
      <c r="A479" s="1">
        <v>478</v>
      </c>
      <c r="B479" s="1">
        <v>15</v>
      </c>
      <c r="C479" s="1" t="s">
        <v>561</v>
      </c>
    </row>
    <row r="480" spans="1:3" ht="15.75" customHeight="1" x14ac:dyDescent="0.35">
      <c r="A480" s="1">
        <v>479</v>
      </c>
      <c r="B480" s="1">
        <v>1</v>
      </c>
      <c r="C480" s="1" t="s">
        <v>562</v>
      </c>
    </row>
    <row r="481" spans="1:3" ht="15.75" customHeight="1" x14ac:dyDescent="0.35">
      <c r="A481" s="1">
        <v>480</v>
      </c>
      <c r="B481" s="1">
        <v>13</v>
      </c>
      <c r="C481" s="1" t="s">
        <v>563</v>
      </c>
    </row>
    <row r="482" spans="1:3" ht="15.75" customHeight="1" x14ac:dyDescent="0.35">
      <c r="A482" s="1">
        <v>481</v>
      </c>
      <c r="B482" s="1">
        <v>2</v>
      </c>
      <c r="C482" s="1" t="s">
        <v>564</v>
      </c>
    </row>
    <row r="483" spans="1:3" ht="15.75" customHeight="1" x14ac:dyDescent="0.35">
      <c r="A483" s="1">
        <v>482</v>
      </c>
      <c r="B483" s="1">
        <v>14</v>
      </c>
      <c r="C483" s="1" t="s">
        <v>565</v>
      </c>
    </row>
    <row r="484" spans="1:3" ht="15.75" customHeight="1" x14ac:dyDescent="0.35">
      <c r="A484" s="1">
        <v>483</v>
      </c>
      <c r="B484" s="1">
        <v>4</v>
      </c>
      <c r="C484" s="1" t="s">
        <v>566</v>
      </c>
    </row>
    <row r="485" spans="1:3" ht="15.75" customHeight="1" x14ac:dyDescent="0.35">
      <c r="A485" s="1">
        <v>484</v>
      </c>
      <c r="B485" s="1">
        <v>7</v>
      </c>
      <c r="C485" s="1" t="s">
        <v>567</v>
      </c>
    </row>
    <row r="486" spans="1:3" ht="15.75" customHeight="1" x14ac:dyDescent="0.35">
      <c r="A486" s="1">
        <v>485</v>
      </c>
      <c r="B486" s="1">
        <v>13</v>
      </c>
      <c r="C486" s="1" t="s">
        <v>568</v>
      </c>
    </row>
    <row r="487" spans="1:3" ht="15.75" customHeight="1" x14ac:dyDescent="0.35">
      <c r="A487" s="1">
        <v>486</v>
      </c>
      <c r="B487" s="1">
        <v>1</v>
      </c>
      <c r="C487" s="1" t="s">
        <v>569</v>
      </c>
    </row>
    <row r="488" spans="1:3" ht="15.75" customHeight="1" x14ac:dyDescent="0.35">
      <c r="A488" s="1">
        <v>487</v>
      </c>
      <c r="B488" s="1">
        <v>10</v>
      </c>
      <c r="C488" s="1" t="s">
        <v>570</v>
      </c>
    </row>
    <row r="489" spans="1:3" ht="15.75" customHeight="1" x14ac:dyDescent="0.35">
      <c r="A489" s="1">
        <v>488</v>
      </c>
      <c r="B489" s="1">
        <v>8</v>
      </c>
      <c r="C489" s="1" t="s">
        <v>571</v>
      </c>
    </row>
    <row r="490" spans="1:3" ht="15.75" customHeight="1" x14ac:dyDescent="0.35">
      <c r="A490" s="1">
        <v>489</v>
      </c>
      <c r="B490" s="1">
        <v>13</v>
      </c>
      <c r="C490" s="1" t="s">
        <v>572</v>
      </c>
    </row>
    <row r="491" spans="1:3" ht="15.75" customHeight="1" x14ac:dyDescent="0.35">
      <c r="A491" s="1">
        <v>490</v>
      </c>
      <c r="B491" s="1">
        <v>1</v>
      </c>
      <c r="C491" s="1" t="s">
        <v>573</v>
      </c>
    </row>
    <row r="492" spans="1:3" ht="15.75" customHeight="1" x14ac:dyDescent="0.35">
      <c r="A492" s="1">
        <v>491</v>
      </c>
      <c r="B492" s="1">
        <v>5</v>
      </c>
      <c r="C492" s="1" t="s">
        <v>574</v>
      </c>
    </row>
    <row r="493" spans="1:3" ht="15.75" customHeight="1" x14ac:dyDescent="0.35">
      <c r="A493" s="1">
        <v>492</v>
      </c>
      <c r="B493" s="1">
        <v>5</v>
      </c>
      <c r="C493" s="1" t="s">
        <v>575</v>
      </c>
    </row>
    <row r="494" spans="1:3" ht="15.75" customHeight="1" x14ac:dyDescent="0.35">
      <c r="A494" s="1">
        <v>493</v>
      </c>
      <c r="B494" s="1">
        <v>13</v>
      </c>
      <c r="C494" s="1" t="s">
        <v>576</v>
      </c>
    </row>
    <row r="495" spans="1:3" ht="15.75" customHeight="1" x14ac:dyDescent="0.35">
      <c r="A495" s="1">
        <v>494</v>
      </c>
      <c r="B495" s="1">
        <v>15</v>
      </c>
      <c r="C495" s="1" t="s">
        <v>577</v>
      </c>
    </row>
    <row r="496" spans="1:3" ht="15.75" customHeight="1" x14ac:dyDescent="0.35">
      <c r="A496" s="1">
        <v>495</v>
      </c>
      <c r="B496" s="1">
        <v>9</v>
      </c>
      <c r="C496" s="1" t="s">
        <v>578</v>
      </c>
    </row>
    <row r="497" spans="1:3" ht="15.75" customHeight="1" x14ac:dyDescent="0.35">
      <c r="A497" s="1">
        <v>496</v>
      </c>
      <c r="B497" s="1">
        <v>6</v>
      </c>
      <c r="C497" s="1" t="s">
        <v>579</v>
      </c>
    </row>
    <row r="498" spans="1:3" ht="15.75" customHeight="1" x14ac:dyDescent="0.35">
      <c r="A498" s="1">
        <v>497</v>
      </c>
      <c r="B498" s="1">
        <v>3</v>
      </c>
      <c r="C498" s="1" t="s">
        <v>580</v>
      </c>
    </row>
    <row r="499" spans="1:3" ht="15.75" customHeight="1" x14ac:dyDescent="0.35">
      <c r="A499" s="1">
        <v>498</v>
      </c>
      <c r="B499" s="1">
        <v>15</v>
      </c>
      <c r="C499" s="1" t="s">
        <v>581</v>
      </c>
    </row>
    <row r="500" spans="1:3" ht="15.75" customHeight="1" x14ac:dyDescent="0.35">
      <c r="A500" s="1">
        <v>499</v>
      </c>
      <c r="B500" s="1">
        <v>3</v>
      </c>
      <c r="C500" s="1" t="s">
        <v>582</v>
      </c>
    </row>
    <row r="501" spans="1:3" ht="15.75" customHeight="1" x14ac:dyDescent="0.35">
      <c r="A501" s="1">
        <v>500</v>
      </c>
      <c r="B501" s="1">
        <v>10</v>
      </c>
      <c r="C501" s="1" t="s">
        <v>583</v>
      </c>
    </row>
    <row r="502" spans="1:3" ht="15.75" customHeight="1" x14ac:dyDescent="0.35">
      <c r="A502" s="1">
        <v>501</v>
      </c>
      <c r="B502" s="1">
        <v>12</v>
      </c>
      <c r="C502" s="1" t="s">
        <v>584</v>
      </c>
    </row>
    <row r="503" spans="1:3" ht="15.75" customHeight="1" x14ac:dyDescent="0.35">
      <c r="A503" s="1">
        <v>502</v>
      </c>
      <c r="B503" s="1">
        <v>3</v>
      </c>
      <c r="C503" s="1" t="s">
        <v>585</v>
      </c>
    </row>
    <row r="504" spans="1:3" ht="15.75" customHeight="1" x14ac:dyDescent="0.35">
      <c r="A504" s="1">
        <v>503</v>
      </c>
      <c r="B504" s="1">
        <v>8</v>
      </c>
      <c r="C504" s="1" t="s">
        <v>586</v>
      </c>
    </row>
    <row r="505" spans="1:3" ht="15.75" customHeight="1" x14ac:dyDescent="0.35">
      <c r="A505" s="1">
        <v>504</v>
      </c>
      <c r="B505" s="1">
        <v>14</v>
      </c>
      <c r="C505" s="1" t="s">
        <v>587</v>
      </c>
    </row>
    <row r="506" spans="1:3" ht="15.75" customHeight="1" x14ac:dyDescent="0.35">
      <c r="A506" s="1">
        <v>505</v>
      </c>
      <c r="B506" s="1">
        <v>2</v>
      </c>
      <c r="C506" s="1" t="s">
        <v>588</v>
      </c>
    </row>
    <row r="507" spans="1:3" ht="15.75" customHeight="1" x14ac:dyDescent="0.35">
      <c r="A507" s="1">
        <v>506</v>
      </c>
      <c r="B507" s="1">
        <v>8</v>
      </c>
      <c r="C507" s="1" t="s">
        <v>589</v>
      </c>
    </row>
    <row r="508" spans="1:3" ht="15.75" customHeight="1" x14ac:dyDescent="0.35">
      <c r="A508" s="1">
        <v>507</v>
      </c>
      <c r="B508" s="1">
        <v>3</v>
      </c>
      <c r="C508" s="1" t="s">
        <v>590</v>
      </c>
    </row>
    <row r="509" spans="1:3" ht="15.75" customHeight="1" x14ac:dyDescent="0.35">
      <c r="A509" s="1">
        <v>508</v>
      </c>
      <c r="B509" s="1">
        <v>2</v>
      </c>
      <c r="C509" s="1" t="s">
        <v>591</v>
      </c>
    </row>
    <row r="510" spans="1:3" ht="15.75" customHeight="1" x14ac:dyDescent="0.35">
      <c r="A510" s="1">
        <v>509</v>
      </c>
      <c r="B510" s="1">
        <v>8</v>
      </c>
      <c r="C510" s="1" t="s">
        <v>592</v>
      </c>
    </row>
    <row r="511" spans="1:3" ht="15.75" customHeight="1" x14ac:dyDescent="0.35">
      <c r="A511" s="1">
        <v>510</v>
      </c>
      <c r="B511" s="1">
        <v>3</v>
      </c>
      <c r="C511" s="1" t="s">
        <v>593</v>
      </c>
    </row>
    <row r="512" spans="1:3" ht="15.75" customHeight="1" x14ac:dyDescent="0.35">
      <c r="A512" s="1">
        <v>511</v>
      </c>
      <c r="B512" s="1">
        <v>2</v>
      </c>
      <c r="C512" s="1" t="s">
        <v>594</v>
      </c>
    </row>
    <row r="513" spans="1:3" ht="15.75" customHeight="1" x14ac:dyDescent="0.35">
      <c r="A513" s="1">
        <v>512</v>
      </c>
      <c r="B513" s="1">
        <v>8</v>
      </c>
      <c r="C513" s="1" t="s">
        <v>595</v>
      </c>
    </row>
    <row r="514" spans="1:3" ht="15.75" customHeight="1" x14ac:dyDescent="0.35">
      <c r="A514" s="1">
        <v>513</v>
      </c>
      <c r="B514" s="1">
        <v>13</v>
      </c>
      <c r="C514" s="1" t="s">
        <v>596</v>
      </c>
    </row>
    <row r="515" spans="1:3" ht="15.75" customHeight="1" x14ac:dyDescent="0.35">
      <c r="A515" s="1">
        <v>514</v>
      </c>
      <c r="B515" s="1">
        <v>8</v>
      </c>
      <c r="C515" s="1" t="s">
        <v>597</v>
      </c>
    </row>
    <row r="516" spans="1:3" ht="15.75" customHeight="1" x14ac:dyDescent="0.35">
      <c r="A516" s="1">
        <v>515</v>
      </c>
      <c r="B516" s="1">
        <v>10</v>
      </c>
      <c r="C516" s="1" t="s">
        <v>598</v>
      </c>
    </row>
    <row r="517" spans="1:3" ht="15.75" customHeight="1" x14ac:dyDescent="0.35">
      <c r="A517" s="1">
        <v>516</v>
      </c>
      <c r="B517" s="1">
        <v>1</v>
      </c>
      <c r="C517" s="1" t="s">
        <v>599</v>
      </c>
    </row>
    <row r="518" spans="1:3" ht="15.75" customHeight="1" x14ac:dyDescent="0.35">
      <c r="A518" s="1">
        <v>517</v>
      </c>
      <c r="B518" s="1">
        <v>6</v>
      </c>
      <c r="C518" s="1" t="s">
        <v>600</v>
      </c>
    </row>
    <row r="519" spans="1:3" ht="15.75" customHeight="1" x14ac:dyDescent="0.35">
      <c r="A519" s="1">
        <v>518</v>
      </c>
      <c r="B519" s="1">
        <v>8</v>
      </c>
      <c r="C519" s="1" t="s">
        <v>601</v>
      </c>
    </row>
    <row r="520" spans="1:3" ht="15.75" customHeight="1" x14ac:dyDescent="0.35">
      <c r="A520" s="1">
        <v>519</v>
      </c>
      <c r="B520" s="1">
        <v>4</v>
      </c>
      <c r="C520" s="1" t="s">
        <v>602</v>
      </c>
    </row>
    <row r="521" spans="1:3" ht="15.75" customHeight="1" x14ac:dyDescent="0.35">
      <c r="A521" s="1">
        <v>520</v>
      </c>
      <c r="B521" s="1">
        <v>11</v>
      </c>
      <c r="C521" s="1" t="s">
        <v>603</v>
      </c>
    </row>
    <row r="522" spans="1:3" ht="15.75" customHeight="1" x14ac:dyDescent="0.35">
      <c r="A522" s="1">
        <v>521</v>
      </c>
      <c r="B522" s="1">
        <v>15</v>
      </c>
      <c r="C522" s="1" t="s">
        <v>604</v>
      </c>
    </row>
    <row r="523" spans="1:3" ht="15.75" customHeight="1" x14ac:dyDescent="0.35">
      <c r="A523" s="1">
        <v>522</v>
      </c>
      <c r="B523" s="1">
        <v>5</v>
      </c>
      <c r="C523" s="1" t="s">
        <v>605</v>
      </c>
    </row>
    <row r="524" spans="1:3" ht="15.75" customHeight="1" x14ac:dyDescent="0.35">
      <c r="A524" s="1">
        <v>523</v>
      </c>
      <c r="B524" s="1">
        <v>15</v>
      </c>
      <c r="C524" s="1" t="s">
        <v>606</v>
      </c>
    </row>
    <row r="525" spans="1:3" ht="15.75" customHeight="1" x14ac:dyDescent="0.35">
      <c r="A525" s="1">
        <v>524</v>
      </c>
      <c r="B525" s="1">
        <v>7</v>
      </c>
      <c r="C525" s="1" t="s">
        <v>607</v>
      </c>
    </row>
    <row r="526" spans="1:3" ht="15.75" customHeight="1" x14ac:dyDescent="0.35">
      <c r="A526" s="1">
        <v>525</v>
      </c>
      <c r="B526" s="1">
        <v>4</v>
      </c>
      <c r="C526" s="1" t="s">
        <v>608</v>
      </c>
    </row>
    <row r="527" spans="1:3" ht="15.75" customHeight="1" x14ac:dyDescent="0.35">
      <c r="A527" s="1">
        <v>526</v>
      </c>
      <c r="B527" s="1">
        <v>3</v>
      </c>
      <c r="C527" s="1" t="s">
        <v>609</v>
      </c>
    </row>
    <row r="528" spans="1:3" ht="15.75" customHeight="1" x14ac:dyDescent="0.35">
      <c r="A528" s="1">
        <v>527</v>
      </c>
      <c r="B528" s="1">
        <v>1</v>
      </c>
      <c r="C528" s="1" t="s">
        <v>610</v>
      </c>
    </row>
    <row r="529" spans="1:3" ht="15.75" customHeight="1" x14ac:dyDescent="0.35">
      <c r="A529" s="1">
        <v>528</v>
      </c>
      <c r="B529" s="1">
        <v>11</v>
      </c>
      <c r="C529" s="1" t="s">
        <v>611</v>
      </c>
    </row>
    <row r="530" spans="1:3" ht="15.75" customHeight="1" x14ac:dyDescent="0.35">
      <c r="A530" s="1">
        <v>529</v>
      </c>
      <c r="B530" s="1">
        <v>9</v>
      </c>
      <c r="C530" s="1" t="s">
        <v>612</v>
      </c>
    </row>
    <row r="531" spans="1:3" ht="15.75" customHeight="1" x14ac:dyDescent="0.35">
      <c r="A531" s="1">
        <v>530</v>
      </c>
      <c r="B531" s="1">
        <v>8</v>
      </c>
      <c r="C531" s="1" t="s">
        <v>613</v>
      </c>
    </row>
    <row r="532" spans="1:3" ht="15.75" customHeight="1" x14ac:dyDescent="0.35">
      <c r="A532" s="1">
        <v>531</v>
      </c>
      <c r="B532" s="1">
        <v>11</v>
      </c>
      <c r="C532" s="1" t="s">
        <v>614</v>
      </c>
    </row>
    <row r="533" spans="1:3" ht="15.75" customHeight="1" x14ac:dyDescent="0.35">
      <c r="A533" s="1">
        <v>532</v>
      </c>
      <c r="B533" s="1">
        <v>6</v>
      </c>
      <c r="C533" s="1" t="s">
        <v>615</v>
      </c>
    </row>
    <row r="534" spans="1:3" ht="15.75" customHeight="1" x14ac:dyDescent="0.35">
      <c r="A534" s="1">
        <v>533</v>
      </c>
      <c r="B534" s="1">
        <v>9</v>
      </c>
      <c r="C534" s="1" t="s">
        <v>616</v>
      </c>
    </row>
    <row r="535" spans="1:3" ht="15.75" customHeight="1" x14ac:dyDescent="0.35">
      <c r="A535" s="1">
        <v>534</v>
      </c>
      <c r="B535" s="1">
        <v>6</v>
      </c>
      <c r="C535" s="1" t="s">
        <v>617</v>
      </c>
    </row>
    <row r="536" spans="1:3" ht="15.75" customHeight="1" x14ac:dyDescent="0.35">
      <c r="A536" s="1">
        <v>535</v>
      </c>
      <c r="B536" s="1">
        <v>9</v>
      </c>
      <c r="C536" s="1" t="s">
        <v>618</v>
      </c>
    </row>
    <row r="537" spans="1:3" ht="15.75" customHeight="1" x14ac:dyDescent="0.35">
      <c r="A537" s="1">
        <v>536</v>
      </c>
      <c r="B537" s="1">
        <v>11</v>
      </c>
      <c r="C537" s="1" t="s">
        <v>619</v>
      </c>
    </row>
    <row r="538" spans="1:3" ht="15.75" customHeight="1" x14ac:dyDescent="0.35">
      <c r="A538" s="1">
        <v>537</v>
      </c>
      <c r="B538" s="1">
        <v>5</v>
      </c>
      <c r="C538" s="1" t="s">
        <v>620</v>
      </c>
    </row>
    <row r="539" spans="1:3" ht="15.75" customHeight="1" x14ac:dyDescent="0.35">
      <c r="A539" s="1">
        <v>538</v>
      </c>
      <c r="B539" s="1">
        <v>15</v>
      </c>
      <c r="C539" s="1" t="s">
        <v>621</v>
      </c>
    </row>
    <row r="540" spans="1:3" ht="15.75" customHeight="1" x14ac:dyDescent="0.35">
      <c r="A540" s="1">
        <v>539</v>
      </c>
      <c r="B540" s="1">
        <v>1</v>
      </c>
      <c r="C540" s="1" t="s">
        <v>622</v>
      </c>
    </row>
    <row r="541" spans="1:3" ht="15.75" customHeight="1" x14ac:dyDescent="0.35">
      <c r="A541" s="1">
        <v>540</v>
      </c>
      <c r="B541" s="1">
        <v>10</v>
      </c>
      <c r="C541" s="1" t="s">
        <v>623</v>
      </c>
    </row>
    <row r="542" spans="1:3" ht="15.75" customHeight="1" x14ac:dyDescent="0.35">
      <c r="A542" s="1">
        <v>541</v>
      </c>
      <c r="B542" s="1">
        <v>10</v>
      </c>
      <c r="C542" s="1" t="s">
        <v>624</v>
      </c>
    </row>
    <row r="543" spans="1:3" ht="15.75" customHeight="1" x14ac:dyDescent="0.35">
      <c r="A543" s="1">
        <v>542</v>
      </c>
      <c r="B543" s="1">
        <v>6</v>
      </c>
      <c r="C543" s="1" t="s">
        <v>625</v>
      </c>
    </row>
    <row r="544" spans="1:3" ht="15.75" customHeight="1" x14ac:dyDescent="0.35">
      <c r="A544" s="1">
        <v>543</v>
      </c>
      <c r="B544" s="1">
        <v>11</v>
      </c>
      <c r="C544" s="1" t="s">
        <v>626</v>
      </c>
    </row>
    <row r="545" spans="1:3" ht="15.75" customHeight="1" x14ac:dyDescent="0.35">
      <c r="A545" s="1">
        <v>544</v>
      </c>
      <c r="B545" s="1">
        <v>8</v>
      </c>
      <c r="C545" s="1" t="s">
        <v>627</v>
      </c>
    </row>
    <row r="546" spans="1:3" ht="15.75" customHeight="1" x14ac:dyDescent="0.35">
      <c r="A546" s="1">
        <v>545</v>
      </c>
      <c r="B546" s="1">
        <v>15</v>
      </c>
      <c r="C546" s="1" t="s">
        <v>628</v>
      </c>
    </row>
    <row r="547" spans="1:3" ht="15.75" customHeight="1" x14ac:dyDescent="0.35">
      <c r="A547" s="1">
        <v>546</v>
      </c>
      <c r="B547" s="1">
        <v>10</v>
      </c>
      <c r="C547" s="1" t="s">
        <v>629</v>
      </c>
    </row>
    <row r="548" spans="1:3" ht="15.75" customHeight="1" x14ac:dyDescent="0.35">
      <c r="A548" s="1">
        <v>547</v>
      </c>
      <c r="B548" s="1">
        <v>10</v>
      </c>
      <c r="C548" s="1" t="s">
        <v>630</v>
      </c>
    </row>
    <row r="549" spans="1:3" ht="15.75" customHeight="1" x14ac:dyDescent="0.35">
      <c r="A549" s="1">
        <v>548</v>
      </c>
      <c r="B549" s="1">
        <v>10</v>
      </c>
      <c r="C549" s="1" t="s">
        <v>631</v>
      </c>
    </row>
    <row r="550" spans="1:3" ht="15.75" customHeight="1" x14ac:dyDescent="0.35">
      <c r="A550" s="1">
        <v>549</v>
      </c>
      <c r="B550" s="1">
        <v>3</v>
      </c>
      <c r="C550" s="1" t="s">
        <v>632</v>
      </c>
    </row>
    <row r="551" spans="1:3" ht="15.75" customHeight="1" x14ac:dyDescent="0.35">
      <c r="A551" s="1">
        <v>550</v>
      </c>
      <c r="B551" s="1">
        <v>3</v>
      </c>
      <c r="C551" s="1" t="s">
        <v>633</v>
      </c>
    </row>
    <row r="552" spans="1:3" ht="15.75" customHeight="1" x14ac:dyDescent="0.35">
      <c r="A552" s="1">
        <v>551</v>
      </c>
      <c r="B552" s="1">
        <v>12</v>
      </c>
      <c r="C552" s="1" t="s">
        <v>634</v>
      </c>
    </row>
    <row r="553" spans="1:3" ht="15.75" customHeight="1" x14ac:dyDescent="0.35">
      <c r="A553" s="1">
        <v>552</v>
      </c>
      <c r="B553" s="1">
        <v>10</v>
      </c>
      <c r="C553" s="1" t="s">
        <v>635</v>
      </c>
    </row>
    <row r="554" spans="1:3" ht="15.75" customHeight="1" x14ac:dyDescent="0.35">
      <c r="A554" s="1">
        <v>553</v>
      </c>
      <c r="B554" s="1">
        <v>15</v>
      </c>
      <c r="C554" s="1" t="s">
        <v>636</v>
      </c>
    </row>
    <row r="555" spans="1:3" ht="15.75" customHeight="1" x14ac:dyDescent="0.35">
      <c r="A555" s="1">
        <v>554</v>
      </c>
      <c r="B555" s="1">
        <v>8</v>
      </c>
      <c r="C555" s="1" t="s">
        <v>637</v>
      </c>
    </row>
    <row r="556" spans="1:3" ht="15.75" customHeight="1" x14ac:dyDescent="0.35">
      <c r="A556" s="1">
        <v>555</v>
      </c>
      <c r="B556" s="1">
        <v>14</v>
      </c>
      <c r="C556" s="1" t="s">
        <v>638</v>
      </c>
    </row>
    <row r="557" spans="1:3" ht="15.75" customHeight="1" x14ac:dyDescent="0.35">
      <c r="A557" s="1">
        <v>556</v>
      </c>
      <c r="B557" s="1">
        <v>2</v>
      </c>
      <c r="C557" s="1" t="s">
        <v>639</v>
      </c>
    </row>
    <row r="558" spans="1:3" ht="15.75" customHeight="1" x14ac:dyDescent="0.35">
      <c r="A558" s="1">
        <v>557</v>
      </c>
      <c r="B558" s="1">
        <v>14</v>
      </c>
      <c r="C558" s="1" t="s">
        <v>640</v>
      </c>
    </row>
    <row r="559" spans="1:3" ht="15.75" customHeight="1" x14ac:dyDescent="0.35">
      <c r="A559" s="1">
        <v>558</v>
      </c>
      <c r="B559" s="1">
        <v>1</v>
      </c>
      <c r="C559" s="1" t="s">
        <v>641</v>
      </c>
    </row>
    <row r="560" spans="1:3" ht="15.75" customHeight="1" x14ac:dyDescent="0.35">
      <c r="A560" s="1">
        <v>559</v>
      </c>
      <c r="B560" s="1">
        <v>9</v>
      </c>
      <c r="C560" s="1" t="s">
        <v>642</v>
      </c>
    </row>
    <row r="561" spans="1:3" ht="15.75" customHeight="1" x14ac:dyDescent="0.35">
      <c r="A561" s="1">
        <v>560</v>
      </c>
      <c r="B561" s="1">
        <v>13</v>
      </c>
      <c r="C561" s="1" t="s">
        <v>643</v>
      </c>
    </row>
    <row r="562" spans="1:3" ht="15.75" customHeight="1" x14ac:dyDescent="0.35">
      <c r="A562" s="1">
        <v>561</v>
      </c>
      <c r="B562" s="1">
        <v>3</v>
      </c>
      <c r="C562" s="1" t="s">
        <v>644</v>
      </c>
    </row>
    <row r="563" spans="1:3" ht="15.75" customHeight="1" x14ac:dyDescent="0.35">
      <c r="A563" s="1">
        <v>562</v>
      </c>
      <c r="B563" s="1">
        <v>10</v>
      </c>
      <c r="C563" s="1" t="s">
        <v>645</v>
      </c>
    </row>
    <row r="564" spans="1:3" ht="15.75" customHeight="1" x14ac:dyDescent="0.35">
      <c r="A564" s="1">
        <v>563</v>
      </c>
      <c r="B564" s="1">
        <v>15</v>
      </c>
      <c r="C564" s="1" t="s">
        <v>646</v>
      </c>
    </row>
    <row r="565" spans="1:3" ht="15.75" customHeight="1" x14ac:dyDescent="0.35">
      <c r="A565" s="1">
        <v>564</v>
      </c>
      <c r="B565" s="1">
        <v>14</v>
      </c>
      <c r="C565" s="1" t="s">
        <v>647</v>
      </c>
    </row>
    <row r="566" spans="1:3" ht="15.75" customHeight="1" x14ac:dyDescent="0.35">
      <c r="A566" s="1">
        <v>565</v>
      </c>
      <c r="B566" s="1">
        <v>2</v>
      </c>
      <c r="C566" s="1" t="s">
        <v>648</v>
      </c>
    </row>
    <row r="567" spans="1:3" ht="15.75" customHeight="1" x14ac:dyDescent="0.35">
      <c r="A567" s="1">
        <v>566</v>
      </c>
      <c r="B567" s="1">
        <v>4</v>
      </c>
      <c r="C567" s="1" t="s">
        <v>649</v>
      </c>
    </row>
    <row r="568" spans="1:3" ht="15.75" customHeight="1" x14ac:dyDescent="0.35">
      <c r="A568" s="1">
        <v>567</v>
      </c>
      <c r="B568" s="1">
        <v>6</v>
      </c>
      <c r="C568" s="1" t="s">
        <v>650</v>
      </c>
    </row>
    <row r="569" spans="1:3" ht="15.75" customHeight="1" x14ac:dyDescent="0.35">
      <c r="A569" s="1">
        <v>568</v>
      </c>
      <c r="B569" s="1">
        <v>13</v>
      </c>
      <c r="C569" s="1" t="s">
        <v>651</v>
      </c>
    </row>
    <row r="570" spans="1:3" ht="15.75" customHeight="1" x14ac:dyDescent="0.35">
      <c r="A570" s="1">
        <v>569</v>
      </c>
      <c r="B570" s="1">
        <v>10</v>
      </c>
      <c r="C570" s="1" t="s">
        <v>652</v>
      </c>
    </row>
    <row r="571" spans="1:3" ht="15.75" customHeight="1" x14ac:dyDescent="0.35">
      <c r="A571" s="1">
        <v>570</v>
      </c>
      <c r="B571" s="1">
        <v>5</v>
      </c>
      <c r="C571" s="1" t="s">
        <v>653</v>
      </c>
    </row>
    <row r="572" spans="1:3" ht="15.75" customHeight="1" x14ac:dyDescent="0.35">
      <c r="A572" s="1">
        <v>571</v>
      </c>
      <c r="B572" s="1">
        <v>7</v>
      </c>
      <c r="C572" s="1" t="s">
        <v>654</v>
      </c>
    </row>
    <row r="573" spans="1:3" ht="15.75" customHeight="1" x14ac:dyDescent="0.35">
      <c r="A573" s="1">
        <v>572</v>
      </c>
      <c r="B573" s="1">
        <v>3</v>
      </c>
      <c r="C573" s="1" t="s">
        <v>655</v>
      </c>
    </row>
    <row r="574" spans="1:3" ht="15.75" customHeight="1" x14ac:dyDescent="0.35">
      <c r="A574" s="1">
        <v>573</v>
      </c>
      <c r="B574" s="1">
        <v>12</v>
      </c>
      <c r="C574" s="1" t="s">
        <v>656</v>
      </c>
    </row>
    <row r="575" spans="1:3" ht="15.75" customHeight="1" x14ac:dyDescent="0.35">
      <c r="A575" s="1">
        <v>574</v>
      </c>
      <c r="B575" s="1">
        <v>10</v>
      </c>
      <c r="C575" s="1" t="s">
        <v>657</v>
      </c>
    </row>
    <row r="576" spans="1:3" ht="15.75" customHeight="1" x14ac:dyDescent="0.35">
      <c r="A576" s="1">
        <v>575</v>
      </c>
      <c r="B576" s="1">
        <v>12</v>
      </c>
      <c r="C576" s="1" t="s">
        <v>658</v>
      </c>
    </row>
    <row r="577" spans="1:3" ht="15.75" customHeight="1" x14ac:dyDescent="0.35">
      <c r="A577" s="1">
        <v>576</v>
      </c>
      <c r="B577" s="1">
        <v>2</v>
      </c>
      <c r="C577" s="1" t="s">
        <v>659</v>
      </c>
    </row>
    <row r="578" spans="1:3" ht="15.75" customHeight="1" x14ac:dyDescent="0.35">
      <c r="A578" s="1">
        <v>577</v>
      </c>
      <c r="B578" s="1">
        <v>14</v>
      </c>
      <c r="C578" s="1" t="s">
        <v>660</v>
      </c>
    </row>
    <row r="579" spans="1:3" ht="15.75" customHeight="1" x14ac:dyDescent="0.35">
      <c r="A579" s="1">
        <v>578</v>
      </c>
      <c r="B579" s="1">
        <v>6</v>
      </c>
      <c r="C579" s="1" t="s">
        <v>661</v>
      </c>
    </row>
    <row r="580" spans="1:3" ht="15.75" customHeight="1" x14ac:dyDescent="0.35">
      <c r="A580" s="1">
        <v>579</v>
      </c>
      <c r="B580" s="1">
        <v>14</v>
      </c>
      <c r="C580" s="1" t="s">
        <v>662</v>
      </c>
    </row>
    <row r="581" spans="1:3" ht="15.75" customHeight="1" x14ac:dyDescent="0.35">
      <c r="A581" s="1">
        <v>580</v>
      </c>
      <c r="B581" s="1">
        <v>12</v>
      </c>
      <c r="C581" s="1" t="s">
        <v>663</v>
      </c>
    </row>
    <row r="582" spans="1:3" ht="15.75" customHeight="1" x14ac:dyDescent="0.35">
      <c r="A582" s="1">
        <v>581</v>
      </c>
      <c r="B582" s="1">
        <v>12</v>
      </c>
      <c r="C582" s="1" t="s">
        <v>664</v>
      </c>
    </row>
    <row r="583" spans="1:3" ht="15.75" customHeight="1" x14ac:dyDescent="0.35">
      <c r="A583" s="1">
        <v>582</v>
      </c>
      <c r="B583" s="1">
        <v>11</v>
      </c>
      <c r="C583" s="1" t="s">
        <v>665</v>
      </c>
    </row>
    <row r="584" spans="1:3" ht="15.75" customHeight="1" x14ac:dyDescent="0.35">
      <c r="A584" s="1">
        <v>583</v>
      </c>
      <c r="B584" s="1">
        <v>7</v>
      </c>
      <c r="C584" s="1" t="s">
        <v>666</v>
      </c>
    </row>
    <row r="585" spans="1:3" ht="15.75" customHeight="1" x14ac:dyDescent="0.35">
      <c r="A585" s="1">
        <v>584</v>
      </c>
      <c r="B585" s="1">
        <v>3</v>
      </c>
      <c r="C585" s="1" t="s">
        <v>667</v>
      </c>
    </row>
    <row r="586" spans="1:3" ht="15.75" customHeight="1" x14ac:dyDescent="0.35">
      <c r="A586" s="1">
        <v>585</v>
      </c>
      <c r="B586" s="1">
        <v>13</v>
      </c>
      <c r="C586" s="1" t="s">
        <v>668</v>
      </c>
    </row>
    <row r="587" spans="1:3" ht="15.75" customHeight="1" x14ac:dyDescent="0.35">
      <c r="A587" s="1">
        <v>586</v>
      </c>
      <c r="B587" s="1">
        <v>11</v>
      </c>
      <c r="C587" s="1" t="s">
        <v>669</v>
      </c>
    </row>
    <row r="588" spans="1:3" ht="15.75" customHeight="1" x14ac:dyDescent="0.35">
      <c r="A588" s="1">
        <v>587</v>
      </c>
      <c r="B588" s="1">
        <v>5</v>
      </c>
      <c r="C588" s="1" t="s">
        <v>670</v>
      </c>
    </row>
    <row r="589" spans="1:3" ht="15.75" customHeight="1" x14ac:dyDescent="0.35">
      <c r="A589" s="1">
        <v>588</v>
      </c>
      <c r="B589" s="1">
        <v>13</v>
      </c>
      <c r="C589" s="1" t="s">
        <v>671</v>
      </c>
    </row>
    <row r="590" spans="1:3" ht="15.75" customHeight="1" x14ac:dyDescent="0.35">
      <c r="A590" s="1">
        <v>589</v>
      </c>
      <c r="B590" s="1">
        <v>3</v>
      </c>
      <c r="C590" s="1" t="s">
        <v>672</v>
      </c>
    </row>
    <row r="591" spans="1:3" ht="15.75" customHeight="1" x14ac:dyDescent="0.35">
      <c r="A591" s="1">
        <v>590</v>
      </c>
      <c r="B591" s="1">
        <v>2</v>
      </c>
      <c r="C591" s="1" t="s">
        <v>673</v>
      </c>
    </row>
    <row r="592" spans="1:3" ht="15.75" customHeight="1" x14ac:dyDescent="0.35">
      <c r="A592" s="1">
        <v>591</v>
      </c>
      <c r="B592" s="1">
        <v>5</v>
      </c>
      <c r="C592" s="1" t="s">
        <v>674</v>
      </c>
    </row>
    <row r="593" spans="1:3" ht="15.75" customHeight="1" x14ac:dyDescent="0.35">
      <c r="A593" s="1">
        <v>592</v>
      </c>
      <c r="B593" s="1">
        <v>1</v>
      </c>
      <c r="C593" s="1" t="s">
        <v>675</v>
      </c>
    </row>
    <row r="594" spans="1:3" ht="15.75" customHeight="1" x14ac:dyDescent="0.35">
      <c r="A594" s="1">
        <v>593</v>
      </c>
      <c r="B594" s="1">
        <v>11</v>
      </c>
      <c r="C594" s="1" t="s">
        <v>676</v>
      </c>
    </row>
    <row r="595" spans="1:3" ht="15.75" customHeight="1" x14ac:dyDescent="0.35">
      <c r="A595" s="1">
        <v>594</v>
      </c>
      <c r="B595" s="1">
        <v>7</v>
      </c>
      <c r="C595" s="1" t="s">
        <v>677</v>
      </c>
    </row>
    <row r="596" spans="1:3" ht="15.75" customHeight="1" x14ac:dyDescent="0.35">
      <c r="A596" s="1">
        <v>595</v>
      </c>
      <c r="B596" s="1">
        <v>4</v>
      </c>
      <c r="C596" s="1" t="s">
        <v>678</v>
      </c>
    </row>
    <row r="597" spans="1:3" ht="15.75" customHeight="1" x14ac:dyDescent="0.35">
      <c r="A597" s="1">
        <v>596</v>
      </c>
      <c r="B597" s="1">
        <v>8</v>
      </c>
      <c r="C597" s="1" t="s">
        <v>679</v>
      </c>
    </row>
    <row r="598" spans="1:3" ht="15.75" customHeight="1" x14ac:dyDescent="0.35">
      <c r="A598" s="1">
        <v>597</v>
      </c>
      <c r="B598" s="1">
        <v>4</v>
      </c>
      <c r="C598" s="1" t="s">
        <v>680</v>
      </c>
    </row>
    <row r="599" spans="1:3" ht="15.75" customHeight="1" x14ac:dyDescent="0.35">
      <c r="A599" s="1">
        <v>598</v>
      </c>
      <c r="B599" s="1">
        <v>11</v>
      </c>
      <c r="C599" s="1" t="s">
        <v>681</v>
      </c>
    </row>
    <row r="600" spans="1:3" ht="15.75" customHeight="1" x14ac:dyDescent="0.35">
      <c r="A600" s="1">
        <v>599</v>
      </c>
      <c r="B600" s="1">
        <v>3</v>
      </c>
      <c r="C600" s="1" t="s">
        <v>682</v>
      </c>
    </row>
    <row r="601" spans="1:3" ht="15.75" customHeight="1" x14ac:dyDescent="0.35">
      <c r="A601" s="1">
        <v>600</v>
      </c>
      <c r="B601" s="1">
        <v>15</v>
      </c>
      <c r="C601" s="1" t="s">
        <v>683</v>
      </c>
    </row>
    <row r="602" spans="1:3" ht="15.75" customHeight="1" x14ac:dyDescent="0.35">
      <c r="A602" s="1">
        <v>601</v>
      </c>
      <c r="B602" s="1">
        <v>7</v>
      </c>
      <c r="C602" s="1" t="s">
        <v>684</v>
      </c>
    </row>
    <row r="603" spans="1:3" ht="15.75" customHeight="1" x14ac:dyDescent="0.35">
      <c r="A603" s="1">
        <v>602</v>
      </c>
      <c r="B603" s="1">
        <v>5</v>
      </c>
      <c r="C603" s="1" t="s">
        <v>685</v>
      </c>
    </row>
    <row r="604" spans="1:3" ht="15.75" customHeight="1" x14ac:dyDescent="0.35">
      <c r="A604" s="1">
        <v>603</v>
      </c>
      <c r="B604" s="1">
        <v>1</v>
      </c>
      <c r="C604" s="1" t="s">
        <v>686</v>
      </c>
    </row>
    <row r="605" spans="1:3" ht="15.75" customHeight="1" x14ac:dyDescent="0.35">
      <c r="A605" s="1">
        <v>604</v>
      </c>
      <c r="B605" s="1">
        <v>4</v>
      </c>
      <c r="C605" s="1" t="s">
        <v>687</v>
      </c>
    </row>
    <row r="606" spans="1:3" ht="15.75" customHeight="1" x14ac:dyDescent="0.35">
      <c r="A606" s="1">
        <v>605</v>
      </c>
      <c r="B606" s="1">
        <v>14</v>
      </c>
      <c r="C606" s="1" t="s">
        <v>688</v>
      </c>
    </row>
    <row r="607" spans="1:3" ht="15.75" customHeight="1" x14ac:dyDescent="0.35">
      <c r="A607" s="1">
        <v>606</v>
      </c>
      <c r="B607" s="1">
        <v>13</v>
      </c>
      <c r="C607" s="1" t="s">
        <v>689</v>
      </c>
    </row>
    <row r="608" spans="1:3" ht="15.75" customHeight="1" x14ac:dyDescent="0.35">
      <c r="A608" s="1">
        <v>607</v>
      </c>
      <c r="B608" s="1">
        <v>10</v>
      </c>
      <c r="C608" s="1" t="s">
        <v>690</v>
      </c>
    </row>
    <row r="609" spans="1:3" ht="15.75" customHeight="1" x14ac:dyDescent="0.35">
      <c r="A609" s="1">
        <v>608</v>
      </c>
      <c r="B609" s="1">
        <v>8</v>
      </c>
      <c r="C609" s="1" t="s">
        <v>691</v>
      </c>
    </row>
    <row r="610" spans="1:3" ht="15.75" customHeight="1" x14ac:dyDescent="0.35">
      <c r="A610" s="1">
        <v>609</v>
      </c>
      <c r="B610" s="1">
        <v>7</v>
      </c>
      <c r="C610" s="1" t="s">
        <v>692</v>
      </c>
    </row>
    <row r="611" spans="1:3" ht="15.75" customHeight="1" x14ac:dyDescent="0.35">
      <c r="A611" s="1">
        <v>610</v>
      </c>
      <c r="B611" s="1">
        <v>4</v>
      </c>
      <c r="C611" s="1" t="s">
        <v>693</v>
      </c>
    </row>
    <row r="612" spans="1:3" ht="15.75" customHeight="1" x14ac:dyDescent="0.35">
      <c r="A612" s="1">
        <v>611</v>
      </c>
      <c r="B612" s="1">
        <v>13</v>
      </c>
      <c r="C612" s="1" t="s">
        <v>694</v>
      </c>
    </row>
    <row r="613" spans="1:3" ht="15.75" customHeight="1" x14ac:dyDescent="0.35">
      <c r="A613" s="1">
        <v>612</v>
      </c>
      <c r="B613" s="1">
        <v>1</v>
      </c>
      <c r="C613" s="1" t="s">
        <v>695</v>
      </c>
    </row>
    <row r="614" spans="1:3" ht="15.75" customHeight="1" x14ac:dyDescent="0.35">
      <c r="A614" s="1">
        <v>613</v>
      </c>
      <c r="B614" s="1">
        <v>6</v>
      </c>
      <c r="C614" s="1" t="s">
        <v>696</v>
      </c>
    </row>
    <row r="615" spans="1:3" ht="15.75" customHeight="1" x14ac:dyDescent="0.35">
      <c r="A615" s="1">
        <v>614</v>
      </c>
      <c r="B615" s="1">
        <v>3</v>
      </c>
      <c r="C615" s="1" t="s">
        <v>697</v>
      </c>
    </row>
    <row r="616" spans="1:3" ht="15.75" customHeight="1" x14ac:dyDescent="0.35">
      <c r="A616" s="1">
        <v>615</v>
      </c>
      <c r="B616" s="1">
        <v>3</v>
      </c>
      <c r="C616" s="1" t="s">
        <v>698</v>
      </c>
    </row>
    <row r="617" spans="1:3" ht="15.75" customHeight="1" x14ac:dyDescent="0.35">
      <c r="A617" s="1">
        <v>616</v>
      </c>
      <c r="B617" s="1">
        <v>8</v>
      </c>
      <c r="C617" s="1" t="s">
        <v>699</v>
      </c>
    </row>
    <row r="618" spans="1:3" ht="15.75" customHeight="1" x14ac:dyDescent="0.35">
      <c r="A618" s="1">
        <v>617</v>
      </c>
      <c r="B618" s="1">
        <v>7</v>
      </c>
      <c r="C618" s="1" t="s">
        <v>700</v>
      </c>
    </row>
    <row r="619" spans="1:3" ht="15.75" customHeight="1" x14ac:dyDescent="0.35">
      <c r="A619" s="1">
        <v>618</v>
      </c>
      <c r="B619" s="1">
        <v>2</v>
      </c>
      <c r="C619" s="1" t="s">
        <v>701</v>
      </c>
    </row>
    <row r="620" spans="1:3" ht="15.75" customHeight="1" x14ac:dyDescent="0.35">
      <c r="A620" s="1">
        <v>619</v>
      </c>
      <c r="B620" s="1">
        <v>5</v>
      </c>
      <c r="C620" s="1" t="s">
        <v>702</v>
      </c>
    </row>
    <row r="621" spans="1:3" ht="15.75" customHeight="1" x14ac:dyDescent="0.35">
      <c r="A621" s="1">
        <v>620</v>
      </c>
      <c r="B621" s="1">
        <v>4</v>
      </c>
      <c r="C621" s="1" t="s">
        <v>703</v>
      </c>
    </row>
    <row r="622" spans="1:3" ht="15.75" customHeight="1" x14ac:dyDescent="0.35">
      <c r="A622" s="1">
        <v>621</v>
      </c>
      <c r="B622" s="1">
        <v>7</v>
      </c>
      <c r="C622" s="1" t="s">
        <v>704</v>
      </c>
    </row>
    <row r="623" spans="1:3" ht="15.75" customHeight="1" x14ac:dyDescent="0.35">
      <c r="A623" s="1">
        <v>622</v>
      </c>
      <c r="B623" s="1">
        <v>7</v>
      </c>
      <c r="C623" s="1" t="s">
        <v>705</v>
      </c>
    </row>
    <row r="624" spans="1:3" ht="15.75" customHeight="1" x14ac:dyDescent="0.35">
      <c r="A624" s="1">
        <v>623</v>
      </c>
      <c r="B624" s="1">
        <v>1</v>
      </c>
      <c r="C624" s="1" t="s">
        <v>706</v>
      </c>
    </row>
    <row r="625" spans="1:3" ht="15.75" customHeight="1" x14ac:dyDescent="0.35">
      <c r="A625" s="1">
        <v>624</v>
      </c>
      <c r="B625" s="1">
        <v>11</v>
      </c>
      <c r="C625" s="1" t="s">
        <v>707</v>
      </c>
    </row>
    <row r="626" spans="1:3" ht="15.75" customHeight="1" x14ac:dyDescent="0.35">
      <c r="A626" s="1">
        <v>625</v>
      </c>
      <c r="B626" s="1">
        <v>11</v>
      </c>
      <c r="C626" s="1" t="s">
        <v>708</v>
      </c>
    </row>
    <row r="627" spans="1:3" ht="15.75" customHeight="1" x14ac:dyDescent="0.35">
      <c r="A627" s="1">
        <v>626</v>
      </c>
      <c r="B627" s="1">
        <v>14</v>
      </c>
      <c r="C627" s="1" t="s">
        <v>709</v>
      </c>
    </row>
    <row r="628" spans="1:3" ht="15.75" customHeight="1" x14ac:dyDescent="0.35">
      <c r="A628" s="1">
        <v>627</v>
      </c>
      <c r="B628" s="1">
        <v>8</v>
      </c>
      <c r="C628" s="1" t="s">
        <v>710</v>
      </c>
    </row>
    <row r="629" spans="1:3" ht="15.75" customHeight="1" x14ac:dyDescent="0.35">
      <c r="A629" s="1">
        <v>628</v>
      </c>
      <c r="B629" s="1">
        <v>14</v>
      </c>
      <c r="C629" s="1" t="s">
        <v>711</v>
      </c>
    </row>
    <row r="630" spans="1:3" ht="15.75" customHeight="1" x14ac:dyDescent="0.35">
      <c r="A630" s="1">
        <v>629</v>
      </c>
      <c r="B630" s="1">
        <v>6</v>
      </c>
      <c r="C630" s="1" t="s">
        <v>712</v>
      </c>
    </row>
    <row r="631" spans="1:3" ht="15.75" customHeight="1" x14ac:dyDescent="0.35">
      <c r="A631" s="1">
        <v>630</v>
      </c>
      <c r="B631" s="1">
        <v>15</v>
      </c>
      <c r="C631" s="1" t="s">
        <v>713</v>
      </c>
    </row>
    <row r="632" spans="1:3" ht="15.75" customHeight="1" x14ac:dyDescent="0.35">
      <c r="A632" s="1">
        <v>631</v>
      </c>
      <c r="B632" s="1">
        <v>6</v>
      </c>
      <c r="C632" s="1" t="s">
        <v>714</v>
      </c>
    </row>
    <row r="633" spans="1:3" ht="15.75" customHeight="1" x14ac:dyDescent="0.35">
      <c r="A633" s="1">
        <v>632</v>
      </c>
      <c r="B633" s="1">
        <v>4</v>
      </c>
      <c r="C633" s="1" t="s">
        <v>715</v>
      </c>
    </row>
    <row r="634" spans="1:3" ht="15.75" customHeight="1" x14ac:dyDescent="0.35">
      <c r="A634" s="1">
        <v>633</v>
      </c>
      <c r="B634" s="1">
        <v>3</v>
      </c>
      <c r="C634" s="1" t="s">
        <v>716</v>
      </c>
    </row>
    <row r="635" spans="1:3" ht="15.75" customHeight="1" x14ac:dyDescent="0.35">
      <c r="A635" s="1">
        <v>634</v>
      </c>
      <c r="B635" s="1">
        <v>11</v>
      </c>
      <c r="C635" s="1" t="s">
        <v>717</v>
      </c>
    </row>
    <row r="636" spans="1:3" ht="15.75" customHeight="1" x14ac:dyDescent="0.35">
      <c r="A636" s="1">
        <v>635</v>
      </c>
      <c r="B636" s="1">
        <v>1</v>
      </c>
      <c r="C636" s="1" t="s">
        <v>718</v>
      </c>
    </row>
    <row r="637" spans="1:3" ht="15.75" customHeight="1" x14ac:dyDescent="0.35">
      <c r="A637" s="1">
        <v>636</v>
      </c>
      <c r="B637" s="1">
        <v>4</v>
      </c>
      <c r="C637" s="1" t="s">
        <v>719</v>
      </c>
    </row>
    <row r="638" spans="1:3" ht="15.75" customHeight="1" x14ac:dyDescent="0.35">
      <c r="A638" s="1">
        <v>637</v>
      </c>
      <c r="B638" s="1">
        <v>4</v>
      </c>
      <c r="C638" s="1" t="s">
        <v>720</v>
      </c>
    </row>
    <row r="639" spans="1:3" ht="15.75" customHeight="1" x14ac:dyDescent="0.35">
      <c r="A639" s="1">
        <v>638</v>
      </c>
      <c r="B639" s="1">
        <v>9</v>
      </c>
      <c r="C639" s="1" t="s">
        <v>721</v>
      </c>
    </row>
    <row r="640" spans="1:3" ht="15.75" customHeight="1" x14ac:dyDescent="0.35">
      <c r="A640" s="1">
        <v>639</v>
      </c>
      <c r="B640" s="1">
        <v>1</v>
      </c>
      <c r="C640" s="1" t="s">
        <v>722</v>
      </c>
    </row>
    <row r="641" spans="1:3" ht="15.75" customHeight="1" x14ac:dyDescent="0.35">
      <c r="A641" s="1">
        <v>640</v>
      </c>
      <c r="B641" s="1">
        <v>13</v>
      </c>
      <c r="C641" s="1" t="s">
        <v>723</v>
      </c>
    </row>
    <row r="642" spans="1:3" ht="15.75" customHeight="1" x14ac:dyDescent="0.35">
      <c r="A642" s="1">
        <v>641</v>
      </c>
      <c r="B642" s="1">
        <v>5</v>
      </c>
      <c r="C642" s="1" t="s">
        <v>724</v>
      </c>
    </row>
    <row r="643" spans="1:3" ht="15.75" customHeight="1" x14ac:dyDescent="0.35">
      <c r="A643" s="1">
        <v>642</v>
      </c>
      <c r="B643" s="1">
        <v>11</v>
      </c>
      <c r="C643" s="1" t="s">
        <v>725</v>
      </c>
    </row>
    <row r="644" spans="1:3" ht="15.75" customHeight="1" x14ac:dyDescent="0.35">
      <c r="A644" s="1">
        <v>643</v>
      </c>
      <c r="B644" s="1">
        <v>4</v>
      </c>
      <c r="C644" s="1" t="s">
        <v>726</v>
      </c>
    </row>
    <row r="645" spans="1:3" ht="15.75" customHeight="1" x14ac:dyDescent="0.35">
      <c r="A645" s="1">
        <v>644</v>
      </c>
      <c r="B645" s="1">
        <v>10</v>
      </c>
      <c r="C645" s="1" t="s">
        <v>727</v>
      </c>
    </row>
    <row r="646" spans="1:3" ht="15.75" customHeight="1" x14ac:dyDescent="0.35">
      <c r="A646" s="1">
        <v>645</v>
      </c>
      <c r="B646" s="1">
        <v>10</v>
      </c>
      <c r="C646" s="1" t="s">
        <v>728</v>
      </c>
    </row>
    <row r="647" spans="1:3" ht="15.75" customHeight="1" x14ac:dyDescent="0.35">
      <c r="A647" s="1">
        <v>646</v>
      </c>
      <c r="B647" s="1">
        <v>9</v>
      </c>
      <c r="C647" s="1" t="s">
        <v>729</v>
      </c>
    </row>
    <row r="648" spans="1:3" ht="15.75" customHeight="1" x14ac:dyDescent="0.35">
      <c r="A648" s="1">
        <v>647</v>
      </c>
      <c r="B648" s="1">
        <v>3</v>
      </c>
      <c r="C648" s="1" t="s">
        <v>730</v>
      </c>
    </row>
    <row r="649" spans="1:3" ht="15.75" customHeight="1" x14ac:dyDescent="0.35">
      <c r="A649" s="1">
        <v>648</v>
      </c>
      <c r="B649" s="1">
        <v>7</v>
      </c>
      <c r="C649" s="1" t="s">
        <v>731</v>
      </c>
    </row>
    <row r="650" spans="1:3" ht="15.75" customHeight="1" x14ac:dyDescent="0.35">
      <c r="A650" s="1">
        <v>649</v>
      </c>
      <c r="B650" s="1">
        <v>8</v>
      </c>
      <c r="C650" s="1" t="s">
        <v>732</v>
      </c>
    </row>
    <row r="651" spans="1:3" ht="15.75" customHeight="1" x14ac:dyDescent="0.35">
      <c r="A651" s="1">
        <v>650</v>
      </c>
      <c r="B651" s="1">
        <v>8</v>
      </c>
      <c r="C651" s="1" t="s">
        <v>733</v>
      </c>
    </row>
    <row r="652" spans="1:3" ht="15.75" customHeight="1" x14ac:dyDescent="0.35">
      <c r="A652" s="1">
        <v>651</v>
      </c>
      <c r="B652" s="1">
        <v>10</v>
      </c>
      <c r="C652" s="1" t="s">
        <v>734</v>
      </c>
    </row>
    <row r="653" spans="1:3" ht="15.75" customHeight="1" x14ac:dyDescent="0.35">
      <c r="A653" s="1">
        <v>652</v>
      </c>
      <c r="B653" s="1">
        <v>8</v>
      </c>
      <c r="C653" s="1" t="s">
        <v>735</v>
      </c>
    </row>
    <row r="654" spans="1:3" ht="15.75" customHeight="1" x14ac:dyDescent="0.35">
      <c r="A654" s="1">
        <v>653</v>
      </c>
      <c r="B654" s="1">
        <v>15</v>
      </c>
      <c r="C654" s="1" t="s">
        <v>736</v>
      </c>
    </row>
    <row r="655" spans="1:3" ht="15.75" customHeight="1" x14ac:dyDescent="0.35">
      <c r="A655" s="1">
        <v>654</v>
      </c>
      <c r="B655" s="1">
        <v>2</v>
      </c>
      <c r="C655" s="1" t="s">
        <v>737</v>
      </c>
    </row>
    <row r="656" spans="1:3" ht="15.75" customHeight="1" x14ac:dyDescent="0.35">
      <c r="A656" s="1">
        <v>655</v>
      </c>
      <c r="B656" s="1">
        <v>8</v>
      </c>
      <c r="C656" s="1" t="s">
        <v>738</v>
      </c>
    </row>
    <row r="657" spans="1:3" ht="15.75" customHeight="1" x14ac:dyDescent="0.35">
      <c r="A657" s="1">
        <v>656</v>
      </c>
      <c r="B657" s="1">
        <v>1</v>
      </c>
      <c r="C657" s="1" t="s">
        <v>739</v>
      </c>
    </row>
    <row r="658" spans="1:3" ht="15.75" customHeight="1" x14ac:dyDescent="0.35">
      <c r="A658" s="1">
        <v>657</v>
      </c>
      <c r="B658" s="1">
        <v>9</v>
      </c>
      <c r="C658" s="1" t="s">
        <v>740</v>
      </c>
    </row>
    <row r="659" spans="1:3" ht="15.75" customHeight="1" x14ac:dyDescent="0.35">
      <c r="A659" s="1">
        <v>658</v>
      </c>
      <c r="B659" s="1">
        <v>7</v>
      </c>
      <c r="C659" s="1" t="s">
        <v>741</v>
      </c>
    </row>
    <row r="660" spans="1:3" ht="15.75" customHeight="1" x14ac:dyDescent="0.35">
      <c r="A660" s="1">
        <v>659</v>
      </c>
      <c r="B660" s="1">
        <v>4</v>
      </c>
      <c r="C660" s="1" t="s">
        <v>742</v>
      </c>
    </row>
    <row r="661" spans="1:3" ht="15.75" customHeight="1" x14ac:dyDescent="0.35">
      <c r="A661" s="1">
        <v>660</v>
      </c>
      <c r="B661" s="1">
        <v>11</v>
      </c>
      <c r="C661" s="1" t="s">
        <v>743</v>
      </c>
    </row>
    <row r="662" spans="1:3" ht="15.75" customHeight="1" x14ac:dyDescent="0.35">
      <c r="A662" s="1">
        <v>661</v>
      </c>
      <c r="B662" s="1">
        <v>15</v>
      </c>
      <c r="C662" s="1" t="s">
        <v>744</v>
      </c>
    </row>
    <row r="663" spans="1:3" ht="15.75" customHeight="1" x14ac:dyDescent="0.35">
      <c r="A663" s="1">
        <v>662</v>
      </c>
      <c r="B663" s="1">
        <v>6</v>
      </c>
      <c r="C663" s="1" t="s">
        <v>745</v>
      </c>
    </row>
    <row r="664" spans="1:3" ht="15.75" customHeight="1" x14ac:dyDescent="0.35">
      <c r="A664" s="1">
        <v>663</v>
      </c>
      <c r="B664" s="1">
        <v>9</v>
      </c>
      <c r="C664" s="1" t="s">
        <v>746</v>
      </c>
    </row>
    <row r="665" spans="1:3" ht="15.75" customHeight="1" x14ac:dyDescent="0.35">
      <c r="A665" s="1">
        <v>664</v>
      </c>
      <c r="B665" s="1">
        <v>13</v>
      </c>
      <c r="C665" s="1" t="s">
        <v>747</v>
      </c>
    </row>
    <row r="666" spans="1:3" ht="15.75" customHeight="1" x14ac:dyDescent="0.35">
      <c r="A666" s="1">
        <v>665</v>
      </c>
      <c r="B666" s="1">
        <v>7</v>
      </c>
      <c r="C666" s="1" t="s">
        <v>748</v>
      </c>
    </row>
    <row r="667" spans="1:3" ht="15.75" customHeight="1" x14ac:dyDescent="0.35">
      <c r="A667" s="1">
        <v>666</v>
      </c>
      <c r="B667" s="1">
        <v>3</v>
      </c>
      <c r="C667" s="1" t="s">
        <v>749</v>
      </c>
    </row>
    <row r="668" spans="1:3" ht="15.75" customHeight="1" x14ac:dyDescent="0.35">
      <c r="A668" s="1">
        <v>667</v>
      </c>
      <c r="B668" s="1">
        <v>5</v>
      </c>
      <c r="C668" s="1" t="s">
        <v>750</v>
      </c>
    </row>
    <row r="669" spans="1:3" ht="15.75" customHeight="1" x14ac:dyDescent="0.35">
      <c r="A669" s="1">
        <v>668</v>
      </c>
      <c r="B669" s="1">
        <v>10</v>
      </c>
      <c r="C669" s="1" t="s">
        <v>750</v>
      </c>
    </row>
    <row r="670" spans="1:3" ht="15.75" customHeight="1" x14ac:dyDescent="0.35">
      <c r="A670" s="1">
        <v>669</v>
      </c>
      <c r="B670" s="1">
        <v>3</v>
      </c>
      <c r="C670" s="1" t="s">
        <v>751</v>
      </c>
    </row>
    <row r="671" spans="1:3" ht="15.75" customHeight="1" x14ac:dyDescent="0.35">
      <c r="A671" s="1">
        <v>670</v>
      </c>
      <c r="B671" s="1">
        <v>13</v>
      </c>
      <c r="C671" s="1" t="s">
        <v>752</v>
      </c>
    </row>
    <row r="672" spans="1:3" ht="15.75" customHeight="1" x14ac:dyDescent="0.35">
      <c r="A672" s="1">
        <v>671</v>
      </c>
      <c r="B672" s="1">
        <v>15</v>
      </c>
      <c r="C672" s="1" t="s">
        <v>753</v>
      </c>
    </row>
    <row r="673" spans="1:3" ht="15.75" customHeight="1" x14ac:dyDescent="0.35">
      <c r="A673" s="1">
        <v>672</v>
      </c>
      <c r="B673" s="1">
        <v>14</v>
      </c>
      <c r="C673" s="1" t="s">
        <v>754</v>
      </c>
    </row>
    <row r="674" spans="1:3" ht="15.75" customHeight="1" x14ac:dyDescent="0.35">
      <c r="A674" s="1">
        <v>673</v>
      </c>
      <c r="B674" s="1">
        <v>15</v>
      </c>
      <c r="C674" s="1" t="s">
        <v>755</v>
      </c>
    </row>
    <row r="675" spans="1:3" ht="15.75" customHeight="1" x14ac:dyDescent="0.35">
      <c r="A675" s="1">
        <v>674</v>
      </c>
      <c r="B675" s="1">
        <v>15</v>
      </c>
      <c r="C675" s="1" t="s">
        <v>756</v>
      </c>
    </row>
    <row r="676" spans="1:3" ht="15.75" customHeight="1" x14ac:dyDescent="0.35">
      <c r="A676" s="1">
        <v>675</v>
      </c>
      <c r="B676" s="1">
        <v>10</v>
      </c>
      <c r="C676" s="1" t="s">
        <v>757</v>
      </c>
    </row>
    <row r="677" spans="1:3" ht="15.75" customHeight="1" x14ac:dyDescent="0.35">
      <c r="A677" s="1">
        <v>676</v>
      </c>
      <c r="B677" s="1">
        <v>6</v>
      </c>
      <c r="C677" s="1" t="s">
        <v>758</v>
      </c>
    </row>
    <row r="678" spans="1:3" ht="15.75" customHeight="1" x14ac:dyDescent="0.35">
      <c r="A678" s="1">
        <v>677</v>
      </c>
      <c r="B678" s="1">
        <v>10</v>
      </c>
      <c r="C678" s="1" t="s">
        <v>759</v>
      </c>
    </row>
    <row r="679" spans="1:3" ht="15.75" customHeight="1" x14ac:dyDescent="0.35">
      <c r="A679" s="1">
        <v>678</v>
      </c>
      <c r="B679" s="1">
        <v>3</v>
      </c>
      <c r="C679" s="1" t="s">
        <v>760</v>
      </c>
    </row>
    <row r="680" spans="1:3" ht="15.75" customHeight="1" x14ac:dyDescent="0.35">
      <c r="A680" s="1">
        <v>679</v>
      </c>
      <c r="B680" s="1">
        <v>5</v>
      </c>
      <c r="C680" s="1" t="s">
        <v>761</v>
      </c>
    </row>
    <row r="681" spans="1:3" ht="15.75" customHeight="1" x14ac:dyDescent="0.35">
      <c r="A681" s="1">
        <v>680</v>
      </c>
      <c r="B681" s="1">
        <v>10</v>
      </c>
      <c r="C681" s="1" t="s">
        <v>762</v>
      </c>
    </row>
    <row r="682" spans="1:3" ht="15.75" customHeight="1" x14ac:dyDescent="0.35">
      <c r="A682" s="1">
        <v>681</v>
      </c>
      <c r="B682" s="1">
        <v>15</v>
      </c>
      <c r="C682" s="1" t="s">
        <v>763</v>
      </c>
    </row>
    <row r="683" spans="1:3" ht="15.75" customHeight="1" x14ac:dyDescent="0.35">
      <c r="A683" s="1">
        <v>682</v>
      </c>
      <c r="B683" s="1">
        <v>2</v>
      </c>
      <c r="C683" s="1" t="s">
        <v>764</v>
      </c>
    </row>
    <row r="684" spans="1:3" ht="15.75" customHeight="1" x14ac:dyDescent="0.35">
      <c r="A684" s="1">
        <v>683</v>
      </c>
      <c r="B684" s="1">
        <v>6</v>
      </c>
      <c r="C684" s="1" t="s">
        <v>765</v>
      </c>
    </row>
    <row r="685" spans="1:3" ht="15.75" customHeight="1" x14ac:dyDescent="0.35">
      <c r="A685" s="1">
        <v>684</v>
      </c>
      <c r="B685" s="1">
        <v>12</v>
      </c>
      <c r="C685" s="1" t="s">
        <v>766</v>
      </c>
    </row>
    <row r="686" spans="1:3" ht="15.75" customHeight="1" x14ac:dyDescent="0.35">
      <c r="A686" s="1">
        <v>685</v>
      </c>
      <c r="B686" s="1">
        <v>1</v>
      </c>
      <c r="C686" s="1" t="s">
        <v>767</v>
      </c>
    </row>
    <row r="687" spans="1:3" ht="15.75" customHeight="1" x14ac:dyDescent="0.35">
      <c r="A687" s="1">
        <v>686</v>
      </c>
      <c r="B687" s="1">
        <v>9</v>
      </c>
      <c r="C687" s="1" t="s">
        <v>768</v>
      </c>
    </row>
    <row r="688" spans="1:3" ht="15.75" customHeight="1" x14ac:dyDescent="0.35">
      <c r="A688" s="1">
        <v>687</v>
      </c>
      <c r="B688" s="1">
        <v>10</v>
      </c>
      <c r="C688" s="1" t="s">
        <v>769</v>
      </c>
    </row>
    <row r="689" spans="1:3" ht="15.75" customHeight="1" x14ac:dyDescent="0.35">
      <c r="A689" s="1">
        <v>688</v>
      </c>
      <c r="B689" s="1">
        <v>10</v>
      </c>
      <c r="C689" s="1" t="s">
        <v>770</v>
      </c>
    </row>
    <row r="690" spans="1:3" ht="15.75" customHeight="1" x14ac:dyDescent="0.35">
      <c r="A690" s="1">
        <v>689</v>
      </c>
      <c r="B690" s="1">
        <v>12</v>
      </c>
      <c r="C690" s="1" t="s">
        <v>771</v>
      </c>
    </row>
    <row r="691" spans="1:3" ht="15.75" customHeight="1" x14ac:dyDescent="0.35">
      <c r="A691" s="1">
        <v>690</v>
      </c>
      <c r="B691" s="1">
        <v>14</v>
      </c>
      <c r="C691" s="1" t="s">
        <v>772</v>
      </c>
    </row>
    <row r="692" spans="1:3" ht="15.75" customHeight="1" x14ac:dyDescent="0.35">
      <c r="A692" s="1">
        <v>691</v>
      </c>
      <c r="B692" s="1">
        <v>3</v>
      </c>
      <c r="C692" s="1" t="s">
        <v>773</v>
      </c>
    </row>
    <row r="693" spans="1:3" ht="15.75" customHeight="1" x14ac:dyDescent="0.35">
      <c r="A693" s="1">
        <v>692</v>
      </c>
      <c r="B693" s="1">
        <v>2</v>
      </c>
      <c r="C693" s="1" t="s">
        <v>774</v>
      </c>
    </row>
    <row r="694" spans="1:3" ht="15.75" customHeight="1" x14ac:dyDescent="0.35">
      <c r="A694" s="1">
        <v>693</v>
      </c>
      <c r="B694" s="1">
        <v>6</v>
      </c>
      <c r="C694" s="1" t="s">
        <v>775</v>
      </c>
    </row>
    <row r="695" spans="1:3" ht="15.75" customHeight="1" x14ac:dyDescent="0.35">
      <c r="A695" s="1">
        <v>694</v>
      </c>
      <c r="B695" s="1">
        <v>1</v>
      </c>
      <c r="C695" s="1" t="s">
        <v>776</v>
      </c>
    </row>
    <row r="696" spans="1:3" ht="15.75" customHeight="1" x14ac:dyDescent="0.35">
      <c r="A696" s="1">
        <v>695</v>
      </c>
      <c r="B696" s="1">
        <v>2</v>
      </c>
      <c r="C696" s="1" t="s">
        <v>777</v>
      </c>
    </row>
    <row r="697" spans="1:3" ht="15.75" customHeight="1" x14ac:dyDescent="0.35">
      <c r="A697" s="1">
        <v>696</v>
      </c>
      <c r="B697" s="1">
        <v>13</v>
      </c>
      <c r="C697" s="1" t="s">
        <v>778</v>
      </c>
    </row>
    <row r="698" spans="1:3" ht="15.75" customHeight="1" x14ac:dyDescent="0.35">
      <c r="A698" s="1">
        <v>697</v>
      </c>
      <c r="B698" s="1">
        <v>9</v>
      </c>
      <c r="C698" s="1" t="s">
        <v>779</v>
      </c>
    </row>
    <row r="699" spans="1:3" ht="15.75" customHeight="1" x14ac:dyDescent="0.35">
      <c r="A699" s="1">
        <v>698</v>
      </c>
      <c r="B699" s="1">
        <v>2</v>
      </c>
      <c r="C699" s="1" t="s">
        <v>780</v>
      </c>
    </row>
    <row r="700" spans="1:3" ht="15.75" customHeight="1" x14ac:dyDescent="0.35">
      <c r="A700" s="1">
        <v>699</v>
      </c>
      <c r="B700" s="1">
        <v>11</v>
      </c>
      <c r="C700" s="1" t="s">
        <v>781</v>
      </c>
    </row>
    <row r="701" spans="1:3" ht="15.75" customHeight="1" x14ac:dyDescent="0.35">
      <c r="A701" s="1">
        <v>700</v>
      </c>
      <c r="B701" s="1">
        <v>12</v>
      </c>
      <c r="C701" s="1" t="s">
        <v>782</v>
      </c>
    </row>
    <row r="702" spans="1:3" ht="15.75" customHeight="1" x14ac:dyDescent="0.35">
      <c r="A702" s="1">
        <v>701</v>
      </c>
      <c r="B702" s="1">
        <v>6</v>
      </c>
      <c r="C702" s="1" t="s">
        <v>783</v>
      </c>
    </row>
    <row r="703" spans="1:3" ht="15.75" customHeight="1" x14ac:dyDescent="0.35">
      <c r="A703" s="1">
        <v>702</v>
      </c>
      <c r="B703" s="1">
        <v>11</v>
      </c>
      <c r="C703" s="1" t="s">
        <v>784</v>
      </c>
    </row>
    <row r="704" spans="1:3" ht="15.75" customHeight="1" x14ac:dyDescent="0.35">
      <c r="A704" s="1">
        <v>703</v>
      </c>
      <c r="B704" s="1">
        <v>10</v>
      </c>
      <c r="C704" s="1" t="s">
        <v>785</v>
      </c>
    </row>
    <row r="705" spans="1:3" ht="15.75" customHeight="1" x14ac:dyDescent="0.35">
      <c r="A705" s="1">
        <v>704</v>
      </c>
      <c r="B705" s="1">
        <v>3</v>
      </c>
      <c r="C705" s="1" t="s">
        <v>786</v>
      </c>
    </row>
    <row r="706" spans="1:3" ht="15.75" customHeight="1" x14ac:dyDescent="0.35">
      <c r="A706" s="1">
        <v>705</v>
      </c>
      <c r="B706" s="1">
        <v>13</v>
      </c>
      <c r="C706" s="1" t="s">
        <v>787</v>
      </c>
    </row>
    <row r="707" spans="1:3" ht="15.75" customHeight="1" x14ac:dyDescent="0.35">
      <c r="A707" s="1">
        <v>706</v>
      </c>
      <c r="B707" s="1">
        <v>5</v>
      </c>
      <c r="C707" s="1" t="s">
        <v>788</v>
      </c>
    </row>
    <row r="708" spans="1:3" ht="15.75" customHeight="1" x14ac:dyDescent="0.35">
      <c r="A708" s="1">
        <v>707</v>
      </c>
      <c r="B708" s="1">
        <v>11</v>
      </c>
      <c r="C708" s="1" t="s">
        <v>789</v>
      </c>
    </row>
    <row r="709" spans="1:3" ht="15.75" customHeight="1" x14ac:dyDescent="0.35">
      <c r="A709" s="1">
        <v>708</v>
      </c>
      <c r="B709" s="1">
        <v>10</v>
      </c>
      <c r="C709" s="1" t="s">
        <v>790</v>
      </c>
    </row>
    <row r="710" spans="1:3" ht="15.75" customHeight="1" x14ac:dyDescent="0.35">
      <c r="A710" s="1">
        <v>709</v>
      </c>
      <c r="B710" s="1">
        <v>12</v>
      </c>
      <c r="C710" s="1" t="s">
        <v>791</v>
      </c>
    </row>
    <row r="711" spans="1:3" ht="15.75" customHeight="1" x14ac:dyDescent="0.35">
      <c r="A711" s="1">
        <v>710</v>
      </c>
      <c r="B711" s="1">
        <v>14</v>
      </c>
      <c r="C711" s="1" t="s">
        <v>792</v>
      </c>
    </row>
    <row r="712" spans="1:3" ht="15.75" customHeight="1" x14ac:dyDescent="0.35">
      <c r="A712" s="1">
        <v>711</v>
      </c>
      <c r="B712" s="1">
        <v>8</v>
      </c>
      <c r="C712" s="1" t="s">
        <v>793</v>
      </c>
    </row>
    <row r="713" spans="1:3" ht="15.75" customHeight="1" x14ac:dyDescent="0.35">
      <c r="A713" s="1">
        <v>712</v>
      </c>
      <c r="B713" s="1">
        <v>11</v>
      </c>
      <c r="C713" s="1" t="s">
        <v>794</v>
      </c>
    </row>
    <row r="714" spans="1:3" ht="15.75" customHeight="1" x14ac:dyDescent="0.35">
      <c r="A714" s="1">
        <v>713</v>
      </c>
      <c r="B714" s="1">
        <v>15</v>
      </c>
      <c r="C714" s="1" t="s">
        <v>795</v>
      </c>
    </row>
    <row r="715" spans="1:3" ht="15.75" customHeight="1" x14ac:dyDescent="0.35">
      <c r="A715" s="1">
        <v>714</v>
      </c>
      <c r="B715" s="1">
        <v>2</v>
      </c>
      <c r="C715" s="1" t="s">
        <v>796</v>
      </c>
    </row>
    <row r="716" spans="1:3" ht="15.75" customHeight="1" x14ac:dyDescent="0.35">
      <c r="A716" s="1">
        <v>715</v>
      </c>
      <c r="B716" s="1">
        <v>9</v>
      </c>
      <c r="C716" s="1" t="s">
        <v>797</v>
      </c>
    </row>
    <row r="717" spans="1:3" ht="15.75" customHeight="1" x14ac:dyDescent="0.35">
      <c r="A717" s="1">
        <v>716</v>
      </c>
      <c r="B717" s="1">
        <v>2</v>
      </c>
      <c r="C717" s="1" t="s">
        <v>798</v>
      </c>
    </row>
    <row r="718" spans="1:3" ht="15.75" customHeight="1" x14ac:dyDescent="0.35">
      <c r="A718" s="1">
        <v>717</v>
      </c>
      <c r="B718" s="1">
        <v>9</v>
      </c>
      <c r="C718" s="1" t="s">
        <v>799</v>
      </c>
    </row>
    <row r="719" spans="1:3" ht="15.75" customHeight="1" x14ac:dyDescent="0.35">
      <c r="A719" s="1">
        <v>718</v>
      </c>
      <c r="B719" s="1">
        <v>13</v>
      </c>
      <c r="C719" s="1" t="s">
        <v>800</v>
      </c>
    </row>
    <row r="720" spans="1:3" ht="15.75" customHeight="1" x14ac:dyDescent="0.35">
      <c r="A720" s="1">
        <v>719</v>
      </c>
      <c r="B720" s="1">
        <v>6</v>
      </c>
      <c r="C720" s="1" t="s">
        <v>801</v>
      </c>
    </row>
    <row r="721" spans="1:3" ht="15.75" customHeight="1" x14ac:dyDescent="0.35">
      <c r="A721" s="1">
        <v>720</v>
      </c>
      <c r="B721" s="1">
        <v>7</v>
      </c>
      <c r="C721" s="1" t="s">
        <v>802</v>
      </c>
    </row>
    <row r="722" spans="1:3" ht="15.75" customHeight="1" x14ac:dyDescent="0.35">
      <c r="A722" s="1">
        <v>721</v>
      </c>
      <c r="B722" s="1">
        <v>10</v>
      </c>
      <c r="C722" s="1" t="s">
        <v>803</v>
      </c>
    </row>
    <row r="723" spans="1:3" ht="15.75" customHeight="1" x14ac:dyDescent="0.35">
      <c r="A723" s="1">
        <v>722</v>
      </c>
      <c r="B723" s="1">
        <v>10</v>
      </c>
      <c r="C723" s="1" t="s">
        <v>804</v>
      </c>
    </row>
    <row r="724" spans="1:3" ht="15.75" customHeight="1" x14ac:dyDescent="0.35">
      <c r="A724" s="1">
        <v>723</v>
      </c>
      <c r="B724" s="1">
        <v>10</v>
      </c>
      <c r="C724" s="1" t="s">
        <v>805</v>
      </c>
    </row>
    <row r="725" spans="1:3" ht="15.75" customHeight="1" x14ac:dyDescent="0.35">
      <c r="A725" s="1">
        <v>724</v>
      </c>
      <c r="B725" s="1">
        <v>4</v>
      </c>
      <c r="C725" s="1" t="s">
        <v>806</v>
      </c>
    </row>
    <row r="726" spans="1:3" ht="15.75" customHeight="1" x14ac:dyDescent="0.35">
      <c r="A726" s="1">
        <v>725</v>
      </c>
      <c r="B726" s="1">
        <v>7</v>
      </c>
      <c r="C726" s="1" t="s">
        <v>807</v>
      </c>
    </row>
    <row r="727" spans="1:3" ht="15.75" customHeight="1" x14ac:dyDescent="0.35">
      <c r="A727" s="1">
        <v>726</v>
      </c>
      <c r="B727" s="1">
        <v>2</v>
      </c>
      <c r="C727" s="1" t="s">
        <v>808</v>
      </c>
    </row>
    <row r="728" spans="1:3" ht="15.75" customHeight="1" x14ac:dyDescent="0.35">
      <c r="A728" s="1">
        <v>727</v>
      </c>
      <c r="B728" s="1">
        <v>8</v>
      </c>
      <c r="C728" s="1" t="s">
        <v>809</v>
      </c>
    </row>
    <row r="729" spans="1:3" ht="15.75" customHeight="1" x14ac:dyDescent="0.35">
      <c r="A729" s="1">
        <v>728</v>
      </c>
      <c r="B729" s="1">
        <v>7</v>
      </c>
      <c r="C729" s="1" t="s">
        <v>810</v>
      </c>
    </row>
    <row r="730" spans="1:3" ht="15.75" customHeight="1" x14ac:dyDescent="0.35">
      <c r="A730" s="1">
        <v>729</v>
      </c>
      <c r="B730" s="1">
        <v>15</v>
      </c>
      <c r="C730" s="1" t="s">
        <v>811</v>
      </c>
    </row>
    <row r="731" spans="1:3" ht="15.75" customHeight="1" x14ac:dyDescent="0.35">
      <c r="A731" s="1">
        <v>730</v>
      </c>
      <c r="B731" s="1">
        <v>3</v>
      </c>
      <c r="C731" s="1" t="s">
        <v>812</v>
      </c>
    </row>
    <row r="732" spans="1:3" ht="15.75" customHeight="1" x14ac:dyDescent="0.35">
      <c r="A732" s="1">
        <v>731</v>
      </c>
      <c r="B732" s="1">
        <v>2</v>
      </c>
      <c r="C732" s="1" t="s">
        <v>813</v>
      </c>
    </row>
    <row r="733" spans="1:3" ht="15.75" customHeight="1" x14ac:dyDescent="0.35">
      <c r="A733" s="1">
        <v>732</v>
      </c>
      <c r="B733" s="1">
        <v>1</v>
      </c>
      <c r="C733" s="1" t="s">
        <v>814</v>
      </c>
    </row>
    <row r="734" spans="1:3" ht="15.75" customHeight="1" x14ac:dyDescent="0.35">
      <c r="A734" s="1">
        <v>733</v>
      </c>
      <c r="B734" s="1">
        <v>11</v>
      </c>
      <c r="C734" s="1" t="s">
        <v>815</v>
      </c>
    </row>
    <row r="735" spans="1:3" ht="15.75" customHeight="1" x14ac:dyDescent="0.35">
      <c r="A735" s="1">
        <v>734</v>
      </c>
      <c r="B735" s="1">
        <v>11</v>
      </c>
      <c r="C735" s="1" t="s">
        <v>816</v>
      </c>
    </row>
    <row r="736" spans="1:3" ht="15.75" customHeight="1" x14ac:dyDescent="0.35">
      <c r="A736" s="1">
        <v>735</v>
      </c>
      <c r="B736" s="1">
        <v>3</v>
      </c>
      <c r="C736" s="1" t="s">
        <v>817</v>
      </c>
    </row>
    <row r="737" spans="1:3" ht="15.75" customHeight="1" x14ac:dyDescent="0.35">
      <c r="A737" s="1">
        <v>736</v>
      </c>
      <c r="B737" s="1">
        <v>6</v>
      </c>
      <c r="C737" s="1" t="s">
        <v>818</v>
      </c>
    </row>
    <row r="738" spans="1:3" ht="15.75" customHeight="1" x14ac:dyDescent="0.35">
      <c r="A738" s="1">
        <v>737</v>
      </c>
      <c r="B738" s="1">
        <v>3</v>
      </c>
      <c r="C738" s="1" t="s">
        <v>819</v>
      </c>
    </row>
    <row r="739" spans="1:3" ht="15.75" customHeight="1" x14ac:dyDescent="0.35">
      <c r="A739" s="1">
        <v>738</v>
      </c>
      <c r="B739" s="1">
        <v>6</v>
      </c>
      <c r="C739" s="1" t="s">
        <v>820</v>
      </c>
    </row>
    <row r="740" spans="1:3" ht="15.75" customHeight="1" x14ac:dyDescent="0.35">
      <c r="A740" s="1">
        <v>739</v>
      </c>
      <c r="B740" s="1">
        <v>12</v>
      </c>
      <c r="C740" s="1" t="s">
        <v>821</v>
      </c>
    </row>
    <row r="741" spans="1:3" ht="15.75" customHeight="1" x14ac:dyDescent="0.35">
      <c r="A741" s="1">
        <v>740</v>
      </c>
      <c r="B741" s="1">
        <v>5</v>
      </c>
      <c r="C741" s="1" t="s">
        <v>822</v>
      </c>
    </row>
    <row r="742" spans="1:3" ht="15.75" customHeight="1" x14ac:dyDescent="0.35">
      <c r="A742" s="1">
        <v>741</v>
      </c>
      <c r="B742" s="1">
        <v>11</v>
      </c>
      <c r="C742" s="1" t="s">
        <v>823</v>
      </c>
    </row>
    <row r="743" spans="1:3" ht="15.75" customHeight="1" x14ac:dyDescent="0.35">
      <c r="A743" s="1">
        <v>742</v>
      </c>
      <c r="B743" s="1">
        <v>3</v>
      </c>
      <c r="C743" s="1" t="s">
        <v>824</v>
      </c>
    </row>
    <row r="744" spans="1:3" ht="15.75" customHeight="1" x14ac:dyDescent="0.35">
      <c r="A744" s="1">
        <v>743</v>
      </c>
      <c r="B744" s="1">
        <v>1</v>
      </c>
      <c r="C744" s="1" t="s">
        <v>825</v>
      </c>
    </row>
    <row r="745" spans="1:3" ht="15.75" customHeight="1" x14ac:dyDescent="0.35">
      <c r="A745" s="1">
        <v>744</v>
      </c>
      <c r="B745" s="1">
        <v>8</v>
      </c>
      <c r="C745" s="1" t="s">
        <v>826</v>
      </c>
    </row>
    <row r="746" spans="1:3" ht="15.75" customHeight="1" x14ac:dyDescent="0.35">
      <c r="A746" s="1">
        <v>745</v>
      </c>
      <c r="B746" s="1">
        <v>10</v>
      </c>
      <c r="C746" s="1" t="s">
        <v>827</v>
      </c>
    </row>
    <row r="747" spans="1:3" ht="15.75" customHeight="1" x14ac:dyDescent="0.35">
      <c r="A747" s="1">
        <v>746</v>
      </c>
      <c r="B747" s="1">
        <v>15</v>
      </c>
      <c r="C747" s="1" t="s">
        <v>828</v>
      </c>
    </row>
    <row r="748" spans="1:3" ht="15.75" customHeight="1" x14ac:dyDescent="0.35">
      <c r="A748" s="1">
        <v>747</v>
      </c>
      <c r="B748" s="1">
        <v>13</v>
      </c>
      <c r="C748" s="1" t="s">
        <v>829</v>
      </c>
    </row>
    <row r="749" spans="1:3" ht="15.75" customHeight="1" x14ac:dyDescent="0.35">
      <c r="A749" s="1">
        <v>748</v>
      </c>
      <c r="B749" s="1">
        <v>12</v>
      </c>
      <c r="C749" s="1" t="s">
        <v>830</v>
      </c>
    </row>
    <row r="750" spans="1:3" ht="15.75" customHeight="1" x14ac:dyDescent="0.35">
      <c r="A750" s="1">
        <v>749</v>
      </c>
      <c r="B750" s="1">
        <v>5</v>
      </c>
      <c r="C750" s="1" t="s">
        <v>831</v>
      </c>
    </row>
    <row r="751" spans="1:3" ht="15.75" customHeight="1" x14ac:dyDescent="0.35">
      <c r="A751" s="1">
        <v>750</v>
      </c>
      <c r="B751" s="1">
        <v>12</v>
      </c>
      <c r="C751" s="1" t="s">
        <v>832</v>
      </c>
    </row>
    <row r="752" spans="1:3" ht="15.75" customHeight="1" x14ac:dyDescent="0.35">
      <c r="A752" s="1">
        <v>751</v>
      </c>
      <c r="B752" s="1">
        <v>14</v>
      </c>
      <c r="C752" s="1" t="s">
        <v>833</v>
      </c>
    </row>
    <row r="753" spans="1:3" ht="15.75" customHeight="1" x14ac:dyDescent="0.35">
      <c r="A753" s="1">
        <v>752</v>
      </c>
      <c r="B753" s="1">
        <v>7</v>
      </c>
      <c r="C753" s="1" t="s">
        <v>834</v>
      </c>
    </row>
    <row r="754" spans="1:3" ht="15.75" customHeight="1" x14ac:dyDescent="0.35">
      <c r="A754" s="1">
        <v>753</v>
      </c>
      <c r="B754" s="1">
        <v>15</v>
      </c>
      <c r="C754" s="1" t="s">
        <v>835</v>
      </c>
    </row>
    <row r="755" spans="1:3" ht="15.75" customHeight="1" x14ac:dyDescent="0.35">
      <c r="A755" s="1">
        <v>754</v>
      </c>
      <c r="B755" s="1">
        <v>8</v>
      </c>
      <c r="C755" s="1" t="s">
        <v>836</v>
      </c>
    </row>
    <row r="756" spans="1:3" ht="15.75" customHeight="1" x14ac:dyDescent="0.35">
      <c r="A756" s="1">
        <v>755</v>
      </c>
      <c r="B756" s="1">
        <v>2</v>
      </c>
      <c r="C756" s="1" t="s">
        <v>837</v>
      </c>
    </row>
    <row r="757" spans="1:3" ht="15.75" customHeight="1" x14ac:dyDescent="0.35">
      <c r="A757" s="1">
        <v>756</v>
      </c>
      <c r="B757" s="1">
        <v>9</v>
      </c>
      <c r="C757" s="1" t="s">
        <v>838</v>
      </c>
    </row>
    <row r="758" spans="1:3" ht="15.75" customHeight="1" x14ac:dyDescent="0.35">
      <c r="A758" s="1">
        <v>757</v>
      </c>
      <c r="B758" s="1">
        <v>14</v>
      </c>
      <c r="C758" s="1" t="s">
        <v>839</v>
      </c>
    </row>
    <row r="759" spans="1:3" ht="15.75" customHeight="1" x14ac:dyDescent="0.35">
      <c r="A759" s="1">
        <v>758</v>
      </c>
      <c r="B759" s="1">
        <v>9</v>
      </c>
      <c r="C759" s="1" t="s">
        <v>840</v>
      </c>
    </row>
    <row r="760" spans="1:3" ht="15.75" customHeight="1" x14ac:dyDescent="0.35">
      <c r="A760" s="1">
        <v>759</v>
      </c>
      <c r="B760" s="1">
        <v>11</v>
      </c>
      <c r="C760" s="1" t="s">
        <v>841</v>
      </c>
    </row>
    <row r="761" spans="1:3" ht="15.75" customHeight="1" x14ac:dyDescent="0.35">
      <c r="A761" s="1">
        <v>760</v>
      </c>
      <c r="B761" s="1">
        <v>13</v>
      </c>
      <c r="C761" s="1" t="s">
        <v>842</v>
      </c>
    </row>
    <row r="762" spans="1:3" ht="15.75" customHeight="1" x14ac:dyDescent="0.35">
      <c r="A762" s="1">
        <v>761</v>
      </c>
      <c r="B762" s="1">
        <v>10</v>
      </c>
      <c r="C762" s="1" t="s">
        <v>843</v>
      </c>
    </row>
    <row r="763" spans="1:3" ht="15.75" customHeight="1" x14ac:dyDescent="0.35">
      <c r="A763" s="1">
        <v>762</v>
      </c>
      <c r="B763" s="1">
        <v>15</v>
      </c>
      <c r="C763" s="1" t="s">
        <v>844</v>
      </c>
    </row>
    <row r="764" spans="1:3" ht="15.75" customHeight="1" x14ac:dyDescent="0.35">
      <c r="A764" s="1">
        <v>763</v>
      </c>
      <c r="B764" s="1">
        <v>12</v>
      </c>
      <c r="C764" s="1" t="s">
        <v>845</v>
      </c>
    </row>
    <row r="765" spans="1:3" ht="15.75" customHeight="1" x14ac:dyDescent="0.35">
      <c r="A765" s="1">
        <v>764</v>
      </c>
      <c r="B765" s="1">
        <v>2</v>
      </c>
      <c r="C765" s="1" t="s">
        <v>846</v>
      </c>
    </row>
    <row r="766" spans="1:3" ht="15.75" customHeight="1" x14ac:dyDescent="0.35">
      <c r="A766" s="1">
        <v>765</v>
      </c>
      <c r="B766" s="1">
        <v>3</v>
      </c>
      <c r="C766" s="1" t="s">
        <v>847</v>
      </c>
    </row>
    <row r="767" spans="1:3" ht="15.75" customHeight="1" x14ac:dyDescent="0.35">
      <c r="A767" s="1">
        <v>766</v>
      </c>
      <c r="B767" s="1">
        <v>1</v>
      </c>
      <c r="C767" s="1" t="s">
        <v>848</v>
      </c>
    </row>
    <row r="768" spans="1:3" ht="15.75" customHeight="1" x14ac:dyDescent="0.35">
      <c r="A768" s="1">
        <v>767</v>
      </c>
      <c r="B768" s="1">
        <v>1</v>
      </c>
      <c r="C768" s="1" t="s">
        <v>849</v>
      </c>
    </row>
    <row r="769" spans="1:3" ht="15.75" customHeight="1" x14ac:dyDescent="0.35">
      <c r="A769" s="1">
        <v>768</v>
      </c>
      <c r="B769" s="1">
        <v>12</v>
      </c>
      <c r="C769" s="1" t="s">
        <v>850</v>
      </c>
    </row>
    <row r="770" spans="1:3" ht="15.75" customHeight="1" x14ac:dyDescent="0.35">
      <c r="A770" s="1">
        <v>769</v>
      </c>
      <c r="B770" s="1">
        <v>4</v>
      </c>
      <c r="C770" s="1" t="s">
        <v>851</v>
      </c>
    </row>
    <row r="771" spans="1:3" ht="15.75" customHeight="1" x14ac:dyDescent="0.35">
      <c r="A771" s="1">
        <v>770</v>
      </c>
      <c r="B771" s="1">
        <v>2</v>
      </c>
      <c r="C771" s="1" t="s">
        <v>852</v>
      </c>
    </row>
    <row r="772" spans="1:3" ht="15.75" customHeight="1" x14ac:dyDescent="0.35">
      <c r="A772" s="1">
        <v>771</v>
      </c>
      <c r="B772" s="1">
        <v>15</v>
      </c>
      <c r="C772" s="1" t="s">
        <v>853</v>
      </c>
    </row>
    <row r="773" spans="1:3" ht="15.75" customHeight="1" x14ac:dyDescent="0.35">
      <c r="A773" s="1">
        <v>772</v>
      </c>
      <c r="B773" s="1">
        <v>14</v>
      </c>
      <c r="C773" s="1" t="s">
        <v>854</v>
      </c>
    </row>
    <row r="774" spans="1:3" ht="15.75" customHeight="1" x14ac:dyDescent="0.35">
      <c r="A774" s="1">
        <v>773</v>
      </c>
      <c r="B774" s="1">
        <v>10</v>
      </c>
      <c r="C774" s="1" t="s">
        <v>855</v>
      </c>
    </row>
    <row r="775" spans="1:3" ht="15.75" customHeight="1" x14ac:dyDescent="0.35">
      <c r="A775" s="1">
        <v>774</v>
      </c>
      <c r="B775" s="1">
        <v>4</v>
      </c>
      <c r="C775" s="1" t="s">
        <v>856</v>
      </c>
    </row>
    <row r="776" spans="1:3" ht="15.75" customHeight="1" x14ac:dyDescent="0.35">
      <c r="A776" s="1">
        <v>775</v>
      </c>
      <c r="B776" s="1">
        <v>1</v>
      </c>
      <c r="C776" s="1" t="s">
        <v>857</v>
      </c>
    </row>
    <row r="777" spans="1:3" ht="15.75" customHeight="1" x14ac:dyDescent="0.35">
      <c r="A777" s="1">
        <v>776</v>
      </c>
      <c r="B777" s="1">
        <v>8</v>
      </c>
      <c r="C777" s="1" t="s">
        <v>858</v>
      </c>
    </row>
    <row r="778" spans="1:3" ht="15.75" customHeight="1" x14ac:dyDescent="0.35">
      <c r="A778" s="1">
        <v>777</v>
      </c>
      <c r="B778" s="1">
        <v>13</v>
      </c>
      <c r="C778" s="1" t="s">
        <v>858</v>
      </c>
    </row>
    <row r="779" spans="1:3" ht="15.75" customHeight="1" x14ac:dyDescent="0.35">
      <c r="A779" s="1">
        <v>778</v>
      </c>
      <c r="B779" s="1">
        <v>5</v>
      </c>
      <c r="C779" s="1" t="s">
        <v>859</v>
      </c>
    </row>
    <row r="780" spans="1:3" ht="15.75" customHeight="1" x14ac:dyDescent="0.35">
      <c r="A780" s="1">
        <v>779</v>
      </c>
      <c r="B780" s="1">
        <v>3</v>
      </c>
      <c r="C780" s="1" t="s">
        <v>860</v>
      </c>
    </row>
    <row r="781" spans="1:3" ht="15.75" customHeight="1" x14ac:dyDescent="0.35">
      <c r="A781" s="1">
        <v>780</v>
      </c>
      <c r="B781" s="1">
        <v>3</v>
      </c>
      <c r="C781" s="1" t="s">
        <v>861</v>
      </c>
    </row>
    <row r="782" spans="1:3" ht="15.75" customHeight="1" x14ac:dyDescent="0.35">
      <c r="A782" s="1">
        <v>781</v>
      </c>
      <c r="B782" s="1">
        <v>1</v>
      </c>
      <c r="C782" s="1" t="s">
        <v>862</v>
      </c>
    </row>
    <row r="783" spans="1:3" ht="15.75" customHeight="1" x14ac:dyDescent="0.35">
      <c r="A783" s="1">
        <v>782</v>
      </c>
      <c r="B783" s="1">
        <v>2</v>
      </c>
      <c r="C783" s="1" t="s">
        <v>863</v>
      </c>
    </row>
    <row r="784" spans="1:3" ht="15.75" customHeight="1" x14ac:dyDescent="0.35">
      <c r="A784" s="1">
        <v>783</v>
      </c>
      <c r="B784" s="1">
        <v>4</v>
      </c>
      <c r="C784" s="1" t="s">
        <v>864</v>
      </c>
    </row>
    <row r="785" spans="1:3" ht="15.75" customHeight="1" x14ac:dyDescent="0.35">
      <c r="A785" s="1">
        <v>784</v>
      </c>
      <c r="B785" s="1">
        <v>12</v>
      </c>
      <c r="C785" s="1" t="s">
        <v>865</v>
      </c>
    </row>
    <row r="786" spans="1:3" ht="15.75" customHeight="1" x14ac:dyDescent="0.35">
      <c r="A786" s="1">
        <v>785</v>
      </c>
      <c r="B786" s="1">
        <v>1</v>
      </c>
      <c r="C786" s="1" t="s">
        <v>866</v>
      </c>
    </row>
    <row r="787" spans="1:3" ht="15.75" customHeight="1" x14ac:dyDescent="0.35">
      <c r="A787" s="1">
        <v>786</v>
      </c>
      <c r="B787" s="1">
        <v>8</v>
      </c>
      <c r="C787" s="1" t="s">
        <v>867</v>
      </c>
    </row>
    <row r="788" spans="1:3" ht="15.75" customHeight="1" x14ac:dyDescent="0.35">
      <c r="A788" s="1">
        <v>787</v>
      </c>
      <c r="B788" s="1">
        <v>5</v>
      </c>
      <c r="C788" s="1" t="s">
        <v>868</v>
      </c>
    </row>
    <row r="789" spans="1:3" ht="15.75" customHeight="1" x14ac:dyDescent="0.35">
      <c r="A789" s="1">
        <v>788</v>
      </c>
      <c r="B789" s="1">
        <v>9</v>
      </c>
      <c r="C789" s="1" t="s">
        <v>869</v>
      </c>
    </row>
    <row r="790" spans="1:3" ht="15.75" customHeight="1" x14ac:dyDescent="0.35">
      <c r="A790" s="1">
        <v>789</v>
      </c>
      <c r="B790" s="1">
        <v>4</v>
      </c>
      <c r="C790" s="1" t="s">
        <v>870</v>
      </c>
    </row>
    <row r="791" spans="1:3" ht="15.75" customHeight="1" x14ac:dyDescent="0.35">
      <c r="A791" s="1">
        <v>790</v>
      </c>
      <c r="B791" s="1">
        <v>13</v>
      </c>
      <c r="C791" s="1" t="s">
        <v>871</v>
      </c>
    </row>
    <row r="792" spans="1:3" ht="15.75" customHeight="1" x14ac:dyDescent="0.35">
      <c r="A792" s="1">
        <v>791</v>
      </c>
      <c r="B792" s="1">
        <v>7</v>
      </c>
      <c r="C792" s="1" t="s">
        <v>872</v>
      </c>
    </row>
    <row r="793" spans="1:3" ht="15.75" customHeight="1" x14ac:dyDescent="0.35">
      <c r="A793" s="1">
        <v>792</v>
      </c>
      <c r="B793" s="1">
        <v>1</v>
      </c>
      <c r="C793" s="1" t="s">
        <v>873</v>
      </c>
    </row>
    <row r="794" spans="1:3" ht="15.75" customHeight="1" x14ac:dyDescent="0.35">
      <c r="A794" s="1">
        <v>793</v>
      </c>
      <c r="B794" s="1">
        <v>15</v>
      </c>
      <c r="C794" s="1" t="s">
        <v>874</v>
      </c>
    </row>
    <row r="795" spans="1:3" ht="15.75" customHeight="1" x14ac:dyDescent="0.35">
      <c r="A795" s="1">
        <v>794</v>
      </c>
      <c r="B795" s="1">
        <v>2</v>
      </c>
      <c r="C795" s="1" t="s">
        <v>875</v>
      </c>
    </row>
    <row r="796" spans="1:3" ht="15.75" customHeight="1" x14ac:dyDescent="0.35">
      <c r="A796" s="1">
        <v>795</v>
      </c>
      <c r="B796" s="1">
        <v>6</v>
      </c>
      <c r="C796" s="1" t="s">
        <v>876</v>
      </c>
    </row>
    <row r="797" spans="1:3" ht="15.75" customHeight="1" x14ac:dyDescent="0.35">
      <c r="A797" s="1">
        <v>796</v>
      </c>
      <c r="B797" s="1">
        <v>10</v>
      </c>
      <c r="C797" s="1" t="s">
        <v>877</v>
      </c>
    </row>
    <row r="798" spans="1:3" ht="15.75" customHeight="1" x14ac:dyDescent="0.35">
      <c r="A798" s="1">
        <v>797</v>
      </c>
      <c r="B798" s="1">
        <v>4</v>
      </c>
      <c r="C798" s="1" t="s">
        <v>878</v>
      </c>
    </row>
    <row r="799" spans="1:3" ht="15.75" customHeight="1" x14ac:dyDescent="0.35">
      <c r="A799" s="1">
        <v>798</v>
      </c>
      <c r="B799" s="1">
        <v>10</v>
      </c>
      <c r="C799" s="1" t="s">
        <v>879</v>
      </c>
    </row>
    <row r="800" spans="1:3" ht="15.75" customHeight="1" x14ac:dyDescent="0.35">
      <c r="A800" s="1">
        <v>799</v>
      </c>
      <c r="B800" s="1">
        <v>11</v>
      </c>
      <c r="C800" s="1" t="s">
        <v>880</v>
      </c>
    </row>
    <row r="801" spans="1:3" ht="15.75" customHeight="1" x14ac:dyDescent="0.35">
      <c r="A801" s="1">
        <v>800</v>
      </c>
      <c r="B801" s="1">
        <v>14</v>
      </c>
      <c r="C801" s="1" t="s">
        <v>881</v>
      </c>
    </row>
    <row r="802" spans="1:3" ht="15.75" customHeight="1" x14ac:dyDescent="0.35">
      <c r="A802" s="1">
        <v>801</v>
      </c>
      <c r="B802" s="1">
        <v>13</v>
      </c>
      <c r="C802" s="1" t="s">
        <v>882</v>
      </c>
    </row>
    <row r="803" spans="1:3" ht="15.75" customHeight="1" x14ac:dyDescent="0.35">
      <c r="A803" s="1">
        <v>802</v>
      </c>
      <c r="B803" s="1">
        <v>14</v>
      </c>
      <c r="C803" s="1" t="s">
        <v>883</v>
      </c>
    </row>
    <row r="804" spans="1:3" ht="15.75" customHeight="1" x14ac:dyDescent="0.35">
      <c r="A804" s="1">
        <v>803</v>
      </c>
      <c r="B804" s="1">
        <v>3</v>
      </c>
      <c r="C804" s="1" t="s">
        <v>884</v>
      </c>
    </row>
    <row r="805" spans="1:3" ht="15.75" customHeight="1" x14ac:dyDescent="0.35">
      <c r="A805" s="1">
        <v>804</v>
      </c>
      <c r="B805" s="1">
        <v>3</v>
      </c>
      <c r="C805" s="1" t="s">
        <v>885</v>
      </c>
    </row>
    <row r="806" spans="1:3" ht="15.75" customHeight="1" x14ac:dyDescent="0.35">
      <c r="A806" s="1">
        <v>805</v>
      </c>
      <c r="B806" s="1">
        <v>8</v>
      </c>
      <c r="C806" s="1" t="s">
        <v>886</v>
      </c>
    </row>
    <row r="807" spans="1:3" ht="15.75" customHeight="1" x14ac:dyDescent="0.35">
      <c r="A807" s="1">
        <v>806</v>
      </c>
      <c r="B807" s="1">
        <v>14</v>
      </c>
      <c r="C807" s="1" t="s">
        <v>887</v>
      </c>
    </row>
    <row r="808" spans="1:3" ht="15.75" customHeight="1" x14ac:dyDescent="0.35">
      <c r="A808" s="1">
        <v>807</v>
      </c>
      <c r="B808" s="1">
        <v>14</v>
      </c>
      <c r="C808" s="1" t="s">
        <v>888</v>
      </c>
    </row>
    <row r="809" spans="1:3" ht="15.75" customHeight="1" x14ac:dyDescent="0.35">
      <c r="A809" s="1">
        <v>808</v>
      </c>
      <c r="B809" s="1">
        <v>12</v>
      </c>
      <c r="C809" s="1" t="s">
        <v>889</v>
      </c>
    </row>
    <row r="810" spans="1:3" ht="15.75" customHeight="1" x14ac:dyDescent="0.35">
      <c r="A810" s="1">
        <v>809</v>
      </c>
      <c r="B810" s="1">
        <v>13</v>
      </c>
      <c r="C810" s="1" t="s">
        <v>890</v>
      </c>
    </row>
    <row r="811" spans="1:3" ht="15.75" customHeight="1" x14ac:dyDescent="0.35">
      <c r="A811" s="1">
        <v>810</v>
      </c>
      <c r="B811" s="1">
        <v>3</v>
      </c>
      <c r="C811" s="1" t="s">
        <v>891</v>
      </c>
    </row>
    <row r="812" spans="1:3" ht="15.75" customHeight="1" x14ac:dyDescent="0.35">
      <c r="A812" s="1">
        <v>811</v>
      </c>
      <c r="B812" s="1">
        <v>2</v>
      </c>
      <c r="C812" s="1" t="s">
        <v>892</v>
      </c>
    </row>
    <row r="813" spans="1:3" ht="15.75" customHeight="1" x14ac:dyDescent="0.35">
      <c r="A813" s="1">
        <v>812</v>
      </c>
      <c r="B813" s="1">
        <v>3</v>
      </c>
      <c r="C813" s="1" t="s">
        <v>893</v>
      </c>
    </row>
    <row r="814" spans="1:3" ht="15.75" customHeight="1" x14ac:dyDescent="0.35">
      <c r="A814" s="1">
        <v>813</v>
      </c>
      <c r="B814" s="1">
        <v>13</v>
      </c>
      <c r="C814" s="1" t="s">
        <v>894</v>
      </c>
    </row>
    <row r="815" spans="1:3" ht="15.75" customHeight="1" x14ac:dyDescent="0.35">
      <c r="A815" s="1">
        <v>814</v>
      </c>
      <c r="B815" s="1">
        <v>15</v>
      </c>
      <c r="C815" s="1" t="s">
        <v>895</v>
      </c>
    </row>
    <row r="816" spans="1:3" ht="15.75" customHeight="1" x14ac:dyDescent="0.35">
      <c r="A816" s="1">
        <v>815</v>
      </c>
      <c r="B816" s="1">
        <v>5</v>
      </c>
      <c r="C816" s="1" t="s">
        <v>896</v>
      </c>
    </row>
    <row r="817" spans="1:3" ht="15.75" customHeight="1" x14ac:dyDescent="0.35">
      <c r="A817" s="1">
        <v>816</v>
      </c>
      <c r="B817" s="1">
        <v>12</v>
      </c>
      <c r="C817" s="1" t="s">
        <v>897</v>
      </c>
    </row>
    <row r="818" spans="1:3" ht="15.75" customHeight="1" x14ac:dyDescent="0.35">
      <c r="A818" s="1">
        <v>817</v>
      </c>
      <c r="B818" s="1">
        <v>11</v>
      </c>
      <c r="C818" s="1" t="s">
        <v>898</v>
      </c>
    </row>
    <row r="819" spans="1:3" ht="15.75" customHeight="1" x14ac:dyDescent="0.35">
      <c r="A819" s="1">
        <v>818</v>
      </c>
      <c r="B819" s="1">
        <v>9</v>
      </c>
      <c r="C819" s="1" t="s">
        <v>899</v>
      </c>
    </row>
    <row r="820" spans="1:3" ht="15.75" customHeight="1" x14ac:dyDescent="0.35">
      <c r="A820" s="1">
        <v>819</v>
      </c>
      <c r="B820" s="1">
        <v>8</v>
      </c>
      <c r="C820" s="1" t="s">
        <v>900</v>
      </c>
    </row>
    <row r="821" spans="1:3" ht="15.75" customHeight="1" x14ac:dyDescent="0.35">
      <c r="A821" s="1">
        <v>820</v>
      </c>
      <c r="B821" s="1">
        <v>12</v>
      </c>
      <c r="C821" s="1" t="s">
        <v>901</v>
      </c>
    </row>
    <row r="822" spans="1:3" ht="15.75" customHeight="1" x14ac:dyDescent="0.35">
      <c r="A822" s="1">
        <v>821</v>
      </c>
      <c r="B822" s="1">
        <v>1</v>
      </c>
      <c r="C822" s="1" t="s">
        <v>902</v>
      </c>
    </row>
    <row r="823" spans="1:3" ht="15.75" customHeight="1" x14ac:dyDescent="0.35">
      <c r="A823" s="1">
        <v>822</v>
      </c>
      <c r="B823" s="1">
        <v>15</v>
      </c>
      <c r="C823" s="1" t="s">
        <v>903</v>
      </c>
    </row>
    <row r="824" spans="1:3" ht="15.75" customHeight="1" x14ac:dyDescent="0.35">
      <c r="A824" s="1">
        <v>823</v>
      </c>
      <c r="B824" s="1">
        <v>11</v>
      </c>
      <c r="C824" s="1" t="s">
        <v>904</v>
      </c>
    </row>
    <row r="825" spans="1:3" ht="15.75" customHeight="1" x14ac:dyDescent="0.35">
      <c r="A825" s="1">
        <v>824</v>
      </c>
      <c r="B825" s="1">
        <v>14</v>
      </c>
      <c r="C825" s="1" t="s">
        <v>905</v>
      </c>
    </row>
    <row r="826" spans="1:3" ht="15.75" customHeight="1" x14ac:dyDescent="0.35">
      <c r="A826" s="1">
        <v>825</v>
      </c>
      <c r="B826" s="1">
        <v>1</v>
      </c>
      <c r="C826" s="1" t="s">
        <v>906</v>
      </c>
    </row>
    <row r="827" spans="1:3" ht="15.75" customHeight="1" x14ac:dyDescent="0.35">
      <c r="A827" s="1">
        <v>826</v>
      </c>
      <c r="B827" s="1">
        <v>8</v>
      </c>
      <c r="C827" s="1" t="s">
        <v>907</v>
      </c>
    </row>
    <row r="828" spans="1:3" ht="15.75" customHeight="1" x14ac:dyDescent="0.35">
      <c r="A828" s="1">
        <v>827</v>
      </c>
      <c r="B828" s="1">
        <v>11</v>
      </c>
      <c r="C828" s="1" t="s">
        <v>908</v>
      </c>
    </row>
    <row r="829" spans="1:3" ht="15.75" customHeight="1" x14ac:dyDescent="0.35">
      <c r="A829" s="1">
        <v>828</v>
      </c>
      <c r="B829" s="1">
        <v>3</v>
      </c>
      <c r="C829" s="1" t="s">
        <v>909</v>
      </c>
    </row>
    <row r="830" spans="1:3" ht="15.75" customHeight="1" x14ac:dyDescent="0.35">
      <c r="A830" s="1">
        <v>829</v>
      </c>
      <c r="B830" s="1">
        <v>9</v>
      </c>
      <c r="C830" s="1" t="s">
        <v>910</v>
      </c>
    </row>
    <row r="831" spans="1:3" ht="15.75" customHeight="1" x14ac:dyDescent="0.35">
      <c r="A831" s="1">
        <v>830</v>
      </c>
      <c r="B831" s="1">
        <v>5</v>
      </c>
      <c r="C831" s="1" t="s">
        <v>911</v>
      </c>
    </row>
    <row r="832" spans="1:3" ht="15.75" customHeight="1" x14ac:dyDescent="0.35">
      <c r="A832" s="1">
        <v>831</v>
      </c>
      <c r="B832" s="1">
        <v>15</v>
      </c>
      <c r="C832" s="1" t="s">
        <v>912</v>
      </c>
    </row>
    <row r="833" spans="1:3" ht="15.75" customHeight="1" x14ac:dyDescent="0.35">
      <c r="A833" s="1">
        <v>832</v>
      </c>
      <c r="B833" s="1">
        <v>5</v>
      </c>
      <c r="C833" s="1" t="s">
        <v>913</v>
      </c>
    </row>
    <row r="834" spans="1:3" ht="15.75" customHeight="1" x14ac:dyDescent="0.35">
      <c r="A834" s="1">
        <v>833</v>
      </c>
      <c r="B834" s="1">
        <v>8</v>
      </c>
      <c r="C834" s="1" t="s">
        <v>914</v>
      </c>
    </row>
    <row r="835" spans="1:3" ht="15.75" customHeight="1" x14ac:dyDescent="0.35">
      <c r="A835" s="1">
        <v>834</v>
      </c>
      <c r="B835" s="1">
        <v>2</v>
      </c>
      <c r="C835" s="1" t="s">
        <v>915</v>
      </c>
    </row>
    <row r="836" spans="1:3" ht="15.75" customHeight="1" x14ac:dyDescent="0.35">
      <c r="A836" s="1">
        <v>835</v>
      </c>
      <c r="B836" s="1">
        <v>15</v>
      </c>
      <c r="C836" s="1" t="s">
        <v>916</v>
      </c>
    </row>
    <row r="837" spans="1:3" ht="15.75" customHeight="1" x14ac:dyDescent="0.35">
      <c r="A837" s="1">
        <v>836</v>
      </c>
      <c r="B837" s="1">
        <v>10</v>
      </c>
      <c r="C837" s="1" t="s">
        <v>917</v>
      </c>
    </row>
    <row r="838" spans="1:3" ht="15.75" customHeight="1" x14ac:dyDescent="0.35">
      <c r="A838" s="1">
        <v>837</v>
      </c>
      <c r="B838" s="1">
        <v>1</v>
      </c>
      <c r="C838" s="1" t="s">
        <v>918</v>
      </c>
    </row>
    <row r="839" spans="1:3" ht="15.75" customHeight="1" x14ac:dyDescent="0.35">
      <c r="A839" s="1">
        <v>838</v>
      </c>
      <c r="B839" s="1">
        <v>7</v>
      </c>
      <c r="C839" s="1" t="s">
        <v>919</v>
      </c>
    </row>
    <row r="840" spans="1:3" ht="15.75" customHeight="1" x14ac:dyDescent="0.35">
      <c r="A840" s="1">
        <v>839</v>
      </c>
      <c r="B840" s="1">
        <v>10</v>
      </c>
      <c r="C840" s="1" t="s">
        <v>920</v>
      </c>
    </row>
    <row r="841" spans="1:3" ht="15.75" customHeight="1" x14ac:dyDescent="0.35">
      <c r="A841" s="1">
        <v>840</v>
      </c>
      <c r="B841" s="1">
        <v>9</v>
      </c>
      <c r="C841" s="1" t="s">
        <v>921</v>
      </c>
    </row>
    <row r="842" spans="1:3" ht="15.75" customHeight="1" x14ac:dyDescent="0.35">
      <c r="A842" s="1">
        <v>841</v>
      </c>
      <c r="B842" s="1">
        <v>10</v>
      </c>
      <c r="C842" s="1" t="s">
        <v>922</v>
      </c>
    </row>
    <row r="843" spans="1:3" ht="15.75" customHeight="1" x14ac:dyDescent="0.35">
      <c r="A843" s="1">
        <v>842</v>
      </c>
      <c r="B843" s="1">
        <v>8</v>
      </c>
      <c r="C843" s="1" t="s">
        <v>923</v>
      </c>
    </row>
    <row r="844" spans="1:3" ht="15.75" customHeight="1" x14ac:dyDescent="0.35">
      <c r="A844" s="1">
        <v>843</v>
      </c>
      <c r="B844" s="1">
        <v>10</v>
      </c>
      <c r="C844" s="1" t="s">
        <v>924</v>
      </c>
    </row>
    <row r="845" spans="1:3" ht="15.75" customHeight="1" x14ac:dyDescent="0.35">
      <c r="A845" s="1">
        <v>844</v>
      </c>
      <c r="B845" s="1">
        <v>9</v>
      </c>
      <c r="C845" s="1" t="s">
        <v>925</v>
      </c>
    </row>
    <row r="846" spans="1:3" ht="15.75" customHeight="1" x14ac:dyDescent="0.35">
      <c r="A846" s="1">
        <v>845</v>
      </c>
      <c r="B846" s="1">
        <v>15</v>
      </c>
      <c r="C846" s="1" t="s">
        <v>926</v>
      </c>
    </row>
    <row r="847" spans="1:3" ht="15.75" customHeight="1" x14ac:dyDescent="0.35">
      <c r="A847" s="1">
        <v>846</v>
      </c>
      <c r="B847" s="1">
        <v>10</v>
      </c>
      <c r="C847" s="1" t="s">
        <v>927</v>
      </c>
    </row>
    <row r="848" spans="1:3" ht="15.75" customHeight="1" x14ac:dyDescent="0.35">
      <c r="A848" s="1">
        <v>847</v>
      </c>
      <c r="B848" s="1">
        <v>11</v>
      </c>
      <c r="C848" s="1" t="s">
        <v>928</v>
      </c>
    </row>
    <row r="849" spans="1:3" ht="15.75" customHeight="1" x14ac:dyDescent="0.35">
      <c r="A849" s="1">
        <v>848</v>
      </c>
      <c r="B849" s="1">
        <v>12</v>
      </c>
      <c r="C849" s="1" t="s">
        <v>929</v>
      </c>
    </row>
    <row r="850" spans="1:3" ht="15.75" customHeight="1" x14ac:dyDescent="0.35">
      <c r="A850" s="1">
        <v>849</v>
      </c>
      <c r="B850" s="1">
        <v>7</v>
      </c>
      <c r="C850" s="1" t="s">
        <v>930</v>
      </c>
    </row>
    <row r="851" spans="1:3" ht="15.75" customHeight="1" x14ac:dyDescent="0.35">
      <c r="A851" s="1">
        <v>850</v>
      </c>
      <c r="B851" s="1">
        <v>14</v>
      </c>
      <c r="C851" s="1" t="s">
        <v>931</v>
      </c>
    </row>
    <row r="852" spans="1:3" ht="15.75" customHeight="1" x14ac:dyDescent="0.35">
      <c r="A852" s="1">
        <v>851</v>
      </c>
      <c r="B852" s="1">
        <v>4</v>
      </c>
      <c r="C852" s="1" t="s">
        <v>932</v>
      </c>
    </row>
    <row r="853" spans="1:3" ht="15.75" customHeight="1" x14ac:dyDescent="0.35">
      <c r="A853" s="1">
        <v>852</v>
      </c>
      <c r="B853" s="1">
        <v>8</v>
      </c>
      <c r="C853" s="1" t="s">
        <v>933</v>
      </c>
    </row>
    <row r="854" spans="1:3" ht="15.75" customHeight="1" x14ac:dyDescent="0.35">
      <c r="A854" s="1">
        <v>853</v>
      </c>
      <c r="B854" s="1">
        <v>2</v>
      </c>
      <c r="C854" s="1" t="s">
        <v>934</v>
      </c>
    </row>
    <row r="855" spans="1:3" ht="15.75" customHeight="1" x14ac:dyDescent="0.35">
      <c r="A855" s="1">
        <v>854</v>
      </c>
      <c r="B855" s="1">
        <v>5</v>
      </c>
      <c r="C855" s="1" t="s">
        <v>935</v>
      </c>
    </row>
    <row r="856" spans="1:3" ht="15.75" customHeight="1" x14ac:dyDescent="0.35">
      <c r="A856" s="1">
        <v>855</v>
      </c>
      <c r="B856" s="1">
        <v>8</v>
      </c>
      <c r="C856" s="1" t="s">
        <v>936</v>
      </c>
    </row>
    <row r="857" spans="1:3" ht="15.75" customHeight="1" x14ac:dyDescent="0.35">
      <c r="A857" s="1">
        <v>856</v>
      </c>
      <c r="B857" s="1">
        <v>15</v>
      </c>
      <c r="C857" s="1" t="s">
        <v>937</v>
      </c>
    </row>
    <row r="858" spans="1:3" ht="15.75" customHeight="1" x14ac:dyDescent="0.35">
      <c r="A858" s="1">
        <v>857</v>
      </c>
      <c r="B858" s="1">
        <v>12</v>
      </c>
      <c r="C858" s="1" t="s">
        <v>938</v>
      </c>
    </row>
    <row r="859" spans="1:3" ht="15.75" customHeight="1" x14ac:dyDescent="0.35">
      <c r="A859" s="1">
        <v>858</v>
      </c>
      <c r="B859" s="1">
        <v>1</v>
      </c>
      <c r="C859" s="1" t="s">
        <v>939</v>
      </c>
    </row>
    <row r="860" spans="1:3" ht="15.75" customHeight="1" x14ac:dyDescent="0.35">
      <c r="A860" s="1">
        <v>859</v>
      </c>
      <c r="B860" s="1">
        <v>15</v>
      </c>
      <c r="C860" s="1" t="s">
        <v>940</v>
      </c>
    </row>
    <row r="861" spans="1:3" ht="15.75" customHeight="1" x14ac:dyDescent="0.35">
      <c r="A861" s="1">
        <v>860</v>
      </c>
      <c r="B861" s="1">
        <v>7</v>
      </c>
      <c r="C861" s="1" t="s">
        <v>941</v>
      </c>
    </row>
    <row r="862" spans="1:3" ht="15.75" customHeight="1" x14ac:dyDescent="0.35">
      <c r="A862" s="1">
        <v>861</v>
      </c>
      <c r="B862" s="1">
        <v>14</v>
      </c>
      <c r="C862" s="1" t="s">
        <v>942</v>
      </c>
    </row>
    <row r="863" spans="1:3" ht="15.75" customHeight="1" x14ac:dyDescent="0.35">
      <c r="A863" s="1">
        <v>862</v>
      </c>
      <c r="B863" s="1">
        <v>2</v>
      </c>
      <c r="C863" s="1" t="s">
        <v>943</v>
      </c>
    </row>
    <row r="864" spans="1:3" ht="15.75" customHeight="1" x14ac:dyDescent="0.35">
      <c r="A864" s="1">
        <v>863</v>
      </c>
      <c r="B864" s="1">
        <v>10</v>
      </c>
      <c r="C864" s="1" t="s">
        <v>944</v>
      </c>
    </row>
    <row r="865" spans="1:3" ht="15.75" customHeight="1" x14ac:dyDescent="0.35">
      <c r="A865" s="1">
        <v>864</v>
      </c>
      <c r="B865" s="1">
        <v>2</v>
      </c>
      <c r="C865" s="1" t="s">
        <v>945</v>
      </c>
    </row>
    <row r="866" spans="1:3" ht="15.75" customHeight="1" x14ac:dyDescent="0.35">
      <c r="A866" s="1">
        <v>865</v>
      </c>
      <c r="B866" s="1">
        <v>8</v>
      </c>
      <c r="C866" s="1" t="s">
        <v>946</v>
      </c>
    </row>
    <row r="867" spans="1:3" ht="15.75" customHeight="1" x14ac:dyDescent="0.35">
      <c r="A867" s="1">
        <v>866</v>
      </c>
      <c r="B867" s="1">
        <v>13</v>
      </c>
      <c r="C867" s="1" t="s">
        <v>947</v>
      </c>
    </row>
    <row r="868" spans="1:3" ht="15.75" customHeight="1" x14ac:dyDescent="0.35">
      <c r="A868" s="1">
        <v>867</v>
      </c>
      <c r="B868" s="1">
        <v>6</v>
      </c>
      <c r="C868" s="1" t="s">
        <v>948</v>
      </c>
    </row>
    <row r="869" spans="1:3" ht="15.75" customHeight="1" x14ac:dyDescent="0.35">
      <c r="A869" s="1">
        <v>868</v>
      </c>
      <c r="B869" s="1">
        <v>5</v>
      </c>
      <c r="C869" s="1" t="s">
        <v>949</v>
      </c>
    </row>
    <row r="870" spans="1:3" ht="15.75" customHeight="1" x14ac:dyDescent="0.35">
      <c r="A870" s="1">
        <v>869</v>
      </c>
      <c r="B870" s="1">
        <v>11</v>
      </c>
      <c r="C870" s="1" t="s">
        <v>950</v>
      </c>
    </row>
    <row r="871" spans="1:3" ht="15.75" customHeight="1" x14ac:dyDescent="0.35">
      <c r="A871" s="1">
        <v>870</v>
      </c>
      <c r="B871" s="1">
        <v>5</v>
      </c>
      <c r="C871" s="1" t="s">
        <v>951</v>
      </c>
    </row>
    <row r="872" spans="1:3" ht="15.75" customHeight="1" x14ac:dyDescent="0.35">
      <c r="A872" s="1">
        <v>871</v>
      </c>
      <c r="B872" s="1">
        <v>10</v>
      </c>
      <c r="C872" s="1" t="s">
        <v>952</v>
      </c>
    </row>
    <row r="873" spans="1:3" ht="15.75" customHeight="1" x14ac:dyDescent="0.35">
      <c r="A873" s="1">
        <v>872</v>
      </c>
      <c r="B873" s="1">
        <v>4</v>
      </c>
      <c r="C873" s="1" t="s">
        <v>953</v>
      </c>
    </row>
    <row r="874" spans="1:3" ht="15.75" customHeight="1" x14ac:dyDescent="0.35">
      <c r="A874" s="1">
        <v>873</v>
      </c>
      <c r="B874" s="1">
        <v>3</v>
      </c>
      <c r="C874" s="1" t="s">
        <v>954</v>
      </c>
    </row>
    <row r="875" spans="1:3" ht="15.75" customHeight="1" x14ac:dyDescent="0.35">
      <c r="A875" s="1">
        <v>874</v>
      </c>
      <c r="B875" s="1">
        <v>2</v>
      </c>
      <c r="C875" s="1" t="s">
        <v>955</v>
      </c>
    </row>
    <row r="876" spans="1:3" ht="15.75" customHeight="1" x14ac:dyDescent="0.35">
      <c r="A876" s="1">
        <v>875</v>
      </c>
      <c r="B876" s="1">
        <v>11</v>
      </c>
      <c r="C876" s="1" t="s">
        <v>956</v>
      </c>
    </row>
    <row r="877" spans="1:3" ht="15.75" customHeight="1" x14ac:dyDescent="0.35">
      <c r="A877" s="1">
        <v>876</v>
      </c>
      <c r="B877" s="1">
        <v>15</v>
      </c>
      <c r="C877" s="1" t="s">
        <v>957</v>
      </c>
    </row>
    <row r="878" spans="1:3" ht="15.75" customHeight="1" x14ac:dyDescent="0.35">
      <c r="A878" s="1">
        <v>877</v>
      </c>
      <c r="B878" s="1">
        <v>12</v>
      </c>
      <c r="C878" s="1" t="s">
        <v>957</v>
      </c>
    </row>
    <row r="879" spans="1:3" ht="15.75" customHeight="1" x14ac:dyDescent="0.35">
      <c r="A879" s="1">
        <v>878</v>
      </c>
      <c r="B879" s="1">
        <v>2</v>
      </c>
      <c r="C879" s="1" t="s">
        <v>958</v>
      </c>
    </row>
    <row r="880" spans="1:3" ht="15.75" customHeight="1" x14ac:dyDescent="0.35">
      <c r="A880" s="1">
        <v>879</v>
      </c>
      <c r="B880" s="1">
        <v>12</v>
      </c>
      <c r="C880" s="1" t="s">
        <v>959</v>
      </c>
    </row>
    <row r="881" spans="1:3" ht="15.75" customHeight="1" x14ac:dyDescent="0.35">
      <c r="A881" s="1">
        <v>880</v>
      </c>
      <c r="B881" s="1">
        <v>11</v>
      </c>
      <c r="C881" s="1" t="s">
        <v>960</v>
      </c>
    </row>
    <row r="882" spans="1:3" ht="15.75" customHeight="1" x14ac:dyDescent="0.35">
      <c r="A882" s="1">
        <v>881</v>
      </c>
      <c r="B882" s="1">
        <v>13</v>
      </c>
      <c r="C882" s="1" t="s">
        <v>961</v>
      </c>
    </row>
    <row r="883" spans="1:3" ht="15.75" customHeight="1" x14ac:dyDescent="0.35">
      <c r="A883" s="1">
        <v>882</v>
      </c>
      <c r="B883" s="1">
        <v>14</v>
      </c>
      <c r="C883" s="1" t="s">
        <v>962</v>
      </c>
    </row>
    <row r="884" spans="1:3" ht="15.75" customHeight="1" x14ac:dyDescent="0.35">
      <c r="A884" s="1">
        <v>883</v>
      </c>
      <c r="B884" s="1">
        <v>2</v>
      </c>
      <c r="C884" s="1" t="s">
        <v>963</v>
      </c>
    </row>
    <row r="885" spans="1:3" ht="15.75" customHeight="1" x14ac:dyDescent="0.35">
      <c r="A885" s="1">
        <v>884</v>
      </c>
      <c r="B885" s="1">
        <v>7</v>
      </c>
      <c r="C885" s="1" t="s">
        <v>964</v>
      </c>
    </row>
    <row r="886" spans="1:3" ht="15.75" customHeight="1" x14ac:dyDescent="0.35">
      <c r="A886" s="1">
        <v>885</v>
      </c>
      <c r="B886" s="1">
        <v>10</v>
      </c>
      <c r="C886" s="1" t="s">
        <v>965</v>
      </c>
    </row>
    <row r="887" spans="1:3" ht="15.75" customHeight="1" x14ac:dyDescent="0.35">
      <c r="A887" s="1">
        <v>886</v>
      </c>
      <c r="B887" s="1">
        <v>8</v>
      </c>
      <c r="C887" s="1" t="s">
        <v>966</v>
      </c>
    </row>
    <row r="888" spans="1:3" ht="15.75" customHeight="1" x14ac:dyDescent="0.35">
      <c r="A888" s="1">
        <v>887</v>
      </c>
      <c r="B888" s="1">
        <v>1</v>
      </c>
      <c r="C888" s="1" t="s">
        <v>967</v>
      </c>
    </row>
    <row r="889" spans="1:3" ht="15.75" customHeight="1" x14ac:dyDescent="0.35">
      <c r="A889" s="1">
        <v>888</v>
      </c>
      <c r="B889" s="1">
        <v>1</v>
      </c>
      <c r="C889" s="1" t="s">
        <v>968</v>
      </c>
    </row>
    <row r="890" spans="1:3" ht="15.75" customHeight="1" x14ac:dyDescent="0.35">
      <c r="A890" s="1">
        <v>889</v>
      </c>
      <c r="B890" s="1">
        <v>1</v>
      </c>
      <c r="C890" s="1" t="s">
        <v>969</v>
      </c>
    </row>
    <row r="891" spans="1:3" ht="15.75" customHeight="1" x14ac:dyDescent="0.35">
      <c r="A891" s="1">
        <v>890</v>
      </c>
      <c r="B891" s="1">
        <v>2</v>
      </c>
      <c r="C891" s="1" t="s">
        <v>970</v>
      </c>
    </row>
    <row r="892" spans="1:3" ht="15.75" customHeight="1" x14ac:dyDescent="0.35">
      <c r="A892" s="1">
        <v>891</v>
      </c>
      <c r="B892" s="1">
        <v>15</v>
      </c>
      <c r="C892" s="1" t="s">
        <v>971</v>
      </c>
    </row>
    <row r="893" spans="1:3" ht="15.75" customHeight="1" x14ac:dyDescent="0.35">
      <c r="A893" s="1">
        <v>892</v>
      </c>
      <c r="B893" s="1">
        <v>1</v>
      </c>
      <c r="C893" s="1" t="s">
        <v>972</v>
      </c>
    </row>
    <row r="894" spans="1:3" ht="15.75" customHeight="1" x14ac:dyDescent="0.35">
      <c r="A894" s="1">
        <v>893</v>
      </c>
      <c r="B894" s="1">
        <v>4</v>
      </c>
      <c r="C894" s="1" t="s">
        <v>973</v>
      </c>
    </row>
    <row r="895" spans="1:3" ht="15.75" customHeight="1" x14ac:dyDescent="0.35">
      <c r="A895" s="1">
        <v>894</v>
      </c>
      <c r="B895" s="1">
        <v>4</v>
      </c>
      <c r="C895" s="1" t="s">
        <v>974</v>
      </c>
    </row>
    <row r="896" spans="1:3" ht="15.75" customHeight="1" x14ac:dyDescent="0.35">
      <c r="A896" s="1">
        <v>895</v>
      </c>
      <c r="B896" s="1">
        <v>11</v>
      </c>
      <c r="C896" s="1" t="s">
        <v>975</v>
      </c>
    </row>
    <row r="897" spans="1:3" ht="15.75" customHeight="1" x14ac:dyDescent="0.35">
      <c r="A897" s="1">
        <v>896</v>
      </c>
      <c r="B897" s="1">
        <v>7</v>
      </c>
      <c r="C897" s="1" t="s">
        <v>976</v>
      </c>
    </row>
    <row r="898" spans="1:3" ht="15.75" customHeight="1" x14ac:dyDescent="0.35">
      <c r="A898" s="1">
        <v>897</v>
      </c>
      <c r="B898" s="1">
        <v>4</v>
      </c>
      <c r="C898" s="1" t="s">
        <v>977</v>
      </c>
    </row>
    <row r="899" spans="1:3" ht="15.75" customHeight="1" x14ac:dyDescent="0.35">
      <c r="A899" s="1">
        <v>898</v>
      </c>
      <c r="B899" s="1">
        <v>11</v>
      </c>
      <c r="C899" s="1" t="s">
        <v>978</v>
      </c>
    </row>
    <row r="900" spans="1:3" ht="15.75" customHeight="1" x14ac:dyDescent="0.35">
      <c r="A900" s="1">
        <v>899</v>
      </c>
      <c r="B900" s="1">
        <v>6</v>
      </c>
      <c r="C900" s="1" t="s">
        <v>979</v>
      </c>
    </row>
    <row r="901" spans="1:3" ht="15.75" customHeight="1" x14ac:dyDescent="0.35">
      <c r="A901" s="1">
        <v>900</v>
      </c>
      <c r="B901" s="1">
        <v>3</v>
      </c>
      <c r="C901" s="1" t="s">
        <v>980</v>
      </c>
    </row>
    <row r="902" spans="1:3" ht="15.75" customHeight="1" x14ac:dyDescent="0.35">
      <c r="A902" s="1">
        <v>901</v>
      </c>
      <c r="B902" s="1">
        <v>7</v>
      </c>
      <c r="C902" s="1" t="s">
        <v>981</v>
      </c>
    </row>
    <row r="903" spans="1:3" ht="15.75" customHeight="1" x14ac:dyDescent="0.35">
      <c r="A903" s="1">
        <v>902</v>
      </c>
      <c r="B903" s="1">
        <v>7</v>
      </c>
      <c r="C903" s="1" t="s">
        <v>982</v>
      </c>
    </row>
    <row r="904" spans="1:3" ht="15.75" customHeight="1" x14ac:dyDescent="0.35">
      <c r="A904" s="1">
        <v>903</v>
      </c>
      <c r="B904" s="1">
        <v>6</v>
      </c>
      <c r="C904" s="1" t="s">
        <v>983</v>
      </c>
    </row>
    <row r="905" spans="1:3" ht="15.75" customHeight="1" x14ac:dyDescent="0.35">
      <c r="A905" s="1">
        <v>904</v>
      </c>
      <c r="B905" s="1">
        <v>3</v>
      </c>
      <c r="C905" s="1" t="s">
        <v>984</v>
      </c>
    </row>
    <row r="906" spans="1:3" ht="15.75" customHeight="1" x14ac:dyDescent="0.35">
      <c r="A906" s="1">
        <v>905</v>
      </c>
      <c r="B906" s="1">
        <v>15</v>
      </c>
      <c r="C906" s="1" t="s">
        <v>985</v>
      </c>
    </row>
    <row r="907" spans="1:3" ht="15.75" customHeight="1" x14ac:dyDescent="0.35">
      <c r="A907" s="1">
        <v>906</v>
      </c>
      <c r="B907" s="1">
        <v>15</v>
      </c>
      <c r="C907" s="1" t="s">
        <v>986</v>
      </c>
    </row>
    <row r="908" spans="1:3" ht="15.75" customHeight="1" x14ac:dyDescent="0.35">
      <c r="A908" s="1">
        <v>907</v>
      </c>
      <c r="B908" s="1">
        <v>1</v>
      </c>
      <c r="C908" s="1" t="s">
        <v>987</v>
      </c>
    </row>
    <row r="909" spans="1:3" ht="15.75" customHeight="1" x14ac:dyDescent="0.35">
      <c r="A909" s="1">
        <v>908</v>
      </c>
      <c r="B909" s="1">
        <v>12</v>
      </c>
      <c r="C909" s="1" t="s">
        <v>988</v>
      </c>
    </row>
    <row r="910" spans="1:3" ht="15.75" customHeight="1" x14ac:dyDescent="0.35">
      <c r="A910" s="1">
        <v>909</v>
      </c>
      <c r="B910" s="1">
        <v>12</v>
      </c>
      <c r="C910" s="1" t="s">
        <v>989</v>
      </c>
    </row>
    <row r="911" spans="1:3" ht="15.75" customHeight="1" x14ac:dyDescent="0.35">
      <c r="A911" s="1">
        <v>910</v>
      </c>
      <c r="B911" s="1">
        <v>5</v>
      </c>
      <c r="C911" s="1" t="s">
        <v>990</v>
      </c>
    </row>
    <row r="912" spans="1:3" ht="15.75" customHeight="1" x14ac:dyDescent="0.35">
      <c r="A912" s="1">
        <v>911</v>
      </c>
      <c r="B912" s="1">
        <v>3</v>
      </c>
      <c r="C912" s="1" t="s">
        <v>991</v>
      </c>
    </row>
    <row r="913" spans="1:3" ht="15.75" customHeight="1" x14ac:dyDescent="0.35">
      <c r="A913" s="1">
        <v>912</v>
      </c>
      <c r="B913" s="1">
        <v>11</v>
      </c>
      <c r="C913" s="1" t="s">
        <v>992</v>
      </c>
    </row>
    <row r="914" spans="1:3" ht="15.75" customHeight="1" x14ac:dyDescent="0.35">
      <c r="A914" s="1">
        <v>913</v>
      </c>
      <c r="B914" s="1">
        <v>11</v>
      </c>
      <c r="C914" s="1" t="s">
        <v>993</v>
      </c>
    </row>
    <row r="915" spans="1:3" ht="15.75" customHeight="1" x14ac:dyDescent="0.35">
      <c r="A915" s="1">
        <v>914</v>
      </c>
      <c r="B915" s="1">
        <v>10</v>
      </c>
      <c r="C915" s="1" t="s">
        <v>994</v>
      </c>
    </row>
    <row r="916" spans="1:3" ht="15.75" customHeight="1" x14ac:dyDescent="0.35">
      <c r="A916" s="1">
        <v>915</v>
      </c>
      <c r="B916" s="1">
        <v>2</v>
      </c>
      <c r="C916" s="1" t="s">
        <v>995</v>
      </c>
    </row>
    <row r="917" spans="1:3" ht="15.75" customHeight="1" x14ac:dyDescent="0.35">
      <c r="A917" s="1">
        <v>916</v>
      </c>
      <c r="B917" s="1">
        <v>11</v>
      </c>
      <c r="C917" s="1" t="s">
        <v>996</v>
      </c>
    </row>
    <row r="918" spans="1:3" ht="15.75" customHeight="1" x14ac:dyDescent="0.35">
      <c r="A918" s="1">
        <v>917</v>
      </c>
      <c r="B918" s="1">
        <v>4</v>
      </c>
      <c r="C918" s="1" t="s">
        <v>997</v>
      </c>
    </row>
    <row r="919" spans="1:3" ht="15.75" customHeight="1" x14ac:dyDescent="0.35">
      <c r="A919" s="1">
        <v>918</v>
      </c>
      <c r="B919" s="1">
        <v>10</v>
      </c>
      <c r="C919" s="1" t="s">
        <v>998</v>
      </c>
    </row>
    <row r="920" spans="1:3" ht="15.75" customHeight="1" x14ac:dyDescent="0.35">
      <c r="A920" s="1">
        <v>919</v>
      </c>
      <c r="B920" s="1">
        <v>5</v>
      </c>
      <c r="C920" s="1" t="s">
        <v>999</v>
      </c>
    </row>
    <row r="921" spans="1:3" ht="15.75" customHeight="1" x14ac:dyDescent="0.35">
      <c r="A921" s="1">
        <v>920</v>
      </c>
      <c r="B921" s="1">
        <v>15</v>
      </c>
      <c r="C921" s="1" t="s">
        <v>1000</v>
      </c>
    </row>
    <row r="922" spans="1:3" ht="15.75" customHeight="1" x14ac:dyDescent="0.35">
      <c r="A922" s="1">
        <v>921</v>
      </c>
      <c r="B922" s="1">
        <v>14</v>
      </c>
      <c r="C922" s="1" t="s">
        <v>1001</v>
      </c>
    </row>
    <row r="923" spans="1:3" ht="15.75" customHeight="1" x14ac:dyDescent="0.35">
      <c r="A923" s="1">
        <v>922</v>
      </c>
      <c r="B923" s="1">
        <v>9</v>
      </c>
      <c r="C923" s="1" t="s">
        <v>1002</v>
      </c>
    </row>
    <row r="924" spans="1:3" ht="15.75" customHeight="1" x14ac:dyDescent="0.35">
      <c r="A924" s="1">
        <v>923</v>
      </c>
      <c r="B924" s="1">
        <v>1</v>
      </c>
      <c r="C924" s="1" t="s">
        <v>1003</v>
      </c>
    </row>
    <row r="925" spans="1:3" ht="15.75" customHeight="1" x14ac:dyDescent="0.35">
      <c r="A925" s="1">
        <v>924</v>
      </c>
      <c r="B925" s="1">
        <v>10</v>
      </c>
      <c r="C925" s="1" t="s">
        <v>1004</v>
      </c>
    </row>
    <row r="926" spans="1:3" ht="15.75" customHeight="1" x14ac:dyDescent="0.35">
      <c r="A926" s="1">
        <v>925</v>
      </c>
      <c r="B926" s="1">
        <v>10</v>
      </c>
      <c r="C926" s="1" t="s">
        <v>1005</v>
      </c>
    </row>
    <row r="927" spans="1:3" ht="15.75" customHeight="1" x14ac:dyDescent="0.35">
      <c r="A927" s="1">
        <v>926</v>
      </c>
      <c r="B927" s="1">
        <v>13</v>
      </c>
      <c r="C927" s="1" t="s">
        <v>1006</v>
      </c>
    </row>
    <row r="928" spans="1:3" ht="15.75" customHeight="1" x14ac:dyDescent="0.35">
      <c r="A928" s="1">
        <v>927</v>
      </c>
      <c r="B928" s="1">
        <v>14</v>
      </c>
      <c r="C928" s="1" t="s">
        <v>1007</v>
      </c>
    </row>
    <row r="929" spans="1:3" ht="15.75" customHeight="1" x14ac:dyDescent="0.35">
      <c r="A929" s="1">
        <v>928</v>
      </c>
      <c r="B929" s="1">
        <v>4</v>
      </c>
      <c r="C929" s="1" t="s">
        <v>1008</v>
      </c>
    </row>
    <row r="930" spans="1:3" ht="15.75" customHeight="1" x14ac:dyDescent="0.35">
      <c r="A930" s="1">
        <v>929</v>
      </c>
      <c r="B930" s="1">
        <v>6</v>
      </c>
      <c r="C930" s="1" t="s">
        <v>1009</v>
      </c>
    </row>
    <row r="931" spans="1:3" ht="15.75" customHeight="1" x14ac:dyDescent="0.35">
      <c r="A931" s="1">
        <v>930</v>
      </c>
      <c r="B931" s="1">
        <v>3</v>
      </c>
      <c r="C931" s="1" t="s">
        <v>1010</v>
      </c>
    </row>
    <row r="932" spans="1:3" ht="15.75" customHeight="1" x14ac:dyDescent="0.35">
      <c r="A932" s="1">
        <v>931</v>
      </c>
      <c r="B932" s="1">
        <v>8</v>
      </c>
      <c r="C932" s="1" t="s">
        <v>1011</v>
      </c>
    </row>
    <row r="933" spans="1:3" ht="15.75" customHeight="1" x14ac:dyDescent="0.35">
      <c r="A933" s="1">
        <v>932</v>
      </c>
      <c r="B933" s="1">
        <v>10</v>
      </c>
      <c r="C933" s="1" t="s">
        <v>1012</v>
      </c>
    </row>
    <row r="934" spans="1:3" ht="15.75" customHeight="1" x14ac:dyDescent="0.35">
      <c r="A934" s="1">
        <v>933</v>
      </c>
      <c r="B934" s="1">
        <v>6</v>
      </c>
      <c r="C934" s="1" t="s">
        <v>1013</v>
      </c>
    </row>
    <row r="935" spans="1:3" ht="15.75" customHeight="1" x14ac:dyDescent="0.35">
      <c r="A935" s="1">
        <v>934</v>
      </c>
      <c r="B935" s="1">
        <v>4</v>
      </c>
      <c r="C935" s="1" t="s">
        <v>1014</v>
      </c>
    </row>
    <row r="936" spans="1:3" ht="15.75" customHeight="1" x14ac:dyDescent="0.35">
      <c r="A936" s="1">
        <v>935</v>
      </c>
      <c r="B936" s="1">
        <v>13</v>
      </c>
      <c r="C936" s="1" t="s">
        <v>1015</v>
      </c>
    </row>
    <row r="937" spans="1:3" ht="15.75" customHeight="1" x14ac:dyDescent="0.35">
      <c r="A937" s="1">
        <v>936</v>
      </c>
      <c r="B937" s="1">
        <v>9</v>
      </c>
      <c r="C937" s="1" t="s">
        <v>1016</v>
      </c>
    </row>
    <row r="938" spans="1:3" ht="15.75" customHeight="1" x14ac:dyDescent="0.35">
      <c r="A938" s="1">
        <v>937</v>
      </c>
      <c r="B938" s="1">
        <v>7</v>
      </c>
      <c r="C938" s="1" t="s">
        <v>1017</v>
      </c>
    </row>
    <row r="939" spans="1:3" ht="15.75" customHeight="1" x14ac:dyDescent="0.35">
      <c r="A939" s="1">
        <v>938</v>
      </c>
      <c r="B939" s="1">
        <v>12</v>
      </c>
      <c r="C939" s="1" t="s">
        <v>1018</v>
      </c>
    </row>
    <row r="940" spans="1:3" ht="15.75" customHeight="1" x14ac:dyDescent="0.35">
      <c r="A940" s="1">
        <v>939</v>
      </c>
      <c r="B940" s="1">
        <v>5</v>
      </c>
      <c r="C940" s="1" t="s">
        <v>1019</v>
      </c>
    </row>
    <row r="941" spans="1:3" ht="15.75" customHeight="1" x14ac:dyDescent="0.35">
      <c r="A941" s="1">
        <v>940</v>
      </c>
      <c r="B941" s="1">
        <v>11</v>
      </c>
      <c r="C941" s="1" t="s">
        <v>1020</v>
      </c>
    </row>
    <row r="942" spans="1:3" ht="15.75" customHeight="1" x14ac:dyDescent="0.35">
      <c r="A942" s="1">
        <v>941</v>
      </c>
      <c r="B942" s="1">
        <v>2</v>
      </c>
      <c r="C942" s="1" t="s">
        <v>1021</v>
      </c>
    </row>
    <row r="943" spans="1:3" ht="15.75" customHeight="1" x14ac:dyDescent="0.35">
      <c r="A943" s="1">
        <v>942</v>
      </c>
      <c r="B943" s="1">
        <v>12</v>
      </c>
      <c r="C943" s="1" t="s">
        <v>1022</v>
      </c>
    </row>
    <row r="944" spans="1:3" ht="15.75" customHeight="1" x14ac:dyDescent="0.35">
      <c r="A944" s="1">
        <v>943</v>
      </c>
      <c r="B944" s="1">
        <v>5</v>
      </c>
      <c r="C944" s="1" t="s">
        <v>1023</v>
      </c>
    </row>
    <row r="945" spans="1:3" ht="15.75" customHeight="1" x14ac:dyDescent="0.35">
      <c r="A945" s="1">
        <v>944</v>
      </c>
      <c r="B945" s="1">
        <v>3</v>
      </c>
      <c r="C945" s="1" t="s">
        <v>1024</v>
      </c>
    </row>
    <row r="946" spans="1:3" ht="15.75" customHeight="1" x14ac:dyDescent="0.35">
      <c r="A946" s="1">
        <v>945</v>
      </c>
      <c r="B946" s="1">
        <v>5</v>
      </c>
      <c r="C946" s="1" t="s">
        <v>1025</v>
      </c>
    </row>
    <row r="947" spans="1:3" ht="15.75" customHeight="1" x14ac:dyDescent="0.35">
      <c r="A947" s="1">
        <v>946</v>
      </c>
      <c r="B947" s="1">
        <v>15</v>
      </c>
      <c r="C947" s="1" t="s">
        <v>1026</v>
      </c>
    </row>
    <row r="948" spans="1:3" ht="15.75" customHeight="1" x14ac:dyDescent="0.35">
      <c r="A948" s="1">
        <v>947</v>
      </c>
      <c r="B948" s="1">
        <v>10</v>
      </c>
      <c r="C948" s="1" t="s">
        <v>1027</v>
      </c>
    </row>
    <row r="949" spans="1:3" ht="15.75" customHeight="1" x14ac:dyDescent="0.35">
      <c r="A949" s="1">
        <v>948</v>
      </c>
      <c r="B949" s="1">
        <v>1</v>
      </c>
      <c r="C949" s="1" t="s">
        <v>1028</v>
      </c>
    </row>
    <row r="950" spans="1:3" ht="15.75" customHeight="1" x14ac:dyDescent="0.35">
      <c r="A950" s="1">
        <v>949</v>
      </c>
      <c r="B950" s="1">
        <v>7</v>
      </c>
      <c r="C950" s="1" t="s">
        <v>1029</v>
      </c>
    </row>
    <row r="951" spans="1:3" ht="15.75" customHeight="1" x14ac:dyDescent="0.35">
      <c r="A951" s="1">
        <v>950</v>
      </c>
      <c r="B951" s="1">
        <v>1</v>
      </c>
      <c r="C951" s="1" t="s">
        <v>1030</v>
      </c>
    </row>
    <row r="952" spans="1:3" ht="15.75" customHeight="1" x14ac:dyDescent="0.35">
      <c r="A952" s="1">
        <v>951</v>
      </c>
      <c r="B952" s="1">
        <v>3</v>
      </c>
      <c r="C952" s="1" t="s">
        <v>1031</v>
      </c>
    </row>
    <row r="953" spans="1:3" ht="15.75" customHeight="1" x14ac:dyDescent="0.35">
      <c r="A953" s="1">
        <v>952</v>
      </c>
      <c r="B953" s="1">
        <v>15</v>
      </c>
      <c r="C953" s="1" t="s">
        <v>1032</v>
      </c>
    </row>
    <row r="954" spans="1:3" ht="15.75" customHeight="1" x14ac:dyDescent="0.35">
      <c r="A954" s="1">
        <v>953</v>
      </c>
      <c r="B954" s="1">
        <v>2</v>
      </c>
      <c r="C954" s="1" t="s">
        <v>1033</v>
      </c>
    </row>
    <row r="955" spans="1:3" ht="15.75" customHeight="1" x14ac:dyDescent="0.35">
      <c r="A955" s="1">
        <v>954</v>
      </c>
      <c r="B955" s="1">
        <v>1</v>
      </c>
      <c r="C955" s="1" t="s">
        <v>1034</v>
      </c>
    </row>
    <row r="956" spans="1:3" ht="15.75" customHeight="1" x14ac:dyDescent="0.35">
      <c r="A956" s="1">
        <v>955</v>
      </c>
      <c r="B956" s="1">
        <v>12</v>
      </c>
      <c r="C956" s="1" t="s">
        <v>1035</v>
      </c>
    </row>
    <row r="957" spans="1:3" ht="15.75" customHeight="1" x14ac:dyDescent="0.35">
      <c r="A957" s="1">
        <v>956</v>
      </c>
      <c r="B957" s="1">
        <v>6</v>
      </c>
      <c r="C957" s="1" t="s">
        <v>1036</v>
      </c>
    </row>
    <row r="958" spans="1:3" ht="15.75" customHeight="1" x14ac:dyDescent="0.35">
      <c r="A958" s="1">
        <v>957</v>
      </c>
      <c r="B958" s="1">
        <v>12</v>
      </c>
      <c r="C958" s="1" t="s">
        <v>1037</v>
      </c>
    </row>
    <row r="959" spans="1:3" ht="15.75" customHeight="1" x14ac:dyDescent="0.35">
      <c r="A959" s="1">
        <v>958</v>
      </c>
      <c r="B959" s="1">
        <v>2</v>
      </c>
      <c r="C959" s="1" t="s">
        <v>1038</v>
      </c>
    </row>
    <row r="960" spans="1:3" ht="15.75" customHeight="1" x14ac:dyDescent="0.35">
      <c r="A960" s="1">
        <v>959</v>
      </c>
      <c r="B960" s="1">
        <v>6</v>
      </c>
      <c r="C960" s="1" t="s">
        <v>1039</v>
      </c>
    </row>
    <row r="961" spans="1:3" ht="15.75" customHeight="1" x14ac:dyDescent="0.35">
      <c r="A961" s="1">
        <v>960</v>
      </c>
      <c r="B961" s="1">
        <v>15</v>
      </c>
      <c r="C961" s="1" t="s">
        <v>1040</v>
      </c>
    </row>
    <row r="962" spans="1:3" ht="15.75" customHeight="1" x14ac:dyDescent="0.35">
      <c r="A962" s="1">
        <v>961</v>
      </c>
      <c r="B962" s="1">
        <v>9</v>
      </c>
      <c r="C962" s="1" t="s">
        <v>1041</v>
      </c>
    </row>
    <row r="963" spans="1:3" ht="15.75" customHeight="1" x14ac:dyDescent="0.35">
      <c r="A963" s="1">
        <v>962</v>
      </c>
      <c r="B963" s="1">
        <v>7</v>
      </c>
      <c r="C963" s="1" t="s">
        <v>1042</v>
      </c>
    </row>
    <row r="964" spans="1:3" ht="15.75" customHeight="1" x14ac:dyDescent="0.35">
      <c r="A964" s="1">
        <v>963</v>
      </c>
      <c r="B964" s="1">
        <v>11</v>
      </c>
      <c r="C964" s="1" t="s">
        <v>1043</v>
      </c>
    </row>
    <row r="965" spans="1:3" ht="15.75" customHeight="1" x14ac:dyDescent="0.35">
      <c r="A965" s="1">
        <v>964</v>
      </c>
      <c r="B965" s="1">
        <v>2</v>
      </c>
      <c r="C965" s="1" t="s">
        <v>1044</v>
      </c>
    </row>
    <row r="966" spans="1:3" ht="15.75" customHeight="1" x14ac:dyDescent="0.35">
      <c r="A966" s="1">
        <v>965</v>
      </c>
      <c r="B966" s="1">
        <v>1</v>
      </c>
      <c r="C966" s="1" t="s">
        <v>1045</v>
      </c>
    </row>
    <row r="967" spans="1:3" ht="15.75" customHeight="1" x14ac:dyDescent="0.35">
      <c r="A967" s="1">
        <v>966</v>
      </c>
      <c r="B967" s="1">
        <v>13</v>
      </c>
      <c r="C967" s="1" t="s">
        <v>1046</v>
      </c>
    </row>
    <row r="968" spans="1:3" ht="15.75" customHeight="1" x14ac:dyDescent="0.35">
      <c r="A968" s="1">
        <v>967</v>
      </c>
      <c r="B968" s="1">
        <v>12</v>
      </c>
      <c r="C968" s="1" t="s">
        <v>1047</v>
      </c>
    </row>
    <row r="969" spans="1:3" ht="15.75" customHeight="1" x14ac:dyDescent="0.35">
      <c r="A969" s="1">
        <v>968</v>
      </c>
      <c r="B969" s="1">
        <v>2</v>
      </c>
      <c r="C969" s="1" t="s">
        <v>1048</v>
      </c>
    </row>
    <row r="970" spans="1:3" ht="15.75" customHeight="1" x14ac:dyDescent="0.35">
      <c r="A970" s="1">
        <v>969</v>
      </c>
      <c r="B970" s="1">
        <v>4</v>
      </c>
      <c r="C970" s="1" t="s">
        <v>1049</v>
      </c>
    </row>
    <row r="971" spans="1:3" ht="15.75" customHeight="1" x14ac:dyDescent="0.35">
      <c r="A971" s="1">
        <v>970</v>
      </c>
      <c r="B971" s="1">
        <v>5</v>
      </c>
      <c r="C971" s="1" t="s">
        <v>1050</v>
      </c>
    </row>
    <row r="972" spans="1:3" ht="15.75" customHeight="1" x14ac:dyDescent="0.35">
      <c r="A972" s="1">
        <v>971</v>
      </c>
      <c r="B972" s="1">
        <v>7</v>
      </c>
      <c r="C972" s="1" t="s">
        <v>1051</v>
      </c>
    </row>
    <row r="973" spans="1:3" ht="15.75" customHeight="1" x14ac:dyDescent="0.35">
      <c r="A973" s="1">
        <v>972</v>
      </c>
      <c r="B973" s="1">
        <v>1</v>
      </c>
      <c r="C973" s="1" t="s">
        <v>1052</v>
      </c>
    </row>
    <row r="974" spans="1:3" ht="15.75" customHeight="1" x14ac:dyDescent="0.35">
      <c r="A974" s="1">
        <v>973</v>
      </c>
      <c r="B974" s="1">
        <v>1</v>
      </c>
      <c r="C974" s="1" t="s">
        <v>1053</v>
      </c>
    </row>
    <row r="975" spans="1:3" ht="15.75" customHeight="1" x14ac:dyDescent="0.35">
      <c r="A975" s="1">
        <v>974</v>
      </c>
      <c r="B975" s="1">
        <v>5</v>
      </c>
      <c r="C975" s="1" t="s">
        <v>1054</v>
      </c>
    </row>
    <row r="976" spans="1:3" ht="15.75" customHeight="1" x14ac:dyDescent="0.35">
      <c r="A976" s="1">
        <v>975</v>
      </c>
      <c r="B976" s="1">
        <v>10</v>
      </c>
      <c r="C976" s="1" t="s">
        <v>1055</v>
      </c>
    </row>
    <row r="977" spans="1:3" ht="15.75" customHeight="1" x14ac:dyDescent="0.35">
      <c r="A977" s="1">
        <v>976</v>
      </c>
      <c r="B977" s="1">
        <v>8</v>
      </c>
      <c r="C977" s="1" t="s">
        <v>1056</v>
      </c>
    </row>
    <row r="978" spans="1:3" ht="15.75" customHeight="1" x14ac:dyDescent="0.35">
      <c r="A978" s="1">
        <v>977</v>
      </c>
      <c r="B978" s="1">
        <v>9</v>
      </c>
      <c r="C978" s="1" t="s">
        <v>1057</v>
      </c>
    </row>
    <row r="979" spans="1:3" ht="15.75" customHeight="1" x14ac:dyDescent="0.35">
      <c r="A979" s="1">
        <v>978</v>
      </c>
      <c r="B979" s="1">
        <v>12</v>
      </c>
      <c r="C979" s="1" t="s">
        <v>1058</v>
      </c>
    </row>
    <row r="980" spans="1:3" ht="15.75" customHeight="1" x14ac:dyDescent="0.35">
      <c r="A980" s="1">
        <v>979</v>
      </c>
      <c r="B980" s="1">
        <v>11</v>
      </c>
      <c r="C980" s="1" t="s">
        <v>1059</v>
      </c>
    </row>
    <row r="981" spans="1:3" ht="15.75" customHeight="1" x14ac:dyDescent="0.35">
      <c r="A981" s="1">
        <v>980</v>
      </c>
      <c r="B981" s="1">
        <v>15</v>
      </c>
      <c r="C981" s="1" t="s">
        <v>1060</v>
      </c>
    </row>
    <row r="982" spans="1:3" ht="15.75" customHeight="1" x14ac:dyDescent="0.35">
      <c r="A982" s="1">
        <v>981</v>
      </c>
      <c r="B982" s="1">
        <v>2</v>
      </c>
      <c r="C982" s="1" t="s">
        <v>1061</v>
      </c>
    </row>
    <row r="983" spans="1:3" ht="15.75" customHeight="1" x14ac:dyDescent="0.35">
      <c r="A983" s="1">
        <v>982</v>
      </c>
      <c r="B983" s="1">
        <v>10</v>
      </c>
      <c r="C983" s="1" t="s">
        <v>1062</v>
      </c>
    </row>
    <row r="984" spans="1:3" ht="15.75" customHeight="1" x14ac:dyDescent="0.35">
      <c r="A984" s="1">
        <v>983</v>
      </c>
      <c r="B984" s="1">
        <v>5</v>
      </c>
      <c r="C984" s="1" t="s">
        <v>1063</v>
      </c>
    </row>
    <row r="985" spans="1:3" ht="15.75" customHeight="1" x14ac:dyDescent="0.35">
      <c r="A985" s="1">
        <v>984</v>
      </c>
      <c r="B985" s="1">
        <v>5</v>
      </c>
      <c r="C985" s="1" t="s">
        <v>1064</v>
      </c>
    </row>
    <row r="986" spans="1:3" ht="15.75" customHeight="1" x14ac:dyDescent="0.35">
      <c r="A986" s="1">
        <v>985</v>
      </c>
      <c r="B986" s="1">
        <v>11</v>
      </c>
      <c r="C986" s="1" t="s">
        <v>1065</v>
      </c>
    </row>
    <row r="987" spans="1:3" ht="15.75" customHeight="1" x14ac:dyDescent="0.35">
      <c r="A987" s="1">
        <v>986</v>
      </c>
      <c r="B987" s="1">
        <v>7</v>
      </c>
      <c r="C987" s="1" t="s">
        <v>1066</v>
      </c>
    </row>
    <row r="988" spans="1:3" ht="15.75" customHeight="1" x14ac:dyDescent="0.35">
      <c r="A988" s="1">
        <v>987</v>
      </c>
      <c r="B988" s="1">
        <v>3</v>
      </c>
      <c r="C988" s="1" t="s">
        <v>1067</v>
      </c>
    </row>
    <row r="989" spans="1:3" ht="15.75" customHeight="1" x14ac:dyDescent="0.35">
      <c r="A989" s="1">
        <v>988</v>
      </c>
      <c r="B989" s="1">
        <v>3</v>
      </c>
      <c r="C989" s="1" t="s">
        <v>1068</v>
      </c>
    </row>
    <row r="990" spans="1:3" ht="15.75" customHeight="1" x14ac:dyDescent="0.35">
      <c r="A990" s="1">
        <v>989</v>
      </c>
      <c r="B990" s="1">
        <v>4</v>
      </c>
      <c r="C990" s="1" t="s">
        <v>1069</v>
      </c>
    </row>
    <row r="991" spans="1:3" ht="15.75" customHeight="1" x14ac:dyDescent="0.35">
      <c r="A991" s="1">
        <v>990</v>
      </c>
      <c r="B991" s="1">
        <v>6</v>
      </c>
      <c r="C991" s="1" t="s">
        <v>1070</v>
      </c>
    </row>
    <row r="992" spans="1:3" ht="15.75" customHeight="1" x14ac:dyDescent="0.35">
      <c r="A992" s="1">
        <v>991</v>
      </c>
      <c r="B992" s="1">
        <v>10</v>
      </c>
      <c r="C992" s="1" t="s">
        <v>1071</v>
      </c>
    </row>
    <row r="993" spans="1:3" ht="15.75" customHeight="1" x14ac:dyDescent="0.35">
      <c r="A993" s="1">
        <v>992</v>
      </c>
      <c r="B993" s="1">
        <v>8</v>
      </c>
      <c r="C993" s="1" t="s">
        <v>1072</v>
      </c>
    </row>
    <row r="994" spans="1:3" ht="15.75" customHeight="1" x14ac:dyDescent="0.35">
      <c r="A994" s="1">
        <v>993</v>
      </c>
      <c r="B994" s="1">
        <v>8</v>
      </c>
      <c r="C994" s="1" t="s">
        <v>1073</v>
      </c>
    </row>
    <row r="995" spans="1:3" ht="15.75" customHeight="1" x14ac:dyDescent="0.35">
      <c r="A995" s="1">
        <v>994</v>
      </c>
      <c r="B995" s="1">
        <v>14</v>
      </c>
      <c r="C995" s="1" t="s">
        <v>1074</v>
      </c>
    </row>
    <row r="996" spans="1:3" ht="15.75" customHeight="1" x14ac:dyDescent="0.35">
      <c r="A996" s="1">
        <v>995</v>
      </c>
      <c r="B996" s="1">
        <v>14</v>
      </c>
      <c r="C996" s="1" t="s">
        <v>1075</v>
      </c>
    </row>
    <row r="997" spans="1:3" ht="15.75" customHeight="1" x14ac:dyDescent="0.35">
      <c r="A997" s="1">
        <v>996</v>
      </c>
      <c r="B997" s="1">
        <v>1</v>
      </c>
      <c r="C997" s="1" t="s">
        <v>1076</v>
      </c>
    </row>
    <row r="998" spans="1:3" ht="15.75" customHeight="1" x14ac:dyDescent="0.35">
      <c r="A998" s="1">
        <v>997</v>
      </c>
      <c r="B998" s="1">
        <v>6</v>
      </c>
      <c r="C998" s="1" t="s">
        <v>1077</v>
      </c>
    </row>
    <row r="999" spans="1:3" ht="15.75" customHeight="1" x14ac:dyDescent="0.35">
      <c r="A999" s="1">
        <v>998</v>
      </c>
      <c r="B999" s="1">
        <v>4</v>
      </c>
      <c r="C999" s="1" t="s">
        <v>1078</v>
      </c>
    </row>
    <row r="1000" spans="1:3" ht="15.75" customHeight="1" x14ac:dyDescent="0.35">
      <c r="A1000" s="1">
        <v>999</v>
      </c>
      <c r="B1000" s="1">
        <v>12</v>
      </c>
      <c r="C1000" s="1" t="s">
        <v>1079</v>
      </c>
    </row>
    <row r="1001" spans="1:3" ht="15.75" customHeight="1" x14ac:dyDescent="0.35">
      <c r="A1001" s="1">
        <v>1000</v>
      </c>
      <c r="B1001" s="1">
        <v>2</v>
      </c>
      <c r="C1001" s="1" t="s">
        <v>1080</v>
      </c>
    </row>
    <row r="1002" spans="1:3" ht="15.75" customHeight="1" x14ac:dyDescent="0.35">
      <c r="A1002" s="1">
        <v>1001</v>
      </c>
      <c r="B1002" s="1">
        <v>15</v>
      </c>
      <c r="C1002" s="1" t="s">
        <v>1081</v>
      </c>
    </row>
    <row r="1003" spans="1:3" ht="15.75" customHeight="1" x14ac:dyDescent="0.35">
      <c r="A1003" s="1">
        <v>1002</v>
      </c>
      <c r="B1003" s="1">
        <v>10</v>
      </c>
      <c r="C1003" s="1" t="s">
        <v>1082</v>
      </c>
    </row>
    <row r="1004" spans="1:3" ht="15.75" customHeight="1" x14ac:dyDescent="0.35">
      <c r="A1004" s="1">
        <v>1003</v>
      </c>
      <c r="B1004" s="1">
        <v>5</v>
      </c>
      <c r="C1004" s="1" t="s">
        <v>1083</v>
      </c>
    </row>
    <row r="1005" spans="1:3" ht="15.75" customHeight="1" x14ac:dyDescent="0.35">
      <c r="A1005" s="1">
        <v>1004</v>
      </c>
      <c r="B1005" s="1">
        <v>14</v>
      </c>
      <c r="C1005" s="1" t="s">
        <v>1083</v>
      </c>
    </row>
    <row r="1006" spans="1:3" ht="15.75" customHeight="1" x14ac:dyDescent="0.35">
      <c r="A1006" s="1">
        <v>1005</v>
      </c>
      <c r="B1006" s="1">
        <v>8</v>
      </c>
      <c r="C1006" s="1" t="s">
        <v>1084</v>
      </c>
    </row>
    <row r="1007" spans="1:3" ht="15.75" customHeight="1" x14ac:dyDescent="0.35">
      <c r="A1007" s="1">
        <v>1006</v>
      </c>
      <c r="B1007" s="1">
        <v>15</v>
      </c>
      <c r="C1007" s="1" t="s">
        <v>1085</v>
      </c>
    </row>
    <row r="1008" spans="1:3" ht="15.75" customHeight="1" x14ac:dyDescent="0.35">
      <c r="A1008" s="1">
        <v>1007</v>
      </c>
      <c r="B1008" s="1">
        <v>8</v>
      </c>
      <c r="C1008" s="1" t="s">
        <v>1086</v>
      </c>
    </row>
    <row r="1009" spans="1:3" ht="15.75" customHeight="1" x14ac:dyDescent="0.35">
      <c r="A1009" s="1">
        <v>1008</v>
      </c>
      <c r="B1009" s="1">
        <v>5</v>
      </c>
      <c r="C1009" s="1" t="s">
        <v>1087</v>
      </c>
    </row>
    <row r="1010" spans="1:3" ht="15.75" customHeight="1" x14ac:dyDescent="0.35">
      <c r="A1010" s="1">
        <v>1009</v>
      </c>
      <c r="B1010" s="1">
        <v>6</v>
      </c>
      <c r="C1010" s="1" t="s">
        <v>1088</v>
      </c>
    </row>
    <row r="1011" spans="1:3" ht="15.75" customHeight="1" x14ac:dyDescent="0.35">
      <c r="A1011" s="1">
        <v>1010</v>
      </c>
      <c r="B1011" s="1">
        <v>7</v>
      </c>
      <c r="C1011" s="1" t="s">
        <v>1089</v>
      </c>
    </row>
    <row r="1012" spans="1:3" ht="15.75" customHeight="1" x14ac:dyDescent="0.35">
      <c r="A1012" s="1">
        <v>1011</v>
      </c>
      <c r="B1012" s="1">
        <v>6</v>
      </c>
      <c r="C1012" s="1" t="s">
        <v>1090</v>
      </c>
    </row>
    <row r="1013" spans="1:3" ht="15.75" customHeight="1" x14ac:dyDescent="0.35">
      <c r="A1013" s="1">
        <v>1012</v>
      </c>
      <c r="B1013" s="1">
        <v>6</v>
      </c>
      <c r="C1013" s="1" t="s">
        <v>1091</v>
      </c>
    </row>
    <row r="1014" spans="1:3" ht="15.75" customHeight="1" x14ac:dyDescent="0.35">
      <c r="A1014" s="1">
        <v>1013</v>
      </c>
      <c r="B1014" s="1">
        <v>2</v>
      </c>
      <c r="C1014" s="1" t="s">
        <v>1092</v>
      </c>
    </row>
    <row r="1015" spans="1:3" ht="15.75" customHeight="1" x14ac:dyDescent="0.35">
      <c r="A1015" s="1">
        <v>1014</v>
      </c>
      <c r="B1015" s="1">
        <v>4</v>
      </c>
      <c r="C1015" s="1" t="s">
        <v>1093</v>
      </c>
    </row>
    <row r="1016" spans="1:3" ht="15.75" customHeight="1" x14ac:dyDescent="0.35">
      <c r="A1016" s="1">
        <v>1015</v>
      </c>
      <c r="B1016" s="1">
        <v>4</v>
      </c>
      <c r="C1016" s="1" t="s">
        <v>1094</v>
      </c>
    </row>
    <row r="1017" spans="1:3" ht="15.75" customHeight="1" x14ac:dyDescent="0.35">
      <c r="A1017" s="1">
        <v>1016</v>
      </c>
      <c r="B1017" s="1">
        <v>12</v>
      </c>
      <c r="C1017" s="1" t="s">
        <v>1095</v>
      </c>
    </row>
    <row r="1018" spans="1:3" ht="15.75" customHeight="1" x14ac:dyDescent="0.35">
      <c r="A1018" s="1">
        <v>1017</v>
      </c>
      <c r="B1018" s="1">
        <v>2</v>
      </c>
      <c r="C1018" s="1" t="s">
        <v>1096</v>
      </c>
    </row>
    <row r="1019" spans="1:3" ht="15.75" customHeight="1" x14ac:dyDescent="0.35">
      <c r="A1019" s="1">
        <v>1018</v>
      </c>
      <c r="B1019" s="1">
        <v>9</v>
      </c>
      <c r="C1019" s="1" t="s">
        <v>1097</v>
      </c>
    </row>
    <row r="1020" spans="1:3" ht="15.75" customHeight="1" x14ac:dyDescent="0.35">
      <c r="A1020" s="1">
        <v>1019</v>
      </c>
      <c r="B1020" s="1">
        <v>8</v>
      </c>
      <c r="C1020" s="1" t="s">
        <v>1098</v>
      </c>
    </row>
    <row r="1021" spans="1:3" ht="15.75" customHeight="1" x14ac:dyDescent="0.35">
      <c r="A1021" s="1">
        <v>1020</v>
      </c>
      <c r="B1021" s="1">
        <v>8</v>
      </c>
      <c r="C1021" s="1" t="s">
        <v>1099</v>
      </c>
    </row>
    <row r="1022" spans="1:3" ht="15.75" customHeight="1" x14ac:dyDescent="0.35">
      <c r="A1022" s="1">
        <v>1021</v>
      </c>
      <c r="B1022" s="1">
        <v>2</v>
      </c>
      <c r="C1022" s="1" t="s">
        <v>1100</v>
      </c>
    </row>
    <row r="1023" spans="1:3" ht="15.75" customHeight="1" x14ac:dyDescent="0.35">
      <c r="A1023" s="1">
        <v>1022</v>
      </c>
      <c r="B1023" s="1">
        <v>5</v>
      </c>
      <c r="C1023" s="1" t="s">
        <v>1101</v>
      </c>
    </row>
    <row r="1024" spans="1:3" ht="15.75" customHeight="1" x14ac:dyDescent="0.35">
      <c r="A1024" s="1">
        <v>1023</v>
      </c>
      <c r="B1024" s="1">
        <v>14</v>
      </c>
      <c r="C1024" s="1" t="s">
        <v>1102</v>
      </c>
    </row>
    <row r="1025" spans="1:3" ht="15.75" customHeight="1" x14ac:dyDescent="0.35">
      <c r="A1025" s="1">
        <v>1024</v>
      </c>
      <c r="B1025" s="1">
        <v>7</v>
      </c>
      <c r="C1025" s="1" t="s">
        <v>1103</v>
      </c>
    </row>
    <row r="1026" spans="1:3" ht="15.75" customHeight="1" x14ac:dyDescent="0.35">
      <c r="A1026" s="1">
        <v>1025</v>
      </c>
      <c r="B1026" s="1">
        <v>10</v>
      </c>
      <c r="C1026" s="1" t="s">
        <v>1104</v>
      </c>
    </row>
    <row r="1027" spans="1:3" ht="15.75" customHeight="1" x14ac:dyDescent="0.35">
      <c r="A1027" s="1">
        <v>1026</v>
      </c>
      <c r="B1027" s="1">
        <v>6</v>
      </c>
      <c r="C1027" s="1" t="s">
        <v>1105</v>
      </c>
    </row>
    <row r="1028" spans="1:3" ht="15.75" customHeight="1" x14ac:dyDescent="0.35">
      <c r="A1028" s="1">
        <v>1027</v>
      </c>
      <c r="B1028" s="1">
        <v>7</v>
      </c>
      <c r="C1028" s="1" t="s">
        <v>1106</v>
      </c>
    </row>
    <row r="1029" spans="1:3" ht="15.75" customHeight="1" x14ac:dyDescent="0.35">
      <c r="A1029" s="1">
        <v>1028</v>
      </c>
      <c r="B1029" s="1">
        <v>3</v>
      </c>
      <c r="C1029" s="1" t="s">
        <v>1107</v>
      </c>
    </row>
    <row r="1030" spans="1:3" ht="15.75" customHeight="1" x14ac:dyDescent="0.35">
      <c r="A1030" s="1">
        <v>1029</v>
      </c>
      <c r="B1030" s="1">
        <v>13</v>
      </c>
      <c r="C1030" s="1" t="s">
        <v>1108</v>
      </c>
    </row>
    <row r="1031" spans="1:3" ht="15.75" customHeight="1" x14ac:dyDescent="0.35">
      <c r="A1031" s="1">
        <v>1030</v>
      </c>
      <c r="B1031" s="1">
        <v>5</v>
      </c>
      <c r="C1031" s="1" t="s">
        <v>1109</v>
      </c>
    </row>
    <row r="1032" spans="1:3" ht="15.75" customHeight="1" x14ac:dyDescent="0.35">
      <c r="A1032" s="1">
        <v>1031</v>
      </c>
      <c r="B1032" s="1">
        <v>4</v>
      </c>
      <c r="C1032" s="1" t="s">
        <v>1110</v>
      </c>
    </row>
    <row r="1033" spans="1:3" ht="15.75" customHeight="1" x14ac:dyDescent="0.35">
      <c r="A1033" s="1">
        <v>1032</v>
      </c>
      <c r="B1033" s="1">
        <v>13</v>
      </c>
      <c r="C1033" s="1" t="s">
        <v>1111</v>
      </c>
    </row>
    <row r="1034" spans="1:3" ht="15.75" customHeight="1" x14ac:dyDescent="0.35">
      <c r="A1034" s="1">
        <v>1033</v>
      </c>
      <c r="B1034" s="1">
        <v>9</v>
      </c>
      <c r="C1034" s="1" t="s">
        <v>1112</v>
      </c>
    </row>
    <row r="1035" spans="1:3" ht="15.75" customHeight="1" x14ac:dyDescent="0.35">
      <c r="A1035" s="1">
        <v>1034</v>
      </c>
      <c r="B1035" s="1">
        <v>13</v>
      </c>
      <c r="C1035" s="1" t="s">
        <v>1113</v>
      </c>
    </row>
    <row r="1036" spans="1:3" ht="15.75" customHeight="1" x14ac:dyDescent="0.35">
      <c r="A1036" s="1">
        <v>1035</v>
      </c>
      <c r="B1036" s="1">
        <v>10</v>
      </c>
      <c r="C1036" s="1" t="s">
        <v>1114</v>
      </c>
    </row>
    <row r="1037" spans="1:3" ht="15.75" customHeight="1" x14ac:dyDescent="0.35">
      <c r="A1037" s="1">
        <v>1036</v>
      </c>
      <c r="B1037" s="1">
        <v>13</v>
      </c>
      <c r="C1037" s="1" t="s">
        <v>1115</v>
      </c>
    </row>
    <row r="1038" spans="1:3" ht="15.75" customHeight="1" x14ac:dyDescent="0.35">
      <c r="A1038" s="1">
        <v>1037</v>
      </c>
      <c r="B1038" s="1">
        <v>8</v>
      </c>
      <c r="C1038" s="1" t="s">
        <v>1116</v>
      </c>
    </row>
    <row r="1039" spans="1:3" ht="15.75" customHeight="1" x14ac:dyDescent="0.35">
      <c r="A1039" s="1">
        <v>1038</v>
      </c>
      <c r="B1039" s="1">
        <v>1</v>
      </c>
      <c r="C1039" s="1" t="s">
        <v>1117</v>
      </c>
    </row>
    <row r="1040" spans="1:3" ht="15.75" customHeight="1" x14ac:dyDescent="0.35">
      <c r="A1040" s="1">
        <v>1039</v>
      </c>
      <c r="B1040" s="1">
        <v>9</v>
      </c>
      <c r="C1040" s="1" t="s">
        <v>1118</v>
      </c>
    </row>
    <row r="1041" spans="1:3" ht="15.75" customHeight="1" x14ac:dyDescent="0.35">
      <c r="A1041" s="1">
        <v>1040</v>
      </c>
      <c r="B1041" s="1">
        <v>2</v>
      </c>
      <c r="C1041" s="1" t="s">
        <v>1119</v>
      </c>
    </row>
    <row r="1042" spans="1:3" ht="15.75" customHeight="1" x14ac:dyDescent="0.35">
      <c r="A1042" s="1">
        <v>1041</v>
      </c>
      <c r="B1042" s="1">
        <v>1</v>
      </c>
      <c r="C1042" s="1" t="s">
        <v>1120</v>
      </c>
    </row>
    <row r="1043" spans="1:3" ht="15.75" customHeight="1" x14ac:dyDescent="0.35">
      <c r="A1043" s="1">
        <v>1042</v>
      </c>
      <c r="B1043" s="1">
        <v>1</v>
      </c>
      <c r="C1043" s="1" t="s">
        <v>1121</v>
      </c>
    </row>
    <row r="1044" spans="1:3" ht="15.75" customHeight="1" x14ac:dyDescent="0.35">
      <c r="A1044" s="1">
        <v>1043</v>
      </c>
      <c r="B1044" s="1">
        <v>9</v>
      </c>
      <c r="C1044" s="1" t="s">
        <v>1122</v>
      </c>
    </row>
    <row r="1045" spans="1:3" ht="15.75" customHeight="1" x14ac:dyDescent="0.35">
      <c r="A1045" s="1">
        <v>1044</v>
      </c>
      <c r="B1045" s="1">
        <v>2</v>
      </c>
      <c r="C1045" s="1" t="s">
        <v>1123</v>
      </c>
    </row>
    <row r="1046" spans="1:3" ht="15.75" customHeight="1" x14ac:dyDescent="0.35">
      <c r="A1046" s="1">
        <v>1045</v>
      </c>
      <c r="B1046" s="1">
        <v>15</v>
      </c>
      <c r="C1046" s="1" t="s">
        <v>1124</v>
      </c>
    </row>
    <row r="1047" spans="1:3" ht="15.75" customHeight="1" x14ac:dyDescent="0.35">
      <c r="A1047" s="1">
        <v>1046</v>
      </c>
      <c r="B1047" s="1">
        <v>9</v>
      </c>
      <c r="C1047" s="1" t="s">
        <v>1125</v>
      </c>
    </row>
    <row r="1048" spans="1:3" ht="15.75" customHeight="1" x14ac:dyDescent="0.35">
      <c r="A1048" s="1">
        <v>1047</v>
      </c>
      <c r="B1048" s="1">
        <v>5</v>
      </c>
      <c r="C1048" s="1" t="s">
        <v>1126</v>
      </c>
    </row>
    <row r="1049" spans="1:3" ht="15.75" customHeight="1" x14ac:dyDescent="0.35">
      <c r="A1049" s="1">
        <v>1048</v>
      </c>
      <c r="B1049" s="1">
        <v>5</v>
      </c>
      <c r="C1049" s="1" t="s">
        <v>1127</v>
      </c>
    </row>
    <row r="1050" spans="1:3" ht="15.75" customHeight="1" x14ac:dyDescent="0.35">
      <c r="A1050" s="1">
        <v>1049</v>
      </c>
      <c r="B1050" s="1">
        <v>15</v>
      </c>
      <c r="C1050" s="1" t="s">
        <v>1128</v>
      </c>
    </row>
    <row r="1051" spans="1:3" ht="15.75" customHeight="1" x14ac:dyDescent="0.35">
      <c r="A1051" s="1">
        <v>1050</v>
      </c>
      <c r="B1051" s="1">
        <v>15</v>
      </c>
      <c r="C1051" s="1" t="s">
        <v>1129</v>
      </c>
    </row>
    <row r="1052" spans="1:3" ht="15.75" customHeight="1" x14ac:dyDescent="0.35">
      <c r="A1052" s="1">
        <v>1051</v>
      </c>
      <c r="B1052" s="1">
        <v>2</v>
      </c>
      <c r="C1052" s="1" t="s">
        <v>1130</v>
      </c>
    </row>
    <row r="1053" spans="1:3" ht="15.75" customHeight="1" x14ac:dyDescent="0.35">
      <c r="A1053" s="1">
        <v>1052</v>
      </c>
      <c r="B1053" s="1">
        <v>2</v>
      </c>
      <c r="C1053" s="1" t="s">
        <v>1131</v>
      </c>
    </row>
    <row r="1054" spans="1:3" ht="15.75" customHeight="1" x14ac:dyDescent="0.35">
      <c r="A1054" s="1">
        <v>1053</v>
      </c>
      <c r="B1054" s="1">
        <v>10</v>
      </c>
      <c r="C1054" s="1" t="s">
        <v>1132</v>
      </c>
    </row>
    <row r="1055" spans="1:3" ht="15.75" customHeight="1" x14ac:dyDescent="0.35">
      <c r="A1055" s="1">
        <v>1054</v>
      </c>
      <c r="B1055" s="1">
        <v>4</v>
      </c>
      <c r="C1055" s="1" t="s">
        <v>1133</v>
      </c>
    </row>
    <row r="1056" spans="1:3" ht="15.75" customHeight="1" x14ac:dyDescent="0.35">
      <c r="A1056" s="1">
        <v>1055</v>
      </c>
      <c r="B1056" s="1">
        <v>1</v>
      </c>
      <c r="C1056" s="1" t="s">
        <v>1134</v>
      </c>
    </row>
    <row r="1057" spans="1:3" ht="15.75" customHeight="1" x14ac:dyDescent="0.35">
      <c r="A1057" s="1">
        <v>1056</v>
      </c>
      <c r="B1057" s="1">
        <v>9</v>
      </c>
      <c r="C1057" s="1" t="s">
        <v>1135</v>
      </c>
    </row>
    <row r="1058" spans="1:3" ht="15.75" customHeight="1" x14ac:dyDescent="0.35">
      <c r="A1058" s="1">
        <v>1057</v>
      </c>
      <c r="B1058" s="1">
        <v>3</v>
      </c>
      <c r="C1058" s="1" t="s">
        <v>1136</v>
      </c>
    </row>
    <row r="1059" spans="1:3" ht="15.75" customHeight="1" x14ac:dyDescent="0.35">
      <c r="A1059" s="1">
        <v>1058</v>
      </c>
      <c r="B1059" s="1">
        <v>8</v>
      </c>
      <c r="C1059" s="1" t="s">
        <v>1137</v>
      </c>
    </row>
    <row r="1060" spans="1:3" ht="15.75" customHeight="1" x14ac:dyDescent="0.35">
      <c r="A1060" s="1">
        <v>1059</v>
      </c>
      <c r="B1060" s="1">
        <v>8</v>
      </c>
      <c r="C1060" s="1" t="s">
        <v>1138</v>
      </c>
    </row>
    <row r="1061" spans="1:3" ht="15.75" customHeight="1" x14ac:dyDescent="0.35">
      <c r="A1061" s="1">
        <v>1060</v>
      </c>
      <c r="B1061" s="1">
        <v>9</v>
      </c>
      <c r="C1061" s="1" t="s">
        <v>1139</v>
      </c>
    </row>
    <row r="1062" spans="1:3" ht="15.75" customHeight="1" x14ac:dyDescent="0.35">
      <c r="A1062" s="1">
        <v>1061</v>
      </c>
      <c r="B1062" s="1">
        <v>4</v>
      </c>
      <c r="C1062" s="1" t="s">
        <v>1140</v>
      </c>
    </row>
    <row r="1063" spans="1:3" ht="15.75" customHeight="1" x14ac:dyDescent="0.35">
      <c r="A1063" s="1">
        <v>1062</v>
      </c>
      <c r="B1063" s="1">
        <v>14</v>
      </c>
      <c r="C1063" s="1" t="s">
        <v>1141</v>
      </c>
    </row>
    <row r="1064" spans="1:3" ht="15.75" customHeight="1" x14ac:dyDescent="0.35">
      <c r="A1064" s="1">
        <v>1063</v>
      </c>
      <c r="B1064" s="1">
        <v>5</v>
      </c>
      <c r="C1064" s="1" t="s">
        <v>1142</v>
      </c>
    </row>
    <row r="1065" spans="1:3" ht="15.75" customHeight="1" x14ac:dyDescent="0.35">
      <c r="A1065" s="1">
        <v>1064</v>
      </c>
      <c r="B1065" s="1">
        <v>11</v>
      </c>
      <c r="C1065" s="1" t="s">
        <v>1143</v>
      </c>
    </row>
    <row r="1066" spans="1:3" ht="15.75" customHeight="1" x14ac:dyDescent="0.35">
      <c r="A1066" s="1">
        <v>1065</v>
      </c>
      <c r="B1066" s="1">
        <v>5</v>
      </c>
      <c r="C1066" s="1" t="s">
        <v>1144</v>
      </c>
    </row>
    <row r="1067" spans="1:3" ht="15.75" customHeight="1" x14ac:dyDescent="0.35">
      <c r="A1067" s="1">
        <v>1066</v>
      </c>
      <c r="B1067" s="1">
        <v>11</v>
      </c>
      <c r="C1067" s="1" t="s">
        <v>1145</v>
      </c>
    </row>
    <row r="1068" spans="1:3" ht="15.75" customHeight="1" x14ac:dyDescent="0.35">
      <c r="A1068" s="1">
        <v>1067</v>
      </c>
      <c r="B1068" s="1">
        <v>10</v>
      </c>
      <c r="C1068" s="1" t="s">
        <v>1146</v>
      </c>
    </row>
    <row r="1069" spans="1:3" ht="15.75" customHeight="1" x14ac:dyDescent="0.35">
      <c r="A1069" s="1">
        <v>1068</v>
      </c>
      <c r="B1069" s="1">
        <v>11</v>
      </c>
      <c r="C1069" s="1" t="s">
        <v>1147</v>
      </c>
    </row>
    <row r="1070" spans="1:3" ht="15.75" customHeight="1" x14ac:dyDescent="0.35">
      <c r="A1070" s="1">
        <v>1069</v>
      </c>
      <c r="B1070" s="1">
        <v>14</v>
      </c>
      <c r="C1070" s="1" t="s">
        <v>1148</v>
      </c>
    </row>
    <row r="1071" spans="1:3" ht="15.75" customHeight="1" x14ac:dyDescent="0.35">
      <c r="A1071" s="1">
        <v>1070</v>
      </c>
      <c r="B1071" s="1">
        <v>15</v>
      </c>
      <c r="C1071" s="1" t="s">
        <v>1149</v>
      </c>
    </row>
    <row r="1072" spans="1:3" ht="15.75" customHeight="1" x14ac:dyDescent="0.35">
      <c r="A1072" s="1">
        <v>1071</v>
      </c>
      <c r="B1072" s="1">
        <v>11</v>
      </c>
      <c r="C1072" s="1" t="s">
        <v>1150</v>
      </c>
    </row>
    <row r="1073" spans="1:3" ht="15.75" customHeight="1" x14ac:dyDescent="0.35">
      <c r="A1073" s="1">
        <v>1072</v>
      </c>
      <c r="B1073" s="1">
        <v>12</v>
      </c>
      <c r="C1073" s="1" t="s">
        <v>1151</v>
      </c>
    </row>
    <row r="1074" spans="1:3" ht="15.75" customHeight="1" x14ac:dyDescent="0.35">
      <c r="A1074" s="1">
        <v>1073</v>
      </c>
      <c r="B1074" s="1">
        <v>5</v>
      </c>
      <c r="C1074" s="1" t="s">
        <v>1152</v>
      </c>
    </row>
    <row r="1075" spans="1:3" ht="15.75" customHeight="1" x14ac:dyDescent="0.35">
      <c r="A1075" s="1">
        <v>1074</v>
      </c>
      <c r="B1075" s="1">
        <v>10</v>
      </c>
      <c r="C1075" s="1" t="s">
        <v>1153</v>
      </c>
    </row>
    <row r="1076" spans="1:3" ht="15.75" customHeight="1" x14ac:dyDescent="0.35">
      <c r="A1076" s="1">
        <v>1075</v>
      </c>
      <c r="B1076" s="1">
        <v>3</v>
      </c>
      <c r="C1076" s="1" t="s">
        <v>1154</v>
      </c>
    </row>
    <row r="1077" spans="1:3" ht="15.75" customHeight="1" x14ac:dyDescent="0.35">
      <c r="A1077" s="1">
        <v>1076</v>
      </c>
      <c r="B1077" s="1">
        <v>8</v>
      </c>
      <c r="C1077" s="1" t="s">
        <v>1155</v>
      </c>
    </row>
    <row r="1078" spans="1:3" ht="15.75" customHeight="1" x14ac:dyDescent="0.35">
      <c r="A1078" s="1">
        <v>1077</v>
      </c>
      <c r="B1078" s="1">
        <v>15</v>
      </c>
      <c r="C1078" s="1" t="s">
        <v>1156</v>
      </c>
    </row>
    <row r="1079" spans="1:3" ht="15.75" customHeight="1" x14ac:dyDescent="0.35">
      <c r="A1079" s="1">
        <v>1078</v>
      </c>
      <c r="B1079" s="1">
        <v>11</v>
      </c>
      <c r="C1079" s="1" t="s">
        <v>1157</v>
      </c>
    </row>
    <row r="1080" spans="1:3" ht="15.75" customHeight="1" x14ac:dyDescent="0.35">
      <c r="A1080" s="1">
        <v>1079</v>
      </c>
      <c r="B1080" s="1">
        <v>2</v>
      </c>
      <c r="C1080" s="1" t="s">
        <v>1158</v>
      </c>
    </row>
    <row r="1081" spans="1:3" ht="15.75" customHeight="1" x14ac:dyDescent="0.35">
      <c r="A1081" s="1">
        <v>1080</v>
      </c>
      <c r="B1081" s="1">
        <v>5</v>
      </c>
      <c r="C1081" s="1" t="s">
        <v>1159</v>
      </c>
    </row>
    <row r="1082" spans="1:3" ht="15.75" customHeight="1" x14ac:dyDescent="0.35">
      <c r="A1082" s="1">
        <v>1081</v>
      </c>
      <c r="B1082" s="1">
        <v>7</v>
      </c>
      <c r="C1082" s="1" t="s">
        <v>1160</v>
      </c>
    </row>
    <row r="1083" spans="1:3" ht="15.75" customHeight="1" x14ac:dyDescent="0.35">
      <c r="A1083" s="1">
        <v>1082</v>
      </c>
      <c r="B1083" s="1">
        <v>5</v>
      </c>
      <c r="C1083" s="1" t="s">
        <v>1161</v>
      </c>
    </row>
    <row r="1084" spans="1:3" ht="15.75" customHeight="1" x14ac:dyDescent="0.35">
      <c r="A1084" s="1">
        <v>1083</v>
      </c>
      <c r="B1084" s="1">
        <v>12</v>
      </c>
      <c r="C1084" s="1" t="s">
        <v>1162</v>
      </c>
    </row>
    <row r="1085" spans="1:3" ht="15.75" customHeight="1" x14ac:dyDescent="0.35">
      <c r="A1085" s="1">
        <v>1084</v>
      </c>
      <c r="B1085" s="1">
        <v>15</v>
      </c>
      <c r="C1085" s="1" t="s">
        <v>1163</v>
      </c>
    </row>
    <row r="1086" spans="1:3" ht="15.75" customHeight="1" x14ac:dyDescent="0.35">
      <c r="A1086" s="1">
        <v>1085</v>
      </c>
      <c r="B1086" s="1">
        <v>13</v>
      </c>
      <c r="C1086" s="1" t="s">
        <v>1164</v>
      </c>
    </row>
    <row r="1087" spans="1:3" ht="15.75" customHeight="1" x14ac:dyDescent="0.35">
      <c r="A1087" s="1">
        <v>1086</v>
      </c>
      <c r="B1087" s="1">
        <v>11</v>
      </c>
      <c r="C1087" s="1" t="s">
        <v>1165</v>
      </c>
    </row>
    <row r="1088" spans="1:3" ht="15.75" customHeight="1" x14ac:dyDescent="0.35">
      <c r="A1088" s="1">
        <v>1087</v>
      </c>
      <c r="B1088" s="1">
        <v>11</v>
      </c>
      <c r="C1088" s="1" t="s">
        <v>1166</v>
      </c>
    </row>
    <row r="1089" spans="1:3" ht="15.75" customHeight="1" x14ac:dyDescent="0.35">
      <c r="A1089" s="1">
        <v>1088</v>
      </c>
      <c r="B1089" s="1">
        <v>10</v>
      </c>
      <c r="C1089" s="1" t="s">
        <v>1167</v>
      </c>
    </row>
    <row r="1090" spans="1:3" ht="15.75" customHeight="1" x14ac:dyDescent="0.35">
      <c r="A1090" s="1">
        <v>1089</v>
      </c>
      <c r="B1090" s="1">
        <v>10</v>
      </c>
      <c r="C1090" s="1" t="s">
        <v>1168</v>
      </c>
    </row>
    <row r="1091" spans="1:3" ht="15.75" customHeight="1" x14ac:dyDescent="0.35">
      <c r="A1091" s="1">
        <v>1090</v>
      </c>
      <c r="B1091" s="1">
        <v>10</v>
      </c>
      <c r="C1091" s="1" t="s">
        <v>1169</v>
      </c>
    </row>
    <row r="1092" spans="1:3" ht="15.75" customHeight="1" x14ac:dyDescent="0.35">
      <c r="A1092" s="1">
        <v>1091</v>
      </c>
      <c r="B1092" s="1">
        <v>14</v>
      </c>
      <c r="C1092" s="1" t="s">
        <v>1170</v>
      </c>
    </row>
    <row r="1093" spans="1:3" ht="15.75" customHeight="1" x14ac:dyDescent="0.35">
      <c r="A1093" s="1">
        <v>1092</v>
      </c>
      <c r="B1093" s="1">
        <v>4</v>
      </c>
      <c r="C1093" s="1" t="s">
        <v>1171</v>
      </c>
    </row>
    <row r="1094" spans="1:3" ht="15.75" customHeight="1" x14ac:dyDescent="0.35">
      <c r="A1094" s="1">
        <v>1093</v>
      </c>
      <c r="B1094" s="1">
        <v>11</v>
      </c>
      <c r="C1094" s="1" t="s">
        <v>1172</v>
      </c>
    </row>
    <row r="1095" spans="1:3" ht="15.75" customHeight="1" x14ac:dyDescent="0.35">
      <c r="A1095" s="1">
        <v>1094</v>
      </c>
      <c r="B1095" s="1">
        <v>14</v>
      </c>
      <c r="C1095" s="1" t="s">
        <v>1173</v>
      </c>
    </row>
    <row r="1096" spans="1:3" ht="15.75" customHeight="1" x14ac:dyDescent="0.35">
      <c r="A1096" s="1">
        <v>1095</v>
      </c>
      <c r="B1096" s="1">
        <v>5</v>
      </c>
      <c r="C1096" s="1" t="s">
        <v>1174</v>
      </c>
    </row>
    <row r="1097" spans="1:3" ht="15.75" customHeight="1" x14ac:dyDescent="0.35">
      <c r="A1097" s="1">
        <v>1096</v>
      </c>
      <c r="B1097" s="1">
        <v>2</v>
      </c>
      <c r="C1097" s="1" t="s">
        <v>1175</v>
      </c>
    </row>
    <row r="1098" spans="1:3" ht="15.75" customHeight="1" x14ac:dyDescent="0.35">
      <c r="A1098" s="1">
        <v>1097</v>
      </c>
      <c r="B1098" s="1">
        <v>11</v>
      </c>
      <c r="C1098" s="1" t="s">
        <v>1176</v>
      </c>
    </row>
    <row r="1099" spans="1:3" ht="15.75" customHeight="1" x14ac:dyDescent="0.35">
      <c r="A1099" s="1">
        <v>1098</v>
      </c>
      <c r="B1099" s="1">
        <v>13</v>
      </c>
      <c r="C1099" s="1" t="s">
        <v>1177</v>
      </c>
    </row>
    <row r="1100" spans="1:3" ht="15.75" customHeight="1" x14ac:dyDescent="0.35">
      <c r="A1100" s="1">
        <v>1099</v>
      </c>
      <c r="B1100" s="1">
        <v>2</v>
      </c>
      <c r="C1100" s="1" t="s">
        <v>1178</v>
      </c>
    </row>
    <row r="1101" spans="1:3" ht="15.75" customHeight="1" x14ac:dyDescent="0.35">
      <c r="A1101" s="1">
        <v>1100</v>
      </c>
      <c r="B1101" s="1">
        <v>1</v>
      </c>
      <c r="C1101" s="1" t="s">
        <v>1179</v>
      </c>
    </row>
    <row r="1102" spans="1:3" ht="15.75" customHeight="1" x14ac:dyDescent="0.35">
      <c r="A1102" s="1">
        <v>1101</v>
      </c>
      <c r="B1102" s="1">
        <v>6</v>
      </c>
      <c r="C1102" s="1" t="s">
        <v>1180</v>
      </c>
    </row>
    <row r="1103" spans="1:3" ht="15.75" customHeight="1" x14ac:dyDescent="0.35">
      <c r="A1103" s="1">
        <v>1102</v>
      </c>
      <c r="B1103" s="1">
        <v>10</v>
      </c>
      <c r="C1103" s="1" t="s">
        <v>1181</v>
      </c>
    </row>
    <row r="1104" spans="1:3" ht="15.75" customHeight="1" x14ac:dyDescent="0.35">
      <c r="A1104" s="1">
        <v>1103</v>
      </c>
      <c r="B1104" s="1">
        <v>7</v>
      </c>
      <c r="C1104" s="1" t="s">
        <v>1182</v>
      </c>
    </row>
    <row r="1105" spans="1:3" ht="15.75" customHeight="1" x14ac:dyDescent="0.35">
      <c r="A1105" s="1">
        <v>1104</v>
      </c>
      <c r="B1105" s="1">
        <v>14</v>
      </c>
      <c r="C1105" s="1" t="s">
        <v>1183</v>
      </c>
    </row>
    <row r="1106" spans="1:3" ht="15.75" customHeight="1" x14ac:dyDescent="0.35">
      <c r="A1106" s="1">
        <v>1105</v>
      </c>
      <c r="B1106" s="1">
        <v>4</v>
      </c>
      <c r="C1106" s="1" t="s">
        <v>1184</v>
      </c>
    </row>
    <row r="1107" spans="1:3" ht="15.75" customHeight="1" x14ac:dyDescent="0.35">
      <c r="A1107" s="1">
        <v>1106</v>
      </c>
      <c r="B1107" s="1">
        <v>13</v>
      </c>
      <c r="C1107" s="1" t="s">
        <v>1185</v>
      </c>
    </row>
    <row r="1108" spans="1:3" ht="15.75" customHeight="1" x14ac:dyDescent="0.35">
      <c r="A1108" s="1">
        <v>1107</v>
      </c>
      <c r="B1108" s="1">
        <v>13</v>
      </c>
      <c r="C1108" s="1" t="s">
        <v>1186</v>
      </c>
    </row>
    <row r="1109" spans="1:3" ht="15.75" customHeight="1" x14ac:dyDescent="0.35">
      <c r="A1109" s="1">
        <v>1108</v>
      </c>
      <c r="B1109" s="1">
        <v>13</v>
      </c>
      <c r="C1109" s="1" t="s">
        <v>1187</v>
      </c>
    </row>
    <row r="1110" spans="1:3" ht="15.75" customHeight="1" x14ac:dyDescent="0.35">
      <c r="A1110" s="1">
        <v>1109</v>
      </c>
      <c r="B1110" s="1">
        <v>14</v>
      </c>
      <c r="C1110" s="1" t="s">
        <v>1188</v>
      </c>
    </row>
    <row r="1111" spans="1:3" ht="15.75" customHeight="1" x14ac:dyDescent="0.35">
      <c r="A1111" s="1">
        <v>1110</v>
      </c>
      <c r="B1111" s="1">
        <v>11</v>
      </c>
      <c r="C1111" s="1" t="s">
        <v>1189</v>
      </c>
    </row>
    <row r="1112" spans="1:3" ht="15.75" customHeight="1" x14ac:dyDescent="0.35">
      <c r="A1112" s="1">
        <v>1111</v>
      </c>
      <c r="B1112" s="1">
        <v>4</v>
      </c>
      <c r="C1112" s="1" t="s">
        <v>1190</v>
      </c>
    </row>
    <row r="1113" spans="1:3" ht="15.75" customHeight="1" x14ac:dyDescent="0.35">
      <c r="A1113" s="1">
        <v>1112</v>
      </c>
      <c r="B1113" s="1">
        <v>10</v>
      </c>
      <c r="C1113" s="1" t="s">
        <v>1191</v>
      </c>
    </row>
    <row r="1114" spans="1:3" ht="15.75" customHeight="1" x14ac:dyDescent="0.35">
      <c r="A1114" s="1">
        <v>1113</v>
      </c>
      <c r="B1114" s="1">
        <v>1</v>
      </c>
      <c r="C1114" s="1" t="s">
        <v>1192</v>
      </c>
    </row>
    <row r="1115" spans="1:3" ht="15.75" customHeight="1" x14ac:dyDescent="0.35">
      <c r="A1115" s="1">
        <v>1114</v>
      </c>
      <c r="B1115" s="1">
        <v>10</v>
      </c>
      <c r="C1115" s="1" t="s">
        <v>1193</v>
      </c>
    </row>
    <row r="1116" spans="1:3" ht="15.75" customHeight="1" x14ac:dyDescent="0.35">
      <c r="A1116" s="1">
        <v>1115</v>
      </c>
      <c r="B1116" s="1">
        <v>3</v>
      </c>
      <c r="C1116" s="1" t="s">
        <v>1194</v>
      </c>
    </row>
    <row r="1117" spans="1:3" ht="15.75" customHeight="1" x14ac:dyDescent="0.35">
      <c r="A1117" s="1">
        <v>1116</v>
      </c>
      <c r="B1117" s="1">
        <v>11</v>
      </c>
      <c r="C1117" s="1" t="s">
        <v>1195</v>
      </c>
    </row>
    <row r="1118" spans="1:3" ht="15.75" customHeight="1" x14ac:dyDescent="0.35">
      <c r="A1118" s="1">
        <v>1117</v>
      </c>
      <c r="B1118" s="1">
        <v>6</v>
      </c>
      <c r="C1118" s="1" t="s">
        <v>1196</v>
      </c>
    </row>
    <row r="1119" spans="1:3" ht="15.75" customHeight="1" x14ac:dyDescent="0.35">
      <c r="A1119" s="1">
        <v>1118</v>
      </c>
      <c r="B1119" s="1">
        <v>4</v>
      </c>
      <c r="C1119" s="1" t="s">
        <v>1197</v>
      </c>
    </row>
    <row r="1120" spans="1:3" ht="15.75" customHeight="1" x14ac:dyDescent="0.35">
      <c r="A1120" s="1">
        <v>1119</v>
      </c>
      <c r="B1120" s="1">
        <v>3</v>
      </c>
      <c r="C1120" s="1" t="s">
        <v>1198</v>
      </c>
    </row>
    <row r="1121" spans="1:3" ht="15.75" customHeight="1" x14ac:dyDescent="0.35">
      <c r="A1121" s="1">
        <v>1120</v>
      </c>
      <c r="B1121" s="1">
        <v>14</v>
      </c>
      <c r="C1121" s="1" t="s">
        <v>1199</v>
      </c>
    </row>
    <row r="1122" spans="1:3" ht="15.75" customHeight="1" x14ac:dyDescent="0.35">
      <c r="A1122" s="1">
        <v>1121</v>
      </c>
      <c r="B1122" s="1">
        <v>10</v>
      </c>
      <c r="C1122" s="1" t="s">
        <v>1200</v>
      </c>
    </row>
    <row r="1123" spans="1:3" ht="15.75" customHeight="1" x14ac:dyDescent="0.35">
      <c r="A1123" s="1">
        <v>1122</v>
      </c>
      <c r="B1123" s="1">
        <v>2</v>
      </c>
      <c r="C1123" s="1" t="s">
        <v>1201</v>
      </c>
    </row>
    <row r="1124" spans="1:3" ht="15.75" customHeight="1" x14ac:dyDescent="0.35">
      <c r="A1124" s="1">
        <v>1123</v>
      </c>
      <c r="B1124" s="1">
        <v>5</v>
      </c>
      <c r="C1124" s="1" t="s">
        <v>1202</v>
      </c>
    </row>
    <row r="1125" spans="1:3" ht="15.75" customHeight="1" x14ac:dyDescent="0.35">
      <c r="A1125" s="1">
        <v>1124</v>
      </c>
      <c r="B1125" s="1">
        <v>7</v>
      </c>
      <c r="C1125" s="1" t="s">
        <v>1203</v>
      </c>
    </row>
    <row r="1126" spans="1:3" ht="15.75" customHeight="1" x14ac:dyDescent="0.35">
      <c r="A1126" s="1">
        <v>1125</v>
      </c>
      <c r="B1126" s="1">
        <v>4</v>
      </c>
      <c r="C1126" s="1" t="s">
        <v>1204</v>
      </c>
    </row>
    <row r="1127" spans="1:3" ht="15.75" customHeight="1" x14ac:dyDescent="0.35">
      <c r="A1127" s="1">
        <v>1126</v>
      </c>
      <c r="B1127" s="1">
        <v>14</v>
      </c>
      <c r="C1127" s="1" t="s">
        <v>1205</v>
      </c>
    </row>
    <row r="1128" spans="1:3" ht="15.75" customHeight="1" x14ac:dyDescent="0.35">
      <c r="A1128" s="1">
        <v>1127</v>
      </c>
      <c r="B1128" s="1">
        <v>4</v>
      </c>
      <c r="C1128" s="1" t="s">
        <v>1206</v>
      </c>
    </row>
    <row r="1129" spans="1:3" ht="15.75" customHeight="1" x14ac:dyDescent="0.35">
      <c r="A1129" s="1">
        <v>1128</v>
      </c>
      <c r="B1129" s="1">
        <v>8</v>
      </c>
      <c r="C1129" s="1" t="s">
        <v>1207</v>
      </c>
    </row>
    <row r="1130" spans="1:3" ht="15.75" customHeight="1" x14ac:dyDescent="0.35">
      <c r="A1130" s="1">
        <v>1129</v>
      </c>
      <c r="B1130" s="1">
        <v>5</v>
      </c>
      <c r="C1130" s="1" t="s">
        <v>1208</v>
      </c>
    </row>
    <row r="1131" spans="1:3" ht="15.75" customHeight="1" x14ac:dyDescent="0.35">
      <c r="A1131" s="1">
        <v>1130</v>
      </c>
      <c r="B1131" s="1">
        <v>1</v>
      </c>
      <c r="C1131" s="1" t="s">
        <v>1209</v>
      </c>
    </row>
    <row r="1132" spans="1:3" ht="15.75" customHeight="1" x14ac:dyDescent="0.35">
      <c r="A1132" s="1">
        <v>1131</v>
      </c>
      <c r="B1132" s="1">
        <v>10</v>
      </c>
      <c r="C1132" s="1" t="s">
        <v>1210</v>
      </c>
    </row>
    <row r="1133" spans="1:3" ht="15.75" customHeight="1" x14ac:dyDescent="0.35">
      <c r="A1133" s="1">
        <v>1132</v>
      </c>
      <c r="B1133" s="1">
        <v>7</v>
      </c>
      <c r="C1133" s="1" t="s">
        <v>1211</v>
      </c>
    </row>
    <row r="1134" spans="1:3" ht="15.75" customHeight="1" x14ac:dyDescent="0.35">
      <c r="A1134" s="1">
        <v>1133</v>
      </c>
      <c r="B1134" s="1">
        <v>2</v>
      </c>
      <c r="C1134" s="1" t="s">
        <v>1212</v>
      </c>
    </row>
    <row r="1135" spans="1:3" ht="15.75" customHeight="1" x14ac:dyDescent="0.35">
      <c r="A1135" s="1">
        <v>1134</v>
      </c>
      <c r="B1135" s="1">
        <v>14</v>
      </c>
      <c r="C1135" s="1" t="s">
        <v>1213</v>
      </c>
    </row>
    <row r="1136" spans="1:3" ht="15.75" customHeight="1" x14ac:dyDescent="0.35">
      <c r="A1136" s="1">
        <v>1135</v>
      </c>
      <c r="B1136" s="1">
        <v>4</v>
      </c>
      <c r="C1136" s="1" t="s">
        <v>1214</v>
      </c>
    </row>
    <row r="1137" spans="1:3" ht="15.75" customHeight="1" x14ac:dyDescent="0.35">
      <c r="A1137" s="1">
        <v>1136</v>
      </c>
      <c r="B1137" s="1">
        <v>8</v>
      </c>
      <c r="C1137" s="1" t="s">
        <v>1215</v>
      </c>
    </row>
    <row r="1138" spans="1:3" ht="15.75" customHeight="1" x14ac:dyDescent="0.35">
      <c r="A1138" s="1">
        <v>1137</v>
      </c>
      <c r="B1138" s="1">
        <v>11</v>
      </c>
      <c r="C1138" s="1" t="s">
        <v>1216</v>
      </c>
    </row>
    <row r="1139" spans="1:3" ht="15.75" customHeight="1" x14ac:dyDescent="0.35">
      <c r="A1139" s="1">
        <v>1138</v>
      </c>
      <c r="B1139" s="1">
        <v>8</v>
      </c>
      <c r="C1139" s="1" t="s">
        <v>1217</v>
      </c>
    </row>
    <row r="1140" spans="1:3" ht="15.75" customHeight="1" x14ac:dyDescent="0.35">
      <c r="A1140" s="1">
        <v>1139</v>
      </c>
      <c r="B1140" s="1">
        <v>7</v>
      </c>
      <c r="C1140" s="1" t="s">
        <v>1218</v>
      </c>
    </row>
    <row r="1141" spans="1:3" ht="15.75" customHeight="1" x14ac:dyDescent="0.35">
      <c r="A1141" s="1">
        <v>1140</v>
      </c>
      <c r="B1141" s="1">
        <v>2</v>
      </c>
      <c r="C1141" s="1" t="s">
        <v>1219</v>
      </c>
    </row>
    <row r="1142" spans="1:3" ht="15.75" customHeight="1" x14ac:dyDescent="0.35">
      <c r="A1142" s="1">
        <v>1141</v>
      </c>
      <c r="B1142" s="1">
        <v>2</v>
      </c>
      <c r="C1142" s="1" t="s">
        <v>1220</v>
      </c>
    </row>
    <row r="1143" spans="1:3" ht="15.75" customHeight="1" x14ac:dyDescent="0.35">
      <c r="A1143" s="1">
        <v>1142</v>
      </c>
      <c r="B1143" s="1">
        <v>1</v>
      </c>
      <c r="C1143" s="1" t="s">
        <v>1221</v>
      </c>
    </row>
    <row r="1144" spans="1:3" ht="15.75" customHeight="1" x14ac:dyDescent="0.35">
      <c r="A1144" s="1">
        <v>1143</v>
      </c>
      <c r="B1144" s="1">
        <v>13</v>
      </c>
      <c r="C1144" s="1" t="s">
        <v>1222</v>
      </c>
    </row>
    <row r="1145" spans="1:3" ht="15.75" customHeight="1" x14ac:dyDescent="0.35">
      <c r="A1145" s="1">
        <v>1144</v>
      </c>
      <c r="B1145" s="1">
        <v>5</v>
      </c>
      <c r="C1145" s="1" t="s">
        <v>1223</v>
      </c>
    </row>
    <row r="1146" spans="1:3" ht="15.75" customHeight="1" x14ac:dyDescent="0.35">
      <c r="A1146" s="1">
        <v>1145</v>
      </c>
      <c r="B1146" s="1">
        <v>13</v>
      </c>
      <c r="C1146" s="1" t="s">
        <v>1224</v>
      </c>
    </row>
    <row r="1147" spans="1:3" ht="15.75" customHeight="1" x14ac:dyDescent="0.35">
      <c r="A1147" s="1">
        <v>1146</v>
      </c>
      <c r="B1147" s="1">
        <v>15</v>
      </c>
      <c r="C1147" s="1" t="s">
        <v>1225</v>
      </c>
    </row>
    <row r="1148" spans="1:3" ht="15.75" customHeight="1" x14ac:dyDescent="0.35">
      <c r="A1148" s="1">
        <v>1147</v>
      </c>
      <c r="B1148" s="1">
        <v>10</v>
      </c>
      <c r="C1148" s="1" t="s">
        <v>1226</v>
      </c>
    </row>
    <row r="1149" spans="1:3" ht="15.75" customHeight="1" x14ac:dyDescent="0.35">
      <c r="A1149" s="1">
        <v>1148</v>
      </c>
      <c r="B1149" s="1">
        <v>1</v>
      </c>
      <c r="C1149" s="1" t="s">
        <v>1227</v>
      </c>
    </row>
    <row r="1150" spans="1:3" ht="15.75" customHeight="1" x14ac:dyDescent="0.35">
      <c r="A1150" s="1">
        <v>1149</v>
      </c>
      <c r="B1150" s="1">
        <v>14</v>
      </c>
      <c r="C1150" s="1" t="s">
        <v>1228</v>
      </c>
    </row>
    <row r="1151" spans="1:3" ht="15.75" customHeight="1" x14ac:dyDescent="0.35">
      <c r="A1151" s="1">
        <v>1150</v>
      </c>
      <c r="B1151" s="1">
        <v>14</v>
      </c>
      <c r="C1151" s="1" t="s">
        <v>1229</v>
      </c>
    </row>
    <row r="1152" spans="1:3" ht="15.75" customHeight="1" x14ac:dyDescent="0.35">
      <c r="A1152" s="1">
        <v>1151</v>
      </c>
      <c r="B1152" s="1">
        <v>5</v>
      </c>
      <c r="C1152" s="1" t="s">
        <v>1230</v>
      </c>
    </row>
    <row r="1153" spans="1:3" ht="15.75" customHeight="1" x14ac:dyDescent="0.35">
      <c r="A1153" s="1">
        <v>1152</v>
      </c>
      <c r="B1153" s="1">
        <v>10</v>
      </c>
      <c r="C1153" s="1" t="s">
        <v>1231</v>
      </c>
    </row>
    <row r="1154" spans="1:3" ht="15.75" customHeight="1" x14ac:dyDescent="0.35">
      <c r="A1154" s="1">
        <v>1153</v>
      </c>
      <c r="B1154" s="1">
        <v>5</v>
      </c>
      <c r="C1154" s="1" t="s">
        <v>1232</v>
      </c>
    </row>
    <row r="1155" spans="1:3" ht="15.75" customHeight="1" x14ac:dyDescent="0.35">
      <c r="A1155" s="1">
        <v>1154</v>
      </c>
      <c r="B1155" s="1">
        <v>3</v>
      </c>
      <c r="C1155" s="1" t="s">
        <v>1233</v>
      </c>
    </row>
    <row r="1156" spans="1:3" ht="15.75" customHeight="1" x14ac:dyDescent="0.35">
      <c r="A1156" s="1">
        <v>1155</v>
      </c>
      <c r="B1156" s="1">
        <v>4</v>
      </c>
      <c r="C1156" s="1" t="s">
        <v>1234</v>
      </c>
    </row>
    <row r="1157" spans="1:3" ht="15.75" customHeight="1" x14ac:dyDescent="0.35">
      <c r="A1157" s="1">
        <v>1156</v>
      </c>
      <c r="B1157" s="1">
        <v>1</v>
      </c>
      <c r="C1157" s="1" t="s">
        <v>1235</v>
      </c>
    </row>
    <row r="1158" spans="1:3" ht="15.75" customHeight="1" x14ac:dyDescent="0.35">
      <c r="A1158" s="1">
        <v>1157</v>
      </c>
      <c r="B1158" s="1">
        <v>9</v>
      </c>
      <c r="C1158" s="1" t="s">
        <v>1236</v>
      </c>
    </row>
    <row r="1159" spans="1:3" ht="15.75" customHeight="1" x14ac:dyDescent="0.35">
      <c r="A1159" s="1">
        <v>1158</v>
      </c>
      <c r="B1159" s="1">
        <v>15</v>
      </c>
      <c r="C1159" s="1" t="s">
        <v>1237</v>
      </c>
    </row>
    <row r="1160" spans="1:3" ht="15.75" customHeight="1" x14ac:dyDescent="0.35">
      <c r="A1160" s="1">
        <v>1159</v>
      </c>
      <c r="B1160" s="1">
        <v>11</v>
      </c>
      <c r="C1160" s="1" t="s">
        <v>1238</v>
      </c>
    </row>
    <row r="1161" spans="1:3" ht="15.75" customHeight="1" x14ac:dyDescent="0.35">
      <c r="A1161" s="1">
        <v>1160</v>
      </c>
      <c r="B1161" s="1">
        <v>2</v>
      </c>
      <c r="C1161" s="1" t="s">
        <v>1239</v>
      </c>
    </row>
    <row r="1162" spans="1:3" ht="15.75" customHeight="1" x14ac:dyDescent="0.35">
      <c r="A1162" s="1">
        <v>1161</v>
      </c>
      <c r="B1162" s="1">
        <v>5</v>
      </c>
      <c r="C1162" s="1" t="s">
        <v>1240</v>
      </c>
    </row>
    <row r="1163" spans="1:3" ht="15.75" customHeight="1" x14ac:dyDescent="0.35">
      <c r="A1163" s="1">
        <v>1162</v>
      </c>
      <c r="B1163" s="1">
        <v>12</v>
      </c>
      <c r="C1163" s="1" t="s">
        <v>1241</v>
      </c>
    </row>
    <row r="1164" spans="1:3" ht="15.75" customHeight="1" x14ac:dyDescent="0.35">
      <c r="A1164" s="1">
        <v>1163</v>
      </c>
      <c r="B1164" s="1">
        <v>8</v>
      </c>
      <c r="C1164" s="1" t="s">
        <v>1242</v>
      </c>
    </row>
    <row r="1165" spans="1:3" ht="15.75" customHeight="1" x14ac:dyDescent="0.35">
      <c r="A1165" s="1">
        <v>1164</v>
      </c>
      <c r="B1165" s="1">
        <v>15</v>
      </c>
      <c r="C1165" s="1" t="s">
        <v>1243</v>
      </c>
    </row>
    <row r="1166" spans="1:3" ht="15.75" customHeight="1" x14ac:dyDescent="0.35">
      <c r="A1166" s="1">
        <v>1165</v>
      </c>
      <c r="B1166" s="1">
        <v>8</v>
      </c>
      <c r="C1166" s="1" t="s">
        <v>1244</v>
      </c>
    </row>
    <row r="1167" spans="1:3" ht="15.75" customHeight="1" x14ac:dyDescent="0.35">
      <c r="A1167" s="1">
        <v>1166</v>
      </c>
      <c r="B1167" s="1">
        <v>3</v>
      </c>
      <c r="C1167" s="1" t="s">
        <v>1245</v>
      </c>
    </row>
    <row r="1168" spans="1:3" ht="15.75" customHeight="1" x14ac:dyDescent="0.35">
      <c r="A1168" s="1">
        <v>1167</v>
      </c>
      <c r="B1168" s="1">
        <v>5</v>
      </c>
      <c r="C1168" s="1" t="s">
        <v>1246</v>
      </c>
    </row>
    <row r="1169" spans="1:3" ht="15.75" customHeight="1" x14ac:dyDescent="0.35">
      <c r="A1169" s="1">
        <v>1168</v>
      </c>
      <c r="B1169" s="1">
        <v>14</v>
      </c>
      <c r="C1169" s="1" t="s">
        <v>1247</v>
      </c>
    </row>
    <row r="1170" spans="1:3" ht="15.75" customHeight="1" x14ac:dyDescent="0.35">
      <c r="A1170" s="1">
        <v>1169</v>
      </c>
      <c r="B1170" s="1">
        <v>7</v>
      </c>
      <c r="C1170" s="1" t="s">
        <v>1248</v>
      </c>
    </row>
    <row r="1171" spans="1:3" ht="15.75" customHeight="1" x14ac:dyDescent="0.35">
      <c r="A1171" s="1">
        <v>1170</v>
      </c>
      <c r="B1171" s="1">
        <v>3</v>
      </c>
      <c r="C1171" s="1" t="s">
        <v>1249</v>
      </c>
    </row>
    <row r="1172" spans="1:3" ht="15.75" customHeight="1" x14ac:dyDescent="0.35">
      <c r="A1172" s="1">
        <v>1171</v>
      </c>
      <c r="B1172" s="1">
        <v>3</v>
      </c>
      <c r="C1172" s="1" t="s">
        <v>1250</v>
      </c>
    </row>
    <row r="1173" spans="1:3" ht="15.75" customHeight="1" x14ac:dyDescent="0.35">
      <c r="A1173" s="1">
        <v>1172</v>
      </c>
      <c r="B1173" s="1">
        <v>12</v>
      </c>
      <c r="C1173" s="1" t="s">
        <v>1251</v>
      </c>
    </row>
    <row r="1174" spans="1:3" ht="15.75" customHeight="1" x14ac:dyDescent="0.35">
      <c r="A1174" s="1">
        <v>1173</v>
      </c>
      <c r="B1174" s="1">
        <v>11</v>
      </c>
      <c r="C1174" s="1" t="s">
        <v>1252</v>
      </c>
    </row>
    <row r="1175" spans="1:3" ht="15.75" customHeight="1" x14ac:dyDescent="0.35">
      <c r="A1175" s="1">
        <v>1174</v>
      </c>
      <c r="B1175" s="1">
        <v>9</v>
      </c>
      <c r="C1175" s="1" t="s">
        <v>1253</v>
      </c>
    </row>
    <row r="1176" spans="1:3" ht="15.75" customHeight="1" x14ac:dyDescent="0.35">
      <c r="A1176" s="1">
        <v>1175</v>
      </c>
      <c r="B1176" s="1">
        <v>6</v>
      </c>
      <c r="C1176" s="1" t="s">
        <v>1254</v>
      </c>
    </row>
    <row r="1177" spans="1:3" ht="15.75" customHeight="1" x14ac:dyDescent="0.35">
      <c r="A1177" s="1">
        <v>1176</v>
      </c>
      <c r="B1177" s="1">
        <v>10</v>
      </c>
      <c r="C1177" s="1" t="s">
        <v>1255</v>
      </c>
    </row>
    <row r="1178" spans="1:3" ht="15.75" customHeight="1" x14ac:dyDescent="0.35">
      <c r="A1178" s="1">
        <v>1177</v>
      </c>
      <c r="B1178" s="1">
        <v>7</v>
      </c>
      <c r="C1178" s="1" t="s">
        <v>1256</v>
      </c>
    </row>
    <row r="1179" spans="1:3" ht="15.75" customHeight="1" x14ac:dyDescent="0.35">
      <c r="A1179" s="1">
        <v>1178</v>
      </c>
      <c r="B1179" s="1">
        <v>13</v>
      </c>
      <c r="C1179" s="1" t="s">
        <v>1257</v>
      </c>
    </row>
    <row r="1180" spans="1:3" ht="15.75" customHeight="1" x14ac:dyDescent="0.35">
      <c r="A1180" s="1">
        <v>1179</v>
      </c>
      <c r="B1180" s="1">
        <v>8</v>
      </c>
      <c r="C1180" s="1" t="s">
        <v>1258</v>
      </c>
    </row>
    <row r="1181" spans="1:3" ht="15.75" customHeight="1" x14ac:dyDescent="0.35">
      <c r="A1181" s="1">
        <v>1180</v>
      </c>
      <c r="B1181" s="1">
        <v>1</v>
      </c>
      <c r="C1181" s="1" t="s">
        <v>1259</v>
      </c>
    </row>
    <row r="1182" spans="1:3" ht="15.75" customHeight="1" x14ac:dyDescent="0.35">
      <c r="A1182" s="1">
        <v>1181</v>
      </c>
      <c r="B1182" s="1">
        <v>3</v>
      </c>
      <c r="C1182" s="1" t="s">
        <v>1260</v>
      </c>
    </row>
    <row r="1183" spans="1:3" ht="15.75" customHeight="1" x14ac:dyDescent="0.35">
      <c r="A1183" s="1">
        <v>1182</v>
      </c>
      <c r="B1183" s="1">
        <v>8</v>
      </c>
      <c r="C1183" s="1" t="s">
        <v>1261</v>
      </c>
    </row>
    <row r="1184" spans="1:3" ht="15.75" customHeight="1" x14ac:dyDescent="0.35">
      <c r="A1184" s="1">
        <v>1183</v>
      </c>
      <c r="B1184" s="1">
        <v>9</v>
      </c>
      <c r="C1184" s="1" t="s">
        <v>1262</v>
      </c>
    </row>
    <row r="1185" spans="1:3" ht="15.75" customHeight="1" x14ac:dyDescent="0.35">
      <c r="A1185" s="1">
        <v>1184</v>
      </c>
      <c r="B1185" s="1">
        <v>2</v>
      </c>
      <c r="C1185" s="1" t="s">
        <v>1263</v>
      </c>
    </row>
    <row r="1186" spans="1:3" ht="15.75" customHeight="1" x14ac:dyDescent="0.35">
      <c r="A1186" s="1">
        <v>1185</v>
      </c>
      <c r="B1186" s="1">
        <v>15</v>
      </c>
      <c r="C1186" s="1" t="s">
        <v>1264</v>
      </c>
    </row>
    <row r="1187" spans="1:3" ht="15.75" customHeight="1" x14ac:dyDescent="0.35">
      <c r="A1187" s="1">
        <v>1186</v>
      </c>
      <c r="B1187" s="1">
        <v>7</v>
      </c>
      <c r="C1187" s="1" t="s">
        <v>1265</v>
      </c>
    </row>
    <row r="1188" spans="1:3" ht="15.75" customHeight="1" x14ac:dyDescent="0.35">
      <c r="A1188" s="1">
        <v>1187</v>
      </c>
      <c r="B1188" s="1">
        <v>2</v>
      </c>
      <c r="C1188" s="1" t="s">
        <v>1266</v>
      </c>
    </row>
    <row r="1189" spans="1:3" ht="15.75" customHeight="1" x14ac:dyDescent="0.35">
      <c r="A1189" s="1">
        <v>1188</v>
      </c>
      <c r="B1189" s="1">
        <v>4</v>
      </c>
      <c r="C1189" s="1" t="s">
        <v>1267</v>
      </c>
    </row>
    <row r="1190" spans="1:3" ht="15.75" customHeight="1" x14ac:dyDescent="0.35">
      <c r="A1190" s="1">
        <v>1189</v>
      </c>
      <c r="B1190" s="1">
        <v>13</v>
      </c>
      <c r="C1190" s="1" t="s">
        <v>1268</v>
      </c>
    </row>
    <row r="1191" spans="1:3" ht="15.75" customHeight="1" x14ac:dyDescent="0.35">
      <c r="A1191" s="1">
        <v>1190</v>
      </c>
      <c r="B1191" s="1">
        <v>10</v>
      </c>
      <c r="C1191" s="1" t="s">
        <v>1269</v>
      </c>
    </row>
    <row r="1192" spans="1:3" ht="15.75" customHeight="1" x14ac:dyDescent="0.35">
      <c r="A1192" s="1">
        <v>1191</v>
      </c>
      <c r="B1192" s="1">
        <v>10</v>
      </c>
      <c r="C1192" s="1" t="s">
        <v>1270</v>
      </c>
    </row>
    <row r="1193" spans="1:3" ht="15.75" customHeight="1" x14ac:dyDescent="0.35">
      <c r="A1193" s="1">
        <v>1192</v>
      </c>
      <c r="B1193" s="1">
        <v>5</v>
      </c>
      <c r="C1193" s="1" t="s">
        <v>1271</v>
      </c>
    </row>
    <row r="1194" spans="1:3" ht="15.75" customHeight="1" x14ac:dyDescent="0.35">
      <c r="A1194" s="1">
        <v>1193</v>
      </c>
      <c r="B1194" s="1">
        <v>14</v>
      </c>
      <c r="C1194" s="1" t="s">
        <v>1272</v>
      </c>
    </row>
    <row r="1195" spans="1:3" ht="15.75" customHeight="1" x14ac:dyDescent="0.35">
      <c r="A1195" s="1">
        <v>1194</v>
      </c>
      <c r="B1195" s="1">
        <v>11</v>
      </c>
      <c r="C1195" s="1" t="s">
        <v>1273</v>
      </c>
    </row>
    <row r="1196" spans="1:3" ht="15.75" customHeight="1" x14ac:dyDescent="0.35">
      <c r="A1196" s="1">
        <v>1195</v>
      </c>
      <c r="B1196" s="1">
        <v>12</v>
      </c>
      <c r="C1196" s="1" t="s">
        <v>1274</v>
      </c>
    </row>
    <row r="1197" spans="1:3" ht="15.75" customHeight="1" x14ac:dyDescent="0.35">
      <c r="A1197" s="1">
        <v>1196</v>
      </c>
      <c r="B1197" s="1">
        <v>10</v>
      </c>
      <c r="C1197" s="1" t="s">
        <v>1275</v>
      </c>
    </row>
    <row r="1198" spans="1:3" ht="15.75" customHeight="1" x14ac:dyDescent="0.35">
      <c r="A1198" s="1">
        <v>1197</v>
      </c>
      <c r="B1198" s="1">
        <v>12</v>
      </c>
      <c r="C1198" s="1" t="s">
        <v>1276</v>
      </c>
    </row>
    <row r="1199" spans="1:3" ht="15.75" customHeight="1" x14ac:dyDescent="0.35">
      <c r="A1199" s="1">
        <v>1198</v>
      </c>
      <c r="B1199" s="1">
        <v>7</v>
      </c>
      <c r="C1199" s="1" t="s">
        <v>1277</v>
      </c>
    </row>
    <row r="1200" spans="1:3" ht="15.75" customHeight="1" x14ac:dyDescent="0.35">
      <c r="A1200" s="1">
        <v>1199</v>
      </c>
      <c r="B1200" s="1">
        <v>9</v>
      </c>
      <c r="C1200" s="1" t="s">
        <v>1278</v>
      </c>
    </row>
    <row r="1201" spans="1:3" ht="15.75" customHeight="1" x14ac:dyDescent="0.35">
      <c r="A1201" s="1">
        <v>1200</v>
      </c>
      <c r="B1201" s="1">
        <v>10</v>
      </c>
      <c r="C1201" s="1" t="s">
        <v>1279</v>
      </c>
    </row>
    <row r="1202" spans="1:3" ht="15.75" customHeight="1" x14ac:dyDescent="0.35">
      <c r="A1202" s="1">
        <v>1201</v>
      </c>
      <c r="B1202" s="1">
        <v>8</v>
      </c>
      <c r="C1202" s="1" t="s">
        <v>1280</v>
      </c>
    </row>
    <row r="1203" spans="1:3" ht="15.75" customHeight="1" x14ac:dyDescent="0.35">
      <c r="A1203" s="1">
        <v>1202</v>
      </c>
      <c r="B1203" s="1">
        <v>1</v>
      </c>
      <c r="C1203" s="1" t="s">
        <v>1281</v>
      </c>
    </row>
    <row r="1204" spans="1:3" ht="15.75" customHeight="1" x14ac:dyDescent="0.35">
      <c r="A1204" s="1">
        <v>1203</v>
      </c>
      <c r="B1204" s="1">
        <v>15</v>
      </c>
      <c r="C1204" s="1" t="s">
        <v>1282</v>
      </c>
    </row>
    <row r="1205" spans="1:3" ht="15.75" customHeight="1" x14ac:dyDescent="0.35">
      <c r="A1205" s="1">
        <v>1204</v>
      </c>
      <c r="B1205" s="1">
        <v>1</v>
      </c>
      <c r="C1205" s="1" t="s">
        <v>1283</v>
      </c>
    </row>
    <row r="1206" spans="1:3" ht="15.75" customHeight="1" x14ac:dyDescent="0.35">
      <c r="A1206" s="1">
        <v>1205</v>
      </c>
      <c r="B1206" s="1">
        <v>7</v>
      </c>
      <c r="C1206" s="1" t="s">
        <v>1284</v>
      </c>
    </row>
    <row r="1207" spans="1:3" ht="15.75" customHeight="1" x14ac:dyDescent="0.35">
      <c r="A1207" s="1">
        <v>1206</v>
      </c>
      <c r="B1207" s="1">
        <v>15</v>
      </c>
      <c r="C1207" s="1" t="s">
        <v>1285</v>
      </c>
    </row>
    <row r="1208" spans="1:3" ht="15.75" customHeight="1" x14ac:dyDescent="0.35">
      <c r="A1208" s="1">
        <v>1207</v>
      </c>
      <c r="B1208" s="1">
        <v>10</v>
      </c>
      <c r="C1208" s="1" t="s">
        <v>1286</v>
      </c>
    </row>
    <row r="1209" spans="1:3" ht="15.75" customHeight="1" x14ac:dyDescent="0.35">
      <c r="A1209" s="1">
        <v>1208</v>
      </c>
      <c r="B1209" s="1">
        <v>3</v>
      </c>
      <c r="C1209" s="1" t="s">
        <v>1287</v>
      </c>
    </row>
    <row r="1210" spans="1:3" ht="15.75" customHeight="1" x14ac:dyDescent="0.35">
      <c r="A1210" s="1">
        <v>1209</v>
      </c>
      <c r="B1210" s="1">
        <v>14</v>
      </c>
      <c r="C1210" s="1" t="s">
        <v>1288</v>
      </c>
    </row>
    <row r="1211" spans="1:3" ht="15.75" customHeight="1" x14ac:dyDescent="0.35">
      <c r="A1211" s="1">
        <v>1210</v>
      </c>
      <c r="B1211" s="1">
        <v>11</v>
      </c>
      <c r="C1211" s="1" t="s">
        <v>1289</v>
      </c>
    </row>
    <row r="1212" spans="1:3" ht="15.75" customHeight="1" x14ac:dyDescent="0.35">
      <c r="A1212" s="1">
        <v>1211</v>
      </c>
      <c r="B1212" s="1">
        <v>7</v>
      </c>
      <c r="C1212" s="1" t="s">
        <v>1290</v>
      </c>
    </row>
    <row r="1213" spans="1:3" ht="15.75" customHeight="1" x14ac:dyDescent="0.35">
      <c r="A1213" s="1">
        <v>1212</v>
      </c>
      <c r="B1213" s="1">
        <v>13</v>
      </c>
      <c r="C1213" s="1" t="s">
        <v>1291</v>
      </c>
    </row>
    <row r="1214" spans="1:3" ht="15.75" customHeight="1" x14ac:dyDescent="0.35">
      <c r="A1214" s="1">
        <v>1213</v>
      </c>
      <c r="B1214" s="1">
        <v>1</v>
      </c>
      <c r="C1214" s="1" t="s">
        <v>1292</v>
      </c>
    </row>
    <row r="1215" spans="1:3" ht="15.75" customHeight="1" x14ac:dyDescent="0.35">
      <c r="A1215" s="1">
        <v>1214</v>
      </c>
      <c r="B1215" s="1">
        <v>5</v>
      </c>
      <c r="C1215" s="1" t="s">
        <v>1293</v>
      </c>
    </row>
    <row r="1216" spans="1:3" ht="15.75" customHeight="1" x14ac:dyDescent="0.35">
      <c r="A1216" s="1">
        <v>1215</v>
      </c>
      <c r="B1216" s="1">
        <v>11</v>
      </c>
      <c r="C1216" s="1" t="s">
        <v>1294</v>
      </c>
    </row>
    <row r="1217" spans="1:3" ht="15.75" customHeight="1" x14ac:dyDescent="0.35">
      <c r="A1217" s="1">
        <v>1216</v>
      </c>
      <c r="B1217" s="1">
        <v>3</v>
      </c>
      <c r="C1217" s="1" t="s">
        <v>1295</v>
      </c>
    </row>
    <row r="1218" spans="1:3" ht="15.75" customHeight="1" x14ac:dyDescent="0.35">
      <c r="A1218" s="1">
        <v>1217</v>
      </c>
      <c r="B1218" s="1">
        <v>4</v>
      </c>
      <c r="C1218" s="1" t="s">
        <v>1296</v>
      </c>
    </row>
    <row r="1219" spans="1:3" ht="15.75" customHeight="1" x14ac:dyDescent="0.35">
      <c r="A1219" s="1">
        <v>1218</v>
      </c>
      <c r="B1219" s="1">
        <v>8</v>
      </c>
      <c r="C1219" s="1" t="s">
        <v>1297</v>
      </c>
    </row>
    <row r="1220" spans="1:3" ht="15.75" customHeight="1" x14ac:dyDescent="0.35">
      <c r="A1220" s="1">
        <v>1219</v>
      </c>
      <c r="B1220" s="1">
        <v>1</v>
      </c>
      <c r="C1220" s="1" t="s">
        <v>1298</v>
      </c>
    </row>
    <row r="1221" spans="1:3" ht="15.75" customHeight="1" x14ac:dyDescent="0.35">
      <c r="A1221" s="1">
        <v>1220</v>
      </c>
      <c r="B1221" s="1">
        <v>12</v>
      </c>
      <c r="C1221" s="1" t="s">
        <v>1299</v>
      </c>
    </row>
    <row r="1222" spans="1:3" ht="15.75" customHeight="1" x14ac:dyDescent="0.35">
      <c r="A1222" s="1">
        <v>1221</v>
      </c>
      <c r="B1222" s="1">
        <v>15</v>
      </c>
      <c r="C1222" s="1" t="s">
        <v>1300</v>
      </c>
    </row>
    <row r="1223" spans="1:3" ht="15.75" customHeight="1" x14ac:dyDescent="0.35">
      <c r="A1223" s="1">
        <v>1222</v>
      </c>
      <c r="B1223" s="1">
        <v>9</v>
      </c>
      <c r="C1223" s="1" t="s">
        <v>1301</v>
      </c>
    </row>
    <row r="1224" spans="1:3" ht="15.75" customHeight="1" x14ac:dyDescent="0.35">
      <c r="A1224" s="1">
        <v>1223</v>
      </c>
      <c r="B1224" s="1">
        <v>10</v>
      </c>
      <c r="C1224" s="1" t="s">
        <v>1302</v>
      </c>
    </row>
    <row r="1225" spans="1:3" ht="15.75" customHeight="1" x14ac:dyDescent="0.35">
      <c r="A1225" s="1">
        <v>1224</v>
      </c>
      <c r="B1225" s="1">
        <v>13</v>
      </c>
      <c r="C1225" s="1" t="s">
        <v>1303</v>
      </c>
    </row>
    <row r="1226" spans="1:3" ht="15.75" customHeight="1" x14ac:dyDescent="0.35">
      <c r="A1226" s="1">
        <v>1225</v>
      </c>
      <c r="B1226" s="1">
        <v>6</v>
      </c>
      <c r="C1226" s="1" t="s">
        <v>1304</v>
      </c>
    </row>
    <row r="1227" spans="1:3" ht="15.75" customHeight="1" x14ac:dyDescent="0.35">
      <c r="A1227" s="1">
        <v>1226</v>
      </c>
      <c r="B1227" s="1">
        <v>8</v>
      </c>
      <c r="C1227" s="1" t="s">
        <v>1305</v>
      </c>
    </row>
    <row r="1228" spans="1:3" ht="15.75" customHeight="1" x14ac:dyDescent="0.35">
      <c r="A1228" s="1">
        <v>1227</v>
      </c>
      <c r="B1228" s="1">
        <v>10</v>
      </c>
      <c r="C1228" s="1" t="s">
        <v>1306</v>
      </c>
    </row>
    <row r="1229" spans="1:3" ht="15.75" customHeight="1" x14ac:dyDescent="0.35">
      <c r="A1229" s="1">
        <v>1228</v>
      </c>
      <c r="B1229" s="1">
        <v>15</v>
      </c>
      <c r="C1229" s="1" t="s">
        <v>1307</v>
      </c>
    </row>
    <row r="1230" spans="1:3" ht="15.75" customHeight="1" x14ac:dyDescent="0.35">
      <c r="A1230" s="1">
        <v>1229</v>
      </c>
      <c r="B1230" s="1">
        <v>10</v>
      </c>
      <c r="C1230" s="1" t="s">
        <v>1308</v>
      </c>
    </row>
    <row r="1231" spans="1:3" ht="15.75" customHeight="1" x14ac:dyDescent="0.35">
      <c r="A1231" s="1">
        <v>1230</v>
      </c>
      <c r="B1231" s="1">
        <v>14</v>
      </c>
      <c r="C1231" s="1" t="s">
        <v>1309</v>
      </c>
    </row>
    <row r="1232" spans="1:3" ht="15.75" customHeight="1" x14ac:dyDescent="0.35">
      <c r="A1232" s="1">
        <v>1231</v>
      </c>
      <c r="B1232" s="1">
        <v>15</v>
      </c>
      <c r="C1232" s="1" t="s">
        <v>1310</v>
      </c>
    </row>
    <row r="1233" spans="1:3" ht="15.75" customHeight="1" x14ac:dyDescent="0.35">
      <c r="A1233" s="1">
        <v>1232</v>
      </c>
      <c r="B1233" s="1">
        <v>13</v>
      </c>
      <c r="C1233" s="1" t="s">
        <v>1311</v>
      </c>
    </row>
    <row r="1234" spans="1:3" ht="15.75" customHeight="1" x14ac:dyDescent="0.35">
      <c r="A1234" s="1">
        <v>1233</v>
      </c>
      <c r="B1234" s="1">
        <v>7</v>
      </c>
      <c r="C1234" s="1" t="s">
        <v>1312</v>
      </c>
    </row>
    <row r="1235" spans="1:3" ht="15.75" customHeight="1" x14ac:dyDescent="0.35">
      <c r="A1235" s="1">
        <v>1234</v>
      </c>
      <c r="B1235" s="1">
        <v>15</v>
      </c>
      <c r="C1235" s="1" t="s">
        <v>1312</v>
      </c>
    </row>
    <row r="1236" spans="1:3" ht="15.75" customHeight="1" x14ac:dyDescent="0.35">
      <c r="A1236" s="1">
        <v>1235</v>
      </c>
      <c r="B1236" s="1">
        <v>13</v>
      </c>
      <c r="C1236" s="1" t="s">
        <v>1313</v>
      </c>
    </row>
    <row r="1237" spans="1:3" ht="15.75" customHeight="1" x14ac:dyDescent="0.35">
      <c r="A1237" s="1">
        <v>1236</v>
      </c>
      <c r="B1237" s="1">
        <v>3</v>
      </c>
      <c r="C1237" s="1" t="s">
        <v>1314</v>
      </c>
    </row>
    <row r="1238" spans="1:3" ht="15.75" customHeight="1" x14ac:dyDescent="0.35">
      <c r="A1238" s="1">
        <v>1237</v>
      </c>
      <c r="B1238" s="1">
        <v>4</v>
      </c>
      <c r="C1238" s="1" t="s">
        <v>1315</v>
      </c>
    </row>
    <row r="1239" spans="1:3" ht="15.75" customHeight="1" x14ac:dyDescent="0.35">
      <c r="A1239" s="1">
        <v>1238</v>
      </c>
      <c r="B1239" s="1">
        <v>10</v>
      </c>
      <c r="C1239" s="1" t="s">
        <v>1316</v>
      </c>
    </row>
    <row r="1240" spans="1:3" ht="15.75" customHeight="1" x14ac:dyDescent="0.35">
      <c r="A1240" s="1">
        <v>1239</v>
      </c>
      <c r="B1240" s="1">
        <v>6</v>
      </c>
      <c r="C1240" s="1" t="s">
        <v>1317</v>
      </c>
    </row>
    <row r="1241" spans="1:3" ht="15.75" customHeight="1" x14ac:dyDescent="0.35">
      <c r="A1241" s="1">
        <v>1240</v>
      </c>
      <c r="B1241" s="1">
        <v>2</v>
      </c>
      <c r="C1241" s="1" t="s">
        <v>1318</v>
      </c>
    </row>
    <row r="1242" spans="1:3" ht="15.75" customHeight="1" x14ac:dyDescent="0.35">
      <c r="A1242" s="1">
        <v>1241</v>
      </c>
      <c r="B1242" s="1">
        <v>6</v>
      </c>
      <c r="C1242" s="1" t="s">
        <v>1319</v>
      </c>
    </row>
    <row r="1243" spans="1:3" ht="15.75" customHeight="1" x14ac:dyDescent="0.35">
      <c r="A1243" s="1">
        <v>1242</v>
      </c>
      <c r="B1243" s="1">
        <v>10</v>
      </c>
      <c r="C1243" s="1" t="s">
        <v>1320</v>
      </c>
    </row>
    <row r="1244" spans="1:3" ht="15.75" customHeight="1" x14ac:dyDescent="0.35">
      <c r="A1244" s="1">
        <v>1243</v>
      </c>
      <c r="B1244" s="1">
        <v>14</v>
      </c>
      <c r="C1244" s="1" t="s">
        <v>1321</v>
      </c>
    </row>
    <row r="1245" spans="1:3" ht="15.75" customHeight="1" x14ac:dyDescent="0.35">
      <c r="A1245" s="1">
        <v>1244</v>
      </c>
      <c r="B1245" s="1">
        <v>2</v>
      </c>
      <c r="C1245" s="1" t="s">
        <v>1322</v>
      </c>
    </row>
    <row r="1246" spans="1:3" ht="15.75" customHeight="1" x14ac:dyDescent="0.35">
      <c r="A1246" s="1">
        <v>1245</v>
      </c>
      <c r="B1246" s="1">
        <v>11</v>
      </c>
      <c r="C1246" s="1" t="s">
        <v>1323</v>
      </c>
    </row>
    <row r="1247" spans="1:3" ht="15.75" customHeight="1" x14ac:dyDescent="0.35">
      <c r="A1247" s="1">
        <v>1246</v>
      </c>
      <c r="B1247" s="1">
        <v>14</v>
      </c>
      <c r="C1247" s="1" t="s">
        <v>1324</v>
      </c>
    </row>
    <row r="1248" spans="1:3" ht="15.75" customHeight="1" x14ac:dyDescent="0.35">
      <c r="A1248" s="1">
        <v>1247</v>
      </c>
      <c r="B1248" s="1">
        <v>15</v>
      </c>
      <c r="C1248" s="1" t="s">
        <v>1325</v>
      </c>
    </row>
    <row r="1249" spans="1:3" ht="15.75" customHeight="1" x14ac:dyDescent="0.35">
      <c r="A1249" s="1">
        <v>1248</v>
      </c>
      <c r="B1249" s="1">
        <v>4</v>
      </c>
      <c r="C1249" s="1" t="s">
        <v>1326</v>
      </c>
    </row>
    <row r="1250" spans="1:3" ht="15.75" customHeight="1" x14ac:dyDescent="0.35">
      <c r="A1250" s="1">
        <v>1249</v>
      </c>
      <c r="B1250" s="1">
        <v>3</v>
      </c>
      <c r="C1250" s="1" t="s">
        <v>1327</v>
      </c>
    </row>
    <row r="1251" spans="1:3" ht="15.75" customHeight="1" x14ac:dyDescent="0.35">
      <c r="A1251" s="1">
        <v>1250</v>
      </c>
      <c r="B1251" s="1">
        <v>12</v>
      </c>
      <c r="C1251" s="1" t="s">
        <v>1328</v>
      </c>
    </row>
    <row r="1252" spans="1:3" ht="15.75" customHeight="1" x14ac:dyDescent="0.35">
      <c r="A1252" s="1">
        <v>1251</v>
      </c>
      <c r="B1252" s="1">
        <v>8</v>
      </c>
      <c r="C1252" s="1" t="s">
        <v>1329</v>
      </c>
    </row>
    <row r="1253" spans="1:3" ht="15.75" customHeight="1" x14ac:dyDescent="0.35">
      <c r="A1253" s="1">
        <v>1252</v>
      </c>
      <c r="B1253" s="1">
        <v>6</v>
      </c>
      <c r="C1253" s="1" t="s">
        <v>1330</v>
      </c>
    </row>
    <row r="1254" spans="1:3" ht="15.75" customHeight="1" x14ac:dyDescent="0.35">
      <c r="A1254" s="1">
        <v>1253</v>
      </c>
      <c r="B1254" s="1">
        <v>10</v>
      </c>
      <c r="C1254" s="1" t="s">
        <v>1331</v>
      </c>
    </row>
    <row r="1255" spans="1:3" ht="15.75" customHeight="1" x14ac:dyDescent="0.35">
      <c r="A1255" s="1">
        <v>1254</v>
      </c>
      <c r="B1255" s="1">
        <v>9</v>
      </c>
      <c r="C1255" s="1" t="s">
        <v>1332</v>
      </c>
    </row>
    <row r="1256" spans="1:3" ht="15.75" customHeight="1" x14ac:dyDescent="0.35">
      <c r="A1256" s="1">
        <v>1255</v>
      </c>
      <c r="B1256" s="1">
        <v>14</v>
      </c>
      <c r="C1256" s="1" t="s">
        <v>1333</v>
      </c>
    </row>
    <row r="1257" spans="1:3" ht="15.75" customHeight="1" x14ac:dyDescent="0.35">
      <c r="A1257" s="1">
        <v>1256</v>
      </c>
      <c r="B1257" s="1">
        <v>10</v>
      </c>
      <c r="C1257" s="1" t="s">
        <v>1334</v>
      </c>
    </row>
    <row r="1258" spans="1:3" ht="15.75" customHeight="1" x14ac:dyDescent="0.35">
      <c r="A1258" s="1">
        <v>1257</v>
      </c>
      <c r="B1258" s="1">
        <v>4</v>
      </c>
      <c r="C1258" s="1" t="s">
        <v>1335</v>
      </c>
    </row>
    <row r="1259" spans="1:3" ht="15.75" customHeight="1" x14ac:dyDescent="0.35">
      <c r="A1259" s="1">
        <v>1258</v>
      </c>
      <c r="B1259" s="1">
        <v>6</v>
      </c>
      <c r="C1259" s="1" t="s">
        <v>1336</v>
      </c>
    </row>
    <row r="1260" spans="1:3" ht="15.75" customHeight="1" x14ac:dyDescent="0.35">
      <c r="A1260" s="1">
        <v>1259</v>
      </c>
      <c r="B1260" s="1">
        <v>5</v>
      </c>
      <c r="C1260" s="1" t="s">
        <v>1337</v>
      </c>
    </row>
    <row r="1261" spans="1:3" ht="15.75" customHeight="1" x14ac:dyDescent="0.35">
      <c r="A1261" s="1">
        <v>1260</v>
      </c>
      <c r="B1261" s="1">
        <v>6</v>
      </c>
      <c r="C1261" s="1" t="s">
        <v>1338</v>
      </c>
    </row>
    <row r="1262" spans="1:3" ht="15.75" customHeight="1" x14ac:dyDescent="0.35">
      <c r="A1262" s="1">
        <v>1261</v>
      </c>
      <c r="B1262" s="1">
        <v>12</v>
      </c>
      <c r="C1262" s="1" t="s">
        <v>1339</v>
      </c>
    </row>
    <row r="1263" spans="1:3" ht="15.75" customHeight="1" x14ac:dyDescent="0.35">
      <c r="A1263" s="1">
        <v>1262</v>
      </c>
      <c r="B1263" s="1">
        <v>1</v>
      </c>
      <c r="C1263" s="1" t="s">
        <v>1340</v>
      </c>
    </row>
    <row r="1264" spans="1:3" ht="15.75" customHeight="1" x14ac:dyDescent="0.35">
      <c r="A1264" s="1">
        <v>1263</v>
      </c>
      <c r="B1264" s="1">
        <v>8</v>
      </c>
      <c r="C1264" s="1" t="s">
        <v>1341</v>
      </c>
    </row>
    <row r="1265" spans="1:3" ht="15.75" customHeight="1" x14ac:dyDescent="0.35">
      <c r="A1265" s="1">
        <v>1264</v>
      </c>
      <c r="B1265" s="1">
        <v>8</v>
      </c>
      <c r="C1265" s="1" t="s">
        <v>1342</v>
      </c>
    </row>
    <row r="1266" spans="1:3" ht="15.75" customHeight="1" x14ac:dyDescent="0.35">
      <c r="A1266" s="1">
        <v>1265</v>
      </c>
      <c r="B1266" s="1">
        <v>6</v>
      </c>
      <c r="C1266" s="1" t="s">
        <v>1343</v>
      </c>
    </row>
    <row r="1267" spans="1:3" ht="15.75" customHeight="1" x14ac:dyDescent="0.35">
      <c r="A1267" s="1">
        <v>1266</v>
      </c>
      <c r="B1267" s="1">
        <v>13</v>
      </c>
      <c r="C1267" s="1" t="s">
        <v>1344</v>
      </c>
    </row>
    <row r="1268" spans="1:3" ht="15.75" customHeight="1" x14ac:dyDescent="0.35">
      <c r="A1268" s="1">
        <v>1267</v>
      </c>
      <c r="B1268" s="1">
        <v>5</v>
      </c>
      <c r="C1268" s="1" t="s">
        <v>1345</v>
      </c>
    </row>
    <row r="1269" spans="1:3" ht="15.75" customHeight="1" x14ac:dyDescent="0.35">
      <c r="A1269" s="1">
        <v>1268</v>
      </c>
      <c r="B1269" s="1">
        <v>3</v>
      </c>
      <c r="C1269" s="1" t="s">
        <v>1346</v>
      </c>
    </row>
    <row r="1270" spans="1:3" ht="15.75" customHeight="1" x14ac:dyDescent="0.35">
      <c r="A1270" s="1">
        <v>1269</v>
      </c>
      <c r="B1270" s="1">
        <v>2</v>
      </c>
      <c r="C1270" s="1" t="s">
        <v>1347</v>
      </c>
    </row>
    <row r="1271" spans="1:3" ht="15.75" customHeight="1" x14ac:dyDescent="0.35">
      <c r="A1271" s="1">
        <v>1270</v>
      </c>
      <c r="B1271" s="1">
        <v>12</v>
      </c>
      <c r="C1271" s="1" t="s">
        <v>1348</v>
      </c>
    </row>
    <row r="1272" spans="1:3" ht="15.75" customHeight="1" x14ac:dyDescent="0.35">
      <c r="A1272" s="1">
        <v>1271</v>
      </c>
      <c r="B1272" s="1">
        <v>5</v>
      </c>
      <c r="C1272" s="1" t="s">
        <v>1349</v>
      </c>
    </row>
    <row r="1273" spans="1:3" ht="15.75" customHeight="1" x14ac:dyDescent="0.35">
      <c r="A1273" s="1">
        <v>1272</v>
      </c>
      <c r="B1273" s="1">
        <v>15</v>
      </c>
      <c r="C1273" s="1" t="s">
        <v>1350</v>
      </c>
    </row>
    <row r="1274" spans="1:3" ht="15.75" customHeight="1" x14ac:dyDescent="0.35">
      <c r="A1274" s="1">
        <v>1273</v>
      </c>
      <c r="B1274" s="1">
        <v>5</v>
      </c>
      <c r="C1274" s="1" t="s">
        <v>1351</v>
      </c>
    </row>
    <row r="1275" spans="1:3" ht="15.75" customHeight="1" x14ac:dyDescent="0.35">
      <c r="A1275" s="1">
        <v>1274</v>
      </c>
      <c r="B1275" s="1">
        <v>15</v>
      </c>
      <c r="C1275" s="1" t="s">
        <v>1352</v>
      </c>
    </row>
    <row r="1276" spans="1:3" ht="15.75" customHeight="1" x14ac:dyDescent="0.35">
      <c r="A1276" s="1">
        <v>1275</v>
      </c>
      <c r="B1276" s="1">
        <v>10</v>
      </c>
      <c r="C1276" s="1" t="s">
        <v>1353</v>
      </c>
    </row>
    <row r="1277" spans="1:3" ht="15.75" customHeight="1" x14ac:dyDescent="0.35">
      <c r="A1277" s="1">
        <v>1276</v>
      </c>
      <c r="B1277" s="1">
        <v>12</v>
      </c>
      <c r="C1277" s="1" t="s">
        <v>1354</v>
      </c>
    </row>
    <row r="1278" spans="1:3" ht="15.75" customHeight="1" x14ac:dyDescent="0.35">
      <c r="A1278" s="1">
        <v>1277</v>
      </c>
      <c r="B1278" s="1">
        <v>14</v>
      </c>
      <c r="C1278" s="1" t="s">
        <v>1355</v>
      </c>
    </row>
    <row r="1279" spans="1:3" ht="15.75" customHeight="1" x14ac:dyDescent="0.35">
      <c r="A1279" s="1">
        <v>1278</v>
      </c>
      <c r="B1279" s="1">
        <v>5</v>
      </c>
      <c r="C1279" s="1" t="s">
        <v>1356</v>
      </c>
    </row>
    <row r="1280" spans="1:3" ht="15.75" customHeight="1" x14ac:dyDescent="0.35">
      <c r="A1280" s="1">
        <v>1279</v>
      </c>
      <c r="B1280" s="1">
        <v>3</v>
      </c>
      <c r="C1280" s="1" t="s">
        <v>1357</v>
      </c>
    </row>
    <row r="1281" spans="1:3" ht="15.75" customHeight="1" x14ac:dyDescent="0.35">
      <c r="A1281" s="1">
        <v>1280</v>
      </c>
      <c r="B1281" s="1">
        <v>9</v>
      </c>
      <c r="C1281" s="1" t="s">
        <v>1358</v>
      </c>
    </row>
    <row r="1282" spans="1:3" ht="15.75" customHeight="1" x14ac:dyDescent="0.35">
      <c r="A1282" s="1">
        <v>1281</v>
      </c>
      <c r="B1282" s="1">
        <v>1</v>
      </c>
      <c r="C1282" s="1" t="s">
        <v>1359</v>
      </c>
    </row>
    <row r="1283" spans="1:3" ht="15.75" customHeight="1" x14ac:dyDescent="0.35">
      <c r="A1283" s="1">
        <v>1282</v>
      </c>
      <c r="B1283" s="1">
        <v>9</v>
      </c>
      <c r="C1283" s="1" t="s">
        <v>1360</v>
      </c>
    </row>
    <row r="1284" spans="1:3" ht="15.75" customHeight="1" x14ac:dyDescent="0.35">
      <c r="A1284" s="1">
        <v>1283</v>
      </c>
      <c r="B1284" s="1">
        <v>14</v>
      </c>
      <c r="C1284" s="1" t="s">
        <v>1361</v>
      </c>
    </row>
    <row r="1285" spans="1:3" ht="15.75" customHeight="1" x14ac:dyDescent="0.35">
      <c r="A1285" s="1">
        <v>1284</v>
      </c>
      <c r="B1285" s="1">
        <v>7</v>
      </c>
      <c r="C1285" s="1" t="s">
        <v>1362</v>
      </c>
    </row>
    <row r="1286" spans="1:3" ht="15.75" customHeight="1" x14ac:dyDescent="0.35">
      <c r="A1286" s="1">
        <v>1285</v>
      </c>
      <c r="B1286" s="1">
        <v>14</v>
      </c>
      <c r="C1286" s="1" t="s">
        <v>1363</v>
      </c>
    </row>
    <row r="1287" spans="1:3" ht="15.75" customHeight="1" x14ac:dyDescent="0.35">
      <c r="A1287" s="1">
        <v>1286</v>
      </c>
      <c r="B1287" s="1">
        <v>4</v>
      </c>
      <c r="C1287" s="1" t="s">
        <v>1364</v>
      </c>
    </row>
    <row r="1288" spans="1:3" ht="15.75" customHeight="1" x14ac:dyDescent="0.35">
      <c r="A1288" s="1">
        <v>1287</v>
      </c>
      <c r="B1288" s="1">
        <v>15</v>
      </c>
      <c r="C1288" s="1" t="s">
        <v>1365</v>
      </c>
    </row>
    <row r="1289" spans="1:3" ht="15.75" customHeight="1" x14ac:dyDescent="0.35">
      <c r="A1289" s="1">
        <v>1288</v>
      </c>
      <c r="B1289" s="1">
        <v>10</v>
      </c>
      <c r="C1289" s="1" t="s">
        <v>1366</v>
      </c>
    </row>
    <row r="1290" spans="1:3" ht="15.75" customHeight="1" x14ac:dyDescent="0.35">
      <c r="A1290" s="1">
        <v>1289</v>
      </c>
      <c r="B1290" s="1">
        <v>13</v>
      </c>
      <c r="C1290" s="1" t="s">
        <v>1367</v>
      </c>
    </row>
    <row r="1291" spans="1:3" ht="15.75" customHeight="1" x14ac:dyDescent="0.35">
      <c r="A1291" s="1">
        <v>1290</v>
      </c>
      <c r="B1291" s="1">
        <v>3</v>
      </c>
      <c r="C1291" s="1" t="s">
        <v>1368</v>
      </c>
    </row>
    <row r="1292" spans="1:3" ht="15.75" customHeight="1" x14ac:dyDescent="0.35">
      <c r="A1292" s="1">
        <v>1291</v>
      </c>
      <c r="B1292" s="1">
        <v>14</v>
      </c>
      <c r="C1292" s="1" t="s">
        <v>1369</v>
      </c>
    </row>
    <row r="1293" spans="1:3" ht="15.75" customHeight="1" x14ac:dyDescent="0.35">
      <c r="A1293" s="1">
        <v>1292</v>
      </c>
      <c r="B1293" s="1">
        <v>9</v>
      </c>
      <c r="C1293" s="1" t="s">
        <v>1370</v>
      </c>
    </row>
    <row r="1294" spans="1:3" ht="15.75" customHeight="1" x14ac:dyDescent="0.35">
      <c r="A1294" s="1">
        <v>1293</v>
      </c>
      <c r="B1294" s="1">
        <v>7</v>
      </c>
      <c r="C1294" s="1" t="s">
        <v>1371</v>
      </c>
    </row>
    <row r="1295" spans="1:3" ht="15.75" customHeight="1" x14ac:dyDescent="0.35">
      <c r="A1295" s="1">
        <v>1294</v>
      </c>
      <c r="B1295" s="1">
        <v>8</v>
      </c>
      <c r="C1295" s="1" t="s">
        <v>1372</v>
      </c>
    </row>
    <row r="1296" spans="1:3" ht="15.75" customHeight="1" x14ac:dyDescent="0.35">
      <c r="A1296" s="1">
        <v>1295</v>
      </c>
      <c r="B1296" s="1">
        <v>11</v>
      </c>
      <c r="C1296" s="1" t="s">
        <v>1373</v>
      </c>
    </row>
    <row r="1297" spans="1:3" ht="15.75" customHeight="1" x14ac:dyDescent="0.35">
      <c r="A1297" s="1">
        <v>1296</v>
      </c>
      <c r="B1297" s="1">
        <v>12</v>
      </c>
      <c r="C1297" s="1" t="s">
        <v>1374</v>
      </c>
    </row>
    <row r="1298" spans="1:3" ht="15.75" customHeight="1" x14ac:dyDescent="0.35">
      <c r="A1298" s="1">
        <v>1297</v>
      </c>
      <c r="B1298" s="1">
        <v>9</v>
      </c>
      <c r="C1298" s="1" t="s">
        <v>1375</v>
      </c>
    </row>
    <row r="1299" spans="1:3" ht="15.75" customHeight="1" x14ac:dyDescent="0.35">
      <c r="A1299" s="1">
        <v>1298</v>
      </c>
      <c r="B1299" s="1">
        <v>2</v>
      </c>
      <c r="C1299" s="1" t="s">
        <v>1376</v>
      </c>
    </row>
    <row r="1300" spans="1:3" ht="15.75" customHeight="1" x14ac:dyDescent="0.35">
      <c r="A1300" s="1">
        <v>1299</v>
      </c>
      <c r="B1300" s="1">
        <v>9</v>
      </c>
      <c r="C1300" s="1" t="s">
        <v>1377</v>
      </c>
    </row>
    <row r="1301" spans="1:3" ht="15.75" customHeight="1" x14ac:dyDescent="0.35">
      <c r="A1301" s="1">
        <v>1300</v>
      </c>
      <c r="B1301" s="1">
        <v>1</v>
      </c>
      <c r="C1301" s="1" t="s">
        <v>1378</v>
      </c>
    </row>
    <row r="1302" spans="1:3" ht="15.75" customHeight="1" x14ac:dyDescent="0.35">
      <c r="A1302" s="1">
        <v>1301</v>
      </c>
      <c r="B1302" s="1">
        <v>9</v>
      </c>
      <c r="C1302" s="1" t="s">
        <v>1379</v>
      </c>
    </row>
    <row r="1303" spans="1:3" ht="15.75" customHeight="1" x14ac:dyDescent="0.35">
      <c r="A1303" s="1">
        <v>1302</v>
      </c>
      <c r="B1303" s="1">
        <v>14</v>
      </c>
      <c r="C1303" s="1" t="s">
        <v>1380</v>
      </c>
    </row>
    <row r="1304" spans="1:3" ht="15.75" customHeight="1" x14ac:dyDescent="0.35">
      <c r="A1304" s="1">
        <v>1303</v>
      </c>
      <c r="B1304" s="1">
        <v>8</v>
      </c>
      <c r="C1304" s="1" t="s">
        <v>1381</v>
      </c>
    </row>
    <row r="1305" spans="1:3" ht="15.75" customHeight="1" x14ac:dyDescent="0.35">
      <c r="A1305" s="1">
        <v>1304</v>
      </c>
      <c r="B1305" s="1">
        <v>13</v>
      </c>
      <c r="C1305" s="1" t="s">
        <v>1382</v>
      </c>
    </row>
    <row r="1306" spans="1:3" ht="15.75" customHeight="1" x14ac:dyDescent="0.35">
      <c r="A1306" s="1">
        <v>1305</v>
      </c>
      <c r="B1306" s="1">
        <v>15</v>
      </c>
      <c r="C1306" s="1" t="s">
        <v>1383</v>
      </c>
    </row>
    <row r="1307" spans="1:3" ht="15.75" customHeight="1" x14ac:dyDescent="0.35">
      <c r="A1307" s="1">
        <v>1306</v>
      </c>
      <c r="B1307" s="1">
        <v>14</v>
      </c>
      <c r="C1307" s="1" t="s">
        <v>1384</v>
      </c>
    </row>
    <row r="1308" spans="1:3" ht="15.75" customHeight="1" x14ac:dyDescent="0.35">
      <c r="A1308" s="1">
        <v>1307</v>
      </c>
      <c r="B1308" s="1">
        <v>7</v>
      </c>
      <c r="C1308" s="1" t="s">
        <v>1385</v>
      </c>
    </row>
    <row r="1309" spans="1:3" ht="15.75" customHeight="1" x14ac:dyDescent="0.35">
      <c r="A1309" s="1">
        <v>1308</v>
      </c>
      <c r="B1309" s="1">
        <v>11</v>
      </c>
      <c r="C1309" s="1" t="s">
        <v>1386</v>
      </c>
    </row>
    <row r="1310" spans="1:3" ht="15.75" customHeight="1" x14ac:dyDescent="0.35">
      <c r="A1310" s="1">
        <v>1309</v>
      </c>
      <c r="B1310" s="1">
        <v>6</v>
      </c>
      <c r="C1310" s="1" t="s">
        <v>1387</v>
      </c>
    </row>
    <row r="1311" spans="1:3" ht="15.75" customHeight="1" x14ac:dyDescent="0.35">
      <c r="A1311" s="1">
        <v>1310</v>
      </c>
      <c r="B1311" s="1">
        <v>7</v>
      </c>
      <c r="C1311" s="1" t="s">
        <v>1388</v>
      </c>
    </row>
    <row r="1312" spans="1:3" ht="15.75" customHeight="1" x14ac:dyDescent="0.35">
      <c r="A1312" s="1">
        <v>1311</v>
      </c>
      <c r="B1312" s="1">
        <v>13</v>
      </c>
      <c r="C1312" s="1" t="s">
        <v>1389</v>
      </c>
    </row>
    <row r="1313" spans="1:3" ht="15.75" customHeight="1" x14ac:dyDescent="0.35">
      <c r="A1313" s="1">
        <v>1312</v>
      </c>
      <c r="B1313" s="1">
        <v>15</v>
      </c>
      <c r="C1313" s="1" t="s">
        <v>1390</v>
      </c>
    </row>
    <row r="1314" spans="1:3" ht="15.75" customHeight="1" x14ac:dyDescent="0.35">
      <c r="A1314" s="1">
        <v>1313</v>
      </c>
      <c r="B1314" s="1">
        <v>14</v>
      </c>
      <c r="C1314" s="1" t="s">
        <v>1391</v>
      </c>
    </row>
    <row r="1315" spans="1:3" ht="15.75" customHeight="1" x14ac:dyDescent="0.35">
      <c r="A1315" s="1">
        <v>1314</v>
      </c>
      <c r="B1315" s="1">
        <v>11</v>
      </c>
      <c r="C1315" s="1" t="s">
        <v>1392</v>
      </c>
    </row>
    <row r="1316" spans="1:3" ht="15.75" customHeight="1" x14ac:dyDescent="0.35">
      <c r="A1316" s="1">
        <v>1315</v>
      </c>
      <c r="B1316" s="1">
        <v>2</v>
      </c>
      <c r="C1316" s="1" t="s">
        <v>1393</v>
      </c>
    </row>
    <row r="1317" spans="1:3" ht="15.75" customHeight="1" x14ac:dyDescent="0.35">
      <c r="A1317" s="1">
        <v>1316</v>
      </c>
      <c r="B1317" s="1">
        <v>9</v>
      </c>
      <c r="C1317" s="1" t="s">
        <v>1394</v>
      </c>
    </row>
    <row r="1318" spans="1:3" ht="15.75" customHeight="1" x14ac:dyDescent="0.35">
      <c r="A1318" s="1">
        <v>1317</v>
      </c>
      <c r="B1318" s="1">
        <v>13</v>
      </c>
      <c r="C1318" s="1" t="s">
        <v>1395</v>
      </c>
    </row>
    <row r="1319" spans="1:3" ht="15.75" customHeight="1" x14ac:dyDescent="0.35">
      <c r="A1319" s="1">
        <v>1318</v>
      </c>
      <c r="B1319" s="1">
        <v>2</v>
      </c>
      <c r="C1319" s="1" t="s">
        <v>1396</v>
      </c>
    </row>
    <row r="1320" spans="1:3" ht="15.75" customHeight="1" x14ac:dyDescent="0.35">
      <c r="A1320" s="1">
        <v>1319</v>
      </c>
      <c r="B1320" s="1">
        <v>14</v>
      </c>
      <c r="C1320" s="1" t="s">
        <v>1397</v>
      </c>
    </row>
    <row r="1321" spans="1:3" ht="15.75" customHeight="1" x14ac:dyDescent="0.35">
      <c r="A1321" s="1">
        <v>1320</v>
      </c>
      <c r="B1321" s="1">
        <v>15</v>
      </c>
      <c r="C1321" s="1" t="s">
        <v>1398</v>
      </c>
    </row>
    <row r="1322" spans="1:3" ht="15.75" customHeight="1" x14ac:dyDescent="0.35">
      <c r="A1322" s="1">
        <v>1321</v>
      </c>
      <c r="B1322" s="1">
        <v>15</v>
      </c>
      <c r="C1322" s="1" t="s">
        <v>1399</v>
      </c>
    </row>
    <row r="1323" spans="1:3" ht="15.75" customHeight="1" x14ac:dyDescent="0.35">
      <c r="A1323" s="1">
        <v>1322</v>
      </c>
      <c r="B1323" s="1">
        <v>10</v>
      </c>
      <c r="C1323" s="1" t="s">
        <v>1400</v>
      </c>
    </row>
    <row r="1324" spans="1:3" ht="15.75" customHeight="1" x14ac:dyDescent="0.35">
      <c r="A1324" s="1">
        <v>1323</v>
      </c>
      <c r="B1324" s="1">
        <v>10</v>
      </c>
      <c r="C1324" s="1" t="s">
        <v>1401</v>
      </c>
    </row>
    <row r="1325" spans="1:3" ht="15.75" customHeight="1" x14ac:dyDescent="0.35">
      <c r="A1325" s="1">
        <v>1324</v>
      </c>
      <c r="B1325" s="1">
        <v>4</v>
      </c>
      <c r="C1325" s="1" t="s">
        <v>1402</v>
      </c>
    </row>
    <row r="1326" spans="1:3" ht="15.75" customHeight="1" x14ac:dyDescent="0.35">
      <c r="A1326" s="1">
        <v>1325</v>
      </c>
      <c r="B1326" s="1">
        <v>3</v>
      </c>
      <c r="C1326" s="1" t="s">
        <v>1403</v>
      </c>
    </row>
    <row r="1327" spans="1:3" ht="15.75" customHeight="1" x14ac:dyDescent="0.35">
      <c r="A1327" s="1">
        <v>1326</v>
      </c>
      <c r="B1327" s="1">
        <v>7</v>
      </c>
      <c r="C1327" s="1" t="s">
        <v>1404</v>
      </c>
    </row>
    <row r="1328" spans="1:3" ht="15.75" customHeight="1" x14ac:dyDescent="0.35">
      <c r="A1328" s="1">
        <v>1327</v>
      </c>
      <c r="B1328" s="1">
        <v>1</v>
      </c>
      <c r="C1328" s="1" t="s">
        <v>1405</v>
      </c>
    </row>
    <row r="1329" spans="1:3" ht="15.75" customHeight="1" x14ac:dyDescent="0.35">
      <c r="A1329" s="1">
        <v>1328</v>
      </c>
      <c r="B1329" s="1">
        <v>5</v>
      </c>
      <c r="C1329" s="1" t="s">
        <v>1406</v>
      </c>
    </row>
    <row r="1330" spans="1:3" ht="15.75" customHeight="1" x14ac:dyDescent="0.35">
      <c r="A1330" s="1">
        <v>1329</v>
      </c>
      <c r="B1330" s="1">
        <v>6</v>
      </c>
      <c r="C1330" s="1" t="s">
        <v>1407</v>
      </c>
    </row>
    <row r="1331" spans="1:3" ht="15.75" customHeight="1" x14ac:dyDescent="0.35">
      <c r="A1331" s="1">
        <v>1330</v>
      </c>
      <c r="B1331" s="1">
        <v>8</v>
      </c>
      <c r="C1331" s="1" t="s">
        <v>1408</v>
      </c>
    </row>
    <row r="1332" spans="1:3" ht="15.75" customHeight="1" x14ac:dyDescent="0.35">
      <c r="A1332" s="1">
        <v>1331</v>
      </c>
      <c r="B1332" s="1">
        <v>5</v>
      </c>
      <c r="C1332" s="1" t="s">
        <v>1409</v>
      </c>
    </row>
    <row r="1333" spans="1:3" ht="15.75" customHeight="1" x14ac:dyDescent="0.35">
      <c r="A1333" s="1">
        <v>1332</v>
      </c>
      <c r="B1333" s="1">
        <v>12</v>
      </c>
      <c r="C1333" s="1" t="s">
        <v>1410</v>
      </c>
    </row>
    <row r="1334" spans="1:3" ht="15.75" customHeight="1" x14ac:dyDescent="0.35">
      <c r="A1334" s="1">
        <v>1333</v>
      </c>
      <c r="B1334" s="1">
        <v>6</v>
      </c>
      <c r="C1334" s="1" t="s">
        <v>1411</v>
      </c>
    </row>
    <row r="1335" spans="1:3" ht="15.75" customHeight="1" x14ac:dyDescent="0.35">
      <c r="A1335" s="1">
        <v>1334</v>
      </c>
      <c r="B1335" s="1">
        <v>12</v>
      </c>
      <c r="C1335" s="1" t="s">
        <v>1412</v>
      </c>
    </row>
    <row r="1336" spans="1:3" ht="15.75" customHeight="1" x14ac:dyDescent="0.35">
      <c r="A1336" s="1">
        <v>1335</v>
      </c>
      <c r="B1336" s="1">
        <v>5</v>
      </c>
      <c r="C1336" s="1" t="s">
        <v>1413</v>
      </c>
    </row>
    <row r="1337" spans="1:3" ht="15.75" customHeight="1" x14ac:dyDescent="0.35">
      <c r="A1337" s="1">
        <v>1336</v>
      </c>
      <c r="B1337" s="1">
        <v>8</v>
      </c>
      <c r="C1337" s="1" t="s">
        <v>1414</v>
      </c>
    </row>
    <row r="1338" spans="1:3" ht="15.75" customHeight="1" x14ac:dyDescent="0.35">
      <c r="A1338" s="1">
        <v>1337</v>
      </c>
      <c r="B1338" s="1">
        <v>14</v>
      </c>
      <c r="C1338" s="1" t="s">
        <v>1415</v>
      </c>
    </row>
    <row r="1339" spans="1:3" ht="15.75" customHeight="1" x14ac:dyDescent="0.35">
      <c r="A1339" s="1">
        <v>1338</v>
      </c>
      <c r="B1339" s="1">
        <v>3</v>
      </c>
      <c r="C1339" s="1" t="s">
        <v>1416</v>
      </c>
    </row>
    <row r="1340" spans="1:3" ht="15.75" customHeight="1" x14ac:dyDescent="0.35">
      <c r="A1340" s="1">
        <v>1339</v>
      </c>
      <c r="B1340" s="1">
        <v>1</v>
      </c>
      <c r="C1340" s="1" t="s">
        <v>1417</v>
      </c>
    </row>
    <row r="1341" spans="1:3" ht="15.75" customHeight="1" x14ac:dyDescent="0.35">
      <c r="A1341" s="1">
        <v>1340</v>
      </c>
      <c r="B1341" s="1">
        <v>11</v>
      </c>
      <c r="C1341" s="1" t="s">
        <v>1418</v>
      </c>
    </row>
    <row r="1342" spans="1:3" ht="15.75" customHeight="1" x14ac:dyDescent="0.35">
      <c r="A1342" s="1">
        <v>1341</v>
      </c>
      <c r="B1342" s="1">
        <v>1</v>
      </c>
      <c r="C1342" s="1" t="s">
        <v>1419</v>
      </c>
    </row>
    <row r="1343" spans="1:3" ht="15.75" customHeight="1" x14ac:dyDescent="0.35">
      <c r="A1343" s="1">
        <v>1342</v>
      </c>
      <c r="B1343" s="1">
        <v>6</v>
      </c>
      <c r="C1343" s="1" t="s">
        <v>1420</v>
      </c>
    </row>
    <row r="1344" spans="1:3" ht="15.75" customHeight="1" x14ac:dyDescent="0.35">
      <c r="A1344" s="1">
        <v>1343</v>
      </c>
      <c r="B1344" s="1">
        <v>1</v>
      </c>
      <c r="C1344" s="1" t="s">
        <v>1421</v>
      </c>
    </row>
    <row r="1345" spans="1:3" ht="15.75" customHeight="1" x14ac:dyDescent="0.35">
      <c r="A1345" s="1">
        <v>1344</v>
      </c>
      <c r="B1345" s="1">
        <v>12</v>
      </c>
      <c r="C1345" s="1" t="s">
        <v>1422</v>
      </c>
    </row>
    <row r="1346" spans="1:3" ht="15.75" customHeight="1" x14ac:dyDescent="0.35">
      <c r="A1346" s="1">
        <v>1345</v>
      </c>
      <c r="B1346" s="1">
        <v>3</v>
      </c>
      <c r="C1346" s="1" t="s">
        <v>1423</v>
      </c>
    </row>
    <row r="1347" spans="1:3" ht="15.75" customHeight="1" x14ac:dyDescent="0.35">
      <c r="A1347" s="1">
        <v>1346</v>
      </c>
      <c r="B1347" s="1">
        <v>10</v>
      </c>
      <c r="C1347" s="1" t="s">
        <v>1424</v>
      </c>
    </row>
    <row r="1348" spans="1:3" ht="15.75" customHeight="1" x14ac:dyDescent="0.35">
      <c r="A1348" s="1">
        <v>1347</v>
      </c>
      <c r="B1348" s="1">
        <v>11</v>
      </c>
      <c r="C1348" s="1" t="s">
        <v>1425</v>
      </c>
    </row>
    <row r="1349" spans="1:3" ht="15.75" customHeight="1" x14ac:dyDescent="0.35">
      <c r="A1349" s="1">
        <v>1348</v>
      </c>
      <c r="B1349" s="1">
        <v>8</v>
      </c>
      <c r="C1349" s="1" t="s">
        <v>1426</v>
      </c>
    </row>
    <row r="1350" spans="1:3" ht="15.75" customHeight="1" x14ac:dyDescent="0.35">
      <c r="A1350" s="1">
        <v>1349</v>
      </c>
      <c r="B1350" s="1">
        <v>2</v>
      </c>
      <c r="C1350" s="1" t="s">
        <v>1427</v>
      </c>
    </row>
    <row r="1351" spans="1:3" ht="15.75" customHeight="1" x14ac:dyDescent="0.35">
      <c r="A1351" s="1">
        <v>1350</v>
      </c>
      <c r="B1351" s="1">
        <v>1</v>
      </c>
      <c r="C1351" s="1" t="s">
        <v>1428</v>
      </c>
    </row>
    <row r="1352" spans="1:3" ht="15.75" customHeight="1" x14ac:dyDescent="0.35">
      <c r="A1352" s="1">
        <v>1351</v>
      </c>
      <c r="B1352" s="1">
        <v>13</v>
      </c>
      <c r="C1352" s="1" t="s">
        <v>1429</v>
      </c>
    </row>
    <row r="1353" spans="1:3" ht="15.75" customHeight="1" x14ac:dyDescent="0.35">
      <c r="A1353" s="1">
        <v>1352</v>
      </c>
      <c r="B1353" s="1">
        <v>8</v>
      </c>
      <c r="C1353" s="1" t="s">
        <v>1430</v>
      </c>
    </row>
    <row r="1354" spans="1:3" ht="15.75" customHeight="1" x14ac:dyDescent="0.35">
      <c r="A1354" s="1">
        <v>1353</v>
      </c>
      <c r="B1354" s="1">
        <v>3</v>
      </c>
      <c r="C1354" s="1" t="s">
        <v>1431</v>
      </c>
    </row>
    <row r="1355" spans="1:3" ht="15.75" customHeight="1" x14ac:dyDescent="0.35">
      <c r="A1355" s="1">
        <v>1354</v>
      </c>
      <c r="B1355" s="1">
        <v>4</v>
      </c>
      <c r="C1355" s="1" t="s">
        <v>1432</v>
      </c>
    </row>
    <row r="1356" spans="1:3" ht="15.75" customHeight="1" x14ac:dyDescent="0.35">
      <c r="A1356" s="1">
        <v>1355</v>
      </c>
      <c r="B1356" s="1">
        <v>11</v>
      </c>
      <c r="C1356" s="1" t="s">
        <v>1433</v>
      </c>
    </row>
    <row r="1357" spans="1:3" ht="15.75" customHeight="1" x14ac:dyDescent="0.35">
      <c r="A1357" s="1">
        <v>1356</v>
      </c>
      <c r="B1357" s="1">
        <v>3</v>
      </c>
      <c r="C1357" s="1" t="s">
        <v>1434</v>
      </c>
    </row>
    <row r="1358" spans="1:3" ht="15.75" customHeight="1" x14ac:dyDescent="0.35">
      <c r="A1358" s="1">
        <v>1357</v>
      </c>
      <c r="B1358" s="1">
        <v>12</v>
      </c>
      <c r="C1358" s="1" t="s">
        <v>1435</v>
      </c>
    </row>
    <row r="1359" spans="1:3" ht="15.75" customHeight="1" x14ac:dyDescent="0.35">
      <c r="A1359" s="1">
        <v>1358</v>
      </c>
      <c r="B1359" s="1">
        <v>3</v>
      </c>
      <c r="C1359" s="1" t="s">
        <v>1436</v>
      </c>
    </row>
    <row r="1360" spans="1:3" ht="15.75" customHeight="1" x14ac:dyDescent="0.35">
      <c r="A1360" s="1">
        <v>1359</v>
      </c>
      <c r="B1360" s="1">
        <v>3</v>
      </c>
      <c r="C1360" s="1" t="s">
        <v>1437</v>
      </c>
    </row>
    <row r="1361" spans="1:3" ht="15.75" customHeight="1" x14ac:dyDescent="0.35">
      <c r="A1361" s="1">
        <v>1360</v>
      </c>
      <c r="B1361" s="1">
        <v>1</v>
      </c>
      <c r="C1361" s="1" t="s">
        <v>1438</v>
      </c>
    </row>
    <row r="1362" spans="1:3" ht="15.75" customHeight="1" x14ac:dyDescent="0.35">
      <c r="A1362" s="1">
        <v>1361</v>
      </c>
      <c r="B1362" s="1">
        <v>10</v>
      </c>
      <c r="C1362" s="1" t="s">
        <v>1439</v>
      </c>
    </row>
    <row r="1363" spans="1:3" ht="15.75" customHeight="1" x14ac:dyDescent="0.35">
      <c r="A1363" s="1">
        <v>1362</v>
      </c>
      <c r="B1363" s="1">
        <v>11</v>
      </c>
      <c r="C1363" s="1" t="s">
        <v>1440</v>
      </c>
    </row>
    <row r="1364" spans="1:3" ht="15.75" customHeight="1" x14ac:dyDescent="0.35">
      <c r="A1364" s="1">
        <v>1363</v>
      </c>
      <c r="B1364" s="1">
        <v>12</v>
      </c>
      <c r="C1364" s="1" t="s">
        <v>1441</v>
      </c>
    </row>
    <row r="1365" spans="1:3" ht="15.75" customHeight="1" x14ac:dyDescent="0.35">
      <c r="A1365" s="1">
        <v>1364</v>
      </c>
      <c r="B1365" s="1">
        <v>15</v>
      </c>
      <c r="C1365" s="1" t="s">
        <v>1442</v>
      </c>
    </row>
    <row r="1366" spans="1:3" ht="15.75" customHeight="1" x14ac:dyDescent="0.35">
      <c r="A1366" s="1">
        <v>1365</v>
      </c>
      <c r="B1366" s="1">
        <v>15</v>
      </c>
      <c r="C1366" s="1" t="s">
        <v>1443</v>
      </c>
    </row>
    <row r="1367" spans="1:3" ht="15.75" customHeight="1" x14ac:dyDescent="0.35">
      <c r="A1367" s="1">
        <v>1366</v>
      </c>
      <c r="B1367" s="1">
        <v>2</v>
      </c>
      <c r="C1367" s="1" t="s">
        <v>1444</v>
      </c>
    </row>
    <row r="1368" spans="1:3" ht="15.75" customHeight="1" x14ac:dyDescent="0.35">
      <c r="A1368" s="1">
        <v>1367</v>
      </c>
      <c r="B1368" s="1">
        <v>4</v>
      </c>
      <c r="C1368" s="1" t="s">
        <v>1445</v>
      </c>
    </row>
    <row r="1369" spans="1:3" ht="15.75" customHeight="1" x14ac:dyDescent="0.35">
      <c r="A1369" s="1">
        <v>1368</v>
      </c>
      <c r="B1369" s="1">
        <v>12</v>
      </c>
      <c r="C1369" s="1" t="s">
        <v>1446</v>
      </c>
    </row>
    <row r="1370" spans="1:3" ht="15.75" customHeight="1" x14ac:dyDescent="0.35">
      <c r="A1370" s="1">
        <v>1369</v>
      </c>
      <c r="B1370" s="1">
        <v>8</v>
      </c>
      <c r="C1370" s="1" t="s">
        <v>1447</v>
      </c>
    </row>
    <row r="1371" spans="1:3" ht="15.75" customHeight="1" x14ac:dyDescent="0.35">
      <c r="A1371" s="1">
        <v>1370</v>
      </c>
      <c r="B1371" s="1">
        <v>15</v>
      </c>
      <c r="C1371" s="1" t="s">
        <v>1448</v>
      </c>
    </row>
    <row r="1372" spans="1:3" ht="15.75" customHeight="1" x14ac:dyDescent="0.35">
      <c r="A1372" s="1">
        <v>1371</v>
      </c>
      <c r="B1372" s="1">
        <v>3</v>
      </c>
      <c r="C1372" s="1" t="s">
        <v>1449</v>
      </c>
    </row>
    <row r="1373" spans="1:3" ht="15.75" customHeight="1" x14ac:dyDescent="0.35">
      <c r="A1373" s="1">
        <v>1372</v>
      </c>
      <c r="B1373" s="1">
        <v>6</v>
      </c>
      <c r="C1373" s="1" t="s">
        <v>1450</v>
      </c>
    </row>
    <row r="1374" spans="1:3" ht="15.75" customHeight="1" x14ac:dyDescent="0.35">
      <c r="A1374" s="1">
        <v>1373</v>
      </c>
      <c r="B1374" s="1">
        <v>10</v>
      </c>
      <c r="C1374" s="1" t="s">
        <v>1451</v>
      </c>
    </row>
    <row r="1375" spans="1:3" ht="15.75" customHeight="1" x14ac:dyDescent="0.35">
      <c r="A1375" s="1">
        <v>1374</v>
      </c>
      <c r="B1375" s="1">
        <v>13</v>
      </c>
      <c r="C1375" s="1" t="s">
        <v>1452</v>
      </c>
    </row>
    <row r="1376" spans="1:3" ht="15.75" customHeight="1" x14ac:dyDescent="0.35">
      <c r="A1376" s="1">
        <v>1375</v>
      </c>
      <c r="B1376" s="1">
        <v>13</v>
      </c>
      <c r="C1376" s="1" t="s">
        <v>1453</v>
      </c>
    </row>
    <row r="1377" spans="1:3" ht="15.75" customHeight="1" x14ac:dyDescent="0.35">
      <c r="A1377" s="1">
        <v>1376</v>
      </c>
      <c r="B1377" s="1">
        <v>13</v>
      </c>
      <c r="C1377" s="1" t="s">
        <v>1454</v>
      </c>
    </row>
    <row r="1378" spans="1:3" ht="15.75" customHeight="1" x14ac:dyDescent="0.35">
      <c r="A1378" s="1">
        <v>1377</v>
      </c>
      <c r="B1378" s="1">
        <v>1</v>
      </c>
      <c r="C1378" s="1" t="s">
        <v>1455</v>
      </c>
    </row>
    <row r="1379" spans="1:3" ht="15.75" customHeight="1" x14ac:dyDescent="0.35">
      <c r="A1379" s="1">
        <v>1378</v>
      </c>
      <c r="B1379" s="1">
        <v>15</v>
      </c>
      <c r="C1379" s="1" t="s">
        <v>1456</v>
      </c>
    </row>
    <row r="1380" spans="1:3" ht="15.75" customHeight="1" x14ac:dyDescent="0.35">
      <c r="A1380" s="1">
        <v>1379</v>
      </c>
      <c r="B1380" s="1">
        <v>3</v>
      </c>
      <c r="C1380" s="1" t="s">
        <v>1457</v>
      </c>
    </row>
    <row r="1381" spans="1:3" ht="15.75" customHeight="1" x14ac:dyDescent="0.35">
      <c r="A1381" s="1">
        <v>1380</v>
      </c>
      <c r="B1381" s="1">
        <v>13</v>
      </c>
      <c r="C1381" s="1" t="s">
        <v>1458</v>
      </c>
    </row>
    <row r="1382" spans="1:3" ht="15.75" customHeight="1" x14ac:dyDescent="0.35">
      <c r="A1382" s="1">
        <v>1381</v>
      </c>
      <c r="B1382" s="1">
        <v>7</v>
      </c>
      <c r="C1382" s="1" t="s">
        <v>1459</v>
      </c>
    </row>
    <row r="1383" spans="1:3" ht="15.75" customHeight="1" x14ac:dyDescent="0.35">
      <c r="A1383" s="1">
        <v>1382</v>
      </c>
      <c r="B1383" s="1">
        <v>11</v>
      </c>
      <c r="C1383" s="1" t="s">
        <v>1460</v>
      </c>
    </row>
    <row r="1384" spans="1:3" ht="15.75" customHeight="1" x14ac:dyDescent="0.35">
      <c r="A1384" s="1">
        <v>1383</v>
      </c>
      <c r="B1384" s="1">
        <v>7</v>
      </c>
      <c r="C1384" s="1" t="s">
        <v>1461</v>
      </c>
    </row>
    <row r="1385" spans="1:3" ht="15.75" customHeight="1" x14ac:dyDescent="0.35">
      <c r="A1385" s="1">
        <v>1384</v>
      </c>
      <c r="B1385" s="1">
        <v>6</v>
      </c>
      <c r="C1385" s="1" t="s">
        <v>1462</v>
      </c>
    </row>
    <row r="1386" spans="1:3" ht="15.75" customHeight="1" x14ac:dyDescent="0.35">
      <c r="A1386" s="1">
        <v>1385</v>
      </c>
      <c r="B1386" s="1">
        <v>5</v>
      </c>
      <c r="C1386" s="1" t="s">
        <v>1463</v>
      </c>
    </row>
    <row r="1387" spans="1:3" ht="15.75" customHeight="1" x14ac:dyDescent="0.35">
      <c r="A1387" s="1">
        <v>1386</v>
      </c>
      <c r="B1387" s="1">
        <v>13</v>
      </c>
      <c r="C1387" s="1" t="s">
        <v>1464</v>
      </c>
    </row>
    <row r="1388" spans="1:3" ht="15.75" customHeight="1" x14ac:dyDescent="0.35">
      <c r="A1388" s="1">
        <v>1387</v>
      </c>
      <c r="B1388" s="1">
        <v>14</v>
      </c>
      <c r="C1388" s="1" t="s">
        <v>1465</v>
      </c>
    </row>
    <row r="1389" spans="1:3" ht="15.75" customHeight="1" x14ac:dyDescent="0.35">
      <c r="A1389" s="1">
        <v>1388</v>
      </c>
      <c r="B1389" s="1">
        <v>14</v>
      </c>
      <c r="C1389" s="1" t="s">
        <v>1466</v>
      </c>
    </row>
    <row r="1390" spans="1:3" ht="15.75" customHeight="1" x14ac:dyDescent="0.35">
      <c r="A1390" s="1">
        <v>1389</v>
      </c>
      <c r="B1390" s="1">
        <v>2</v>
      </c>
      <c r="C1390" s="1" t="s">
        <v>1467</v>
      </c>
    </row>
    <row r="1391" spans="1:3" ht="15.75" customHeight="1" x14ac:dyDescent="0.35">
      <c r="A1391" s="1">
        <v>1390</v>
      </c>
      <c r="B1391" s="1">
        <v>2</v>
      </c>
      <c r="C1391" s="1" t="s">
        <v>1468</v>
      </c>
    </row>
    <row r="1392" spans="1:3" ht="15.75" customHeight="1" x14ac:dyDescent="0.35">
      <c r="A1392" s="1">
        <v>1391</v>
      </c>
      <c r="B1392" s="1">
        <v>11</v>
      </c>
      <c r="C1392" s="1" t="s">
        <v>1469</v>
      </c>
    </row>
    <row r="1393" spans="1:3" ht="15.75" customHeight="1" x14ac:dyDescent="0.35">
      <c r="A1393" s="1">
        <v>1392</v>
      </c>
      <c r="B1393" s="1">
        <v>1</v>
      </c>
      <c r="C1393" s="1" t="s">
        <v>1470</v>
      </c>
    </row>
    <row r="1394" spans="1:3" ht="15.75" customHeight="1" x14ac:dyDescent="0.35">
      <c r="A1394" s="1">
        <v>1393</v>
      </c>
      <c r="B1394" s="1">
        <v>9</v>
      </c>
      <c r="C1394" s="1" t="s">
        <v>1471</v>
      </c>
    </row>
    <row r="1395" spans="1:3" ht="15.75" customHeight="1" x14ac:dyDescent="0.35">
      <c r="A1395" s="1">
        <v>1394</v>
      </c>
      <c r="B1395" s="1">
        <v>14</v>
      </c>
      <c r="C1395" s="1" t="s">
        <v>1472</v>
      </c>
    </row>
    <row r="1396" spans="1:3" ht="15.75" customHeight="1" x14ac:dyDescent="0.35">
      <c r="A1396" s="1">
        <v>1395</v>
      </c>
      <c r="B1396" s="1">
        <v>11</v>
      </c>
      <c r="C1396" s="1" t="s">
        <v>1473</v>
      </c>
    </row>
    <row r="1397" spans="1:3" ht="15.75" customHeight="1" x14ac:dyDescent="0.35">
      <c r="A1397" s="1">
        <v>1396</v>
      </c>
      <c r="B1397" s="1">
        <v>14</v>
      </c>
      <c r="C1397" s="1" t="s">
        <v>1474</v>
      </c>
    </row>
    <row r="1398" spans="1:3" ht="15.75" customHeight="1" x14ac:dyDescent="0.35">
      <c r="A1398" s="1">
        <v>1397</v>
      </c>
      <c r="B1398" s="1">
        <v>15</v>
      </c>
      <c r="C1398" s="1" t="s">
        <v>1475</v>
      </c>
    </row>
    <row r="1399" spans="1:3" ht="15.75" customHeight="1" x14ac:dyDescent="0.35">
      <c r="A1399" s="1">
        <v>1398</v>
      </c>
      <c r="B1399" s="1">
        <v>4</v>
      </c>
      <c r="C1399" s="1" t="s">
        <v>1476</v>
      </c>
    </row>
    <row r="1400" spans="1:3" ht="15.75" customHeight="1" x14ac:dyDescent="0.35">
      <c r="A1400" s="1">
        <v>1399</v>
      </c>
      <c r="B1400" s="1">
        <v>13</v>
      </c>
      <c r="C1400" s="1" t="s">
        <v>1477</v>
      </c>
    </row>
    <row r="1401" spans="1:3" ht="15.75" customHeight="1" x14ac:dyDescent="0.35">
      <c r="A1401" s="1">
        <v>1400</v>
      </c>
      <c r="B1401" s="1">
        <v>11</v>
      </c>
      <c r="C1401" s="1" t="s">
        <v>1478</v>
      </c>
    </row>
    <row r="1402" spans="1:3" ht="15.75" customHeight="1" x14ac:dyDescent="0.35">
      <c r="A1402" s="1">
        <v>1401</v>
      </c>
      <c r="B1402" s="1">
        <v>15</v>
      </c>
      <c r="C1402" s="1" t="s">
        <v>1479</v>
      </c>
    </row>
    <row r="1403" spans="1:3" ht="15.75" customHeight="1" x14ac:dyDescent="0.35">
      <c r="A1403" s="1">
        <v>1402</v>
      </c>
      <c r="B1403" s="1">
        <v>7</v>
      </c>
      <c r="C1403" s="1" t="s">
        <v>1480</v>
      </c>
    </row>
    <row r="1404" spans="1:3" ht="15.75" customHeight="1" x14ac:dyDescent="0.35">
      <c r="A1404" s="1">
        <v>1403</v>
      </c>
      <c r="B1404" s="1">
        <v>15</v>
      </c>
      <c r="C1404" s="1" t="s">
        <v>1481</v>
      </c>
    </row>
    <row r="1405" spans="1:3" ht="15.75" customHeight="1" x14ac:dyDescent="0.35">
      <c r="A1405" s="1">
        <v>1404</v>
      </c>
      <c r="B1405" s="1">
        <v>6</v>
      </c>
      <c r="C1405" s="1" t="s">
        <v>1482</v>
      </c>
    </row>
    <row r="1406" spans="1:3" ht="15.75" customHeight="1" x14ac:dyDescent="0.35">
      <c r="A1406" s="1">
        <v>1405</v>
      </c>
      <c r="B1406" s="1">
        <v>8</v>
      </c>
      <c r="C1406" s="1" t="s">
        <v>1483</v>
      </c>
    </row>
    <row r="1407" spans="1:3" ht="15.75" customHeight="1" x14ac:dyDescent="0.35">
      <c r="A1407" s="1">
        <v>1406</v>
      </c>
      <c r="B1407" s="1">
        <v>13</v>
      </c>
      <c r="C1407" s="1" t="s">
        <v>1484</v>
      </c>
    </row>
    <row r="1408" spans="1:3" ht="15.75" customHeight="1" x14ac:dyDescent="0.35">
      <c r="A1408" s="1">
        <v>1407</v>
      </c>
      <c r="B1408" s="1">
        <v>13</v>
      </c>
      <c r="C1408" s="1" t="s">
        <v>1485</v>
      </c>
    </row>
    <row r="1409" spans="1:3" ht="15.75" customHeight="1" x14ac:dyDescent="0.35">
      <c r="A1409" s="1">
        <v>1408</v>
      </c>
      <c r="B1409" s="1">
        <v>2</v>
      </c>
      <c r="C1409" s="1" t="s">
        <v>1486</v>
      </c>
    </row>
    <row r="1410" spans="1:3" ht="15.75" customHeight="1" x14ac:dyDescent="0.35">
      <c r="A1410" s="1">
        <v>1409</v>
      </c>
      <c r="B1410" s="1">
        <v>7</v>
      </c>
      <c r="C1410" s="1" t="s">
        <v>1487</v>
      </c>
    </row>
    <row r="1411" spans="1:3" ht="15.75" customHeight="1" x14ac:dyDescent="0.35">
      <c r="A1411" s="1">
        <v>1410</v>
      </c>
      <c r="B1411" s="1">
        <v>3</v>
      </c>
      <c r="C1411" s="1" t="s">
        <v>1488</v>
      </c>
    </row>
    <row r="1412" spans="1:3" ht="15.75" customHeight="1" x14ac:dyDescent="0.35">
      <c r="A1412" s="1">
        <v>1411</v>
      </c>
      <c r="B1412" s="1">
        <v>8</v>
      </c>
      <c r="C1412" s="1" t="s">
        <v>1489</v>
      </c>
    </row>
    <row r="1413" spans="1:3" ht="15.75" customHeight="1" x14ac:dyDescent="0.35">
      <c r="A1413" s="1">
        <v>1412</v>
      </c>
      <c r="B1413" s="1">
        <v>15</v>
      </c>
      <c r="C1413" s="1" t="s">
        <v>1490</v>
      </c>
    </row>
    <row r="1414" spans="1:3" ht="15.75" customHeight="1" x14ac:dyDescent="0.35">
      <c r="A1414" s="1">
        <v>1413</v>
      </c>
      <c r="B1414" s="1">
        <v>5</v>
      </c>
      <c r="C1414" s="1" t="s">
        <v>1491</v>
      </c>
    </row>
    <row r="1415" spans="1:3" ht="15.75" customHeight="1" x14ac:dyDescent="0.35">
      <c r="A1415" s="1">
        <v>1414</v>
      </c>
      <c r="B1415" s="1">
        <v>11</v>
      </c>
      <c r="C1415" s="1" t="s">
        <v>1492</v>
      </c>
    </row>
    <row r="1416" spans="1:3" ht="15.75" customHeight="1" x14ac:dyDescent="0.35">
      <c r="A1416" s="1">
        <v>1415</v>
      </c>
      <c r="B1416" s="1">
        <v>8</v>
      </c>
      <c r="C1416" s="1" t="s">
        <v>1493</v>
      </c>
    </row>
    <row r="1417" spans="1:3" ht="15.75" customHeight="1" x14ac:dyDescent="0.35">
      <c r="A1417" s="1">
        <v>1416</v>
      </c>
      <c r="B1417" s="1">
        <v>14</v>
      </c>
      <c r="C1417" s="1" t="s">
        <v>1494</v>
      </c>
    </row>
    <row r="1418" spans="1:3" ht="15.75" customHeight="1" x14ac:dyDescent="0.35">
      <c r="A1418" s="1">
        <v>1417</v>
      </c>
      <c r="B1418" s="1">
        <v>6</v>
      </c>
      <c r="C1418" s="1" t="s">
        <v>1495</v>
      </c>
    </row>
    <row r="1419" spans="1:3" ht="15.75" customHeight="1" x14ac:dyDescent="0.35">
      <c r="A1419" s="1">
        <v>1418</v>
      </c>
      <c r="B1419" s="1">
        <v>9</v>
      </c>
      <c r="C1419" s="1" t="s">
        <v>1496</v>
      </c>
    </row>
    <row r="1420" spans="1:3" ht="15.75" customHeight="1" x14ac:dyDescent="0.35">
      <c r="A1420" s="1">
        <v>1419</v>
      </c>
      <c r="B1420" s="1">
        <v>1</v>
      </c>
      <c r="C1420" s="1" t="s">
        <v>1497</v>
      </c>
    </row>
    <row r="1421" spans="1:3" ht="15.75" customHeight="1" x14ac:dyDescent="0.35">
      <c r="A1421" s="1">
        <v>1420</v>
      </c>
      <c r="B1421" s="1">
        <v>9</v>
      </c>
      <c r="C1421" s="1" t="s">
        <v>1498</v>
      </c>
    </row>
    <row r="1422" spans="1:3" ht="15.75" customHeight="1" x14ac:dyDescent="0.35">
      <c r="A1422" s="1">
        <v>1421</v>
      </c>
      <c r="B1422" s="1">
        <v>7</v>
      </c>
      <c r="C1422" s="1" t="s">
        <v>1499</v>
      </c>
    </row>
    <row r="1423" spans="1:3" ht="15.75" customHeight="1" x14ac:dyDescent="0.35">
      <c r="A1423" s="1">
        <v>1422</v>
      </c>
      <c r="B1423" s="1">
        <v>6</v>
      </c>
      <c r="C1423" s="1" t="s">
        <v>1500</v>
      </c>
    </row>
    <row r="1424" spans="1:3" ht="15.75" customHeight="1" x14ac:dyDescent="0.35">
      <c r="A1424" s="1">
        <v>1423</v>
      </c>
      <c r="B1424" s="1">
        <v>11</v>
      </c>
      <c r="C1424" s="1" t="s">
        <v>1501</v>
      </c>
    </row>
    <row r="1425" spans="1:3" ht="15.75" customHeight="1" x14ac:dyDescent="0.35">
      <c r="A1425" s="1">
        <v>1424</v>
      </c>
      <c r="B1425" s="1">
        <v>5</v>
      </c>
      <c r="C1425" s="1" t="s">
        <v>1502</v>
      </c>
    </row>
    <row r="1426" spans="1:3" ht="15.75" customHeight="1" x14ac:dyDescent="0.35">
      <c r="A1426" s="1">
        <v>1425</v>
      </c>
      <c r="B1426" s="1">
        <v>7</v>
      </c>
      <c r="C1426" s="1" t="s">
        <v>1503</v>
      </c>
    </row>
    <row r="1427" spans="1:3" ht="15.75" customHeight="1" x14ac:dyDescent="0.35">
      <c r="A1427" s="1">
        <v>1426</v>
      </c>
      <c r="B1427" s="1">
        <v>1</v>
      </c>
      <c r="C1427" s="1" t="s">
        <v>1504</v>
      </c>
    </row>
    <row r="1428" spans="1:3" ht="15.75" customHeight="1" x14ac:dyDescent="0.35">
      <c r="A1428" s="1">
        <v>1427</v>
      </c>
      <c r="B1428" s="1">
        <v>9</v>
      </c>
      <c r="C1428" s="1" t="s">
        <v>1505</v>
      </c>
    </row>
    <row r="1429" spans="1:3" ht="15.75" customHeight="1" x14ac:dyDescent="0.35">
      <c r="A1429" s="1">
        <v>1428</v>
      </c>
      <c r="B1429" s="1">
        <v>3</v>
      </c>
      <c r="C1429" s="1" t="s">
        <v>1506</v>
      </c>
    </row>
    <row r="1430" spans="1:3" ht="15.75" customHeight="1" x14ac:dyDescent="0.35">
      <c r="A1430" s="1">
        <v>1429</v>
      </c>
      <c r="B1430" s="1">
        <v>3</v>
      </c>
      <c r="C1430" s="1" t="s">
        <v>1507</v>
      </c>
    </row>
    <row r="1431" spans="1:3" ht="15.75" customHeight="1" x14ac:dyDescent="0.35">
      <c r="A1431" s="1">
        <v>1430</v>
      </c>
      <c r="B1431" s="1">
        <v>5</v>
      </c>
      <c r="C1431" s="1" t="s">
        <v>1508</v>
      </c>
    </row>
    <row r="1432" spans="1:3" ht="15.75" customHeight="1" x14ac:dyDescent="0.35">
      <c r="A1432" s="1">
        <v>1431</v>
      </c>
      <c r="B1432" s="1">
        <v>5</v>
      </c>
      <c r="C1432" s="1" t="s">
        <v>1509</v>
      </c>
    </row>
    <row r="1433" spans="1:3" ht="15.75" customHeight="1" x14ac:dyDescent="0.35">
      <c r="A1433" s="1">
        <v>1432</v>
      </c>
      <c r="B1433" s="1">
        <v>8</v>
      </c>
      <c r="C1433" s="1" t="s">
        <v>1510</v>
      </c>
    </row>
    <row r="1434" spans="1:3" ht="15.75" customHeight="1" x14ac:dyDescent="0.35">
      <c r="A1434" s="1">
        <v>1433</v>
      </c>
      <c r="B1434" s="1">
        <v>3</v>
      </c>
      <c r="C1434" s="1" t="s">
        <v>1511</v>
      </c>
    </row>
    <row r="1435" spans="1:3" ht="15.75" customHeight="1" x14ac:dyDescent="0.35">
      <c r="A1435" s="1">
        <v>1434</v>
      </c>
      <c r="B1435" s="1">
        <v>8</v>
      </c>
      <c r="C1435" s="1" t="s">
        <v>1512</v>
      </c>
    </row>
    <row r="1436" spans="1:3" ht="15.75" customHeight="1" x14ac:dyDescent="0.35">
      <c r="A1436" s="1">
        <v>1435</v>
      </c>
      <c r="B1436" s="1">
        <v>11</v>
      </c>
      <c r="C1436" s="1" t="s">
        <v>1513</v>
      </c>
    </row>
    <row r="1437" spans="1:3" ht="15.75" customHeight="1" x14ac:dyDescent="0.35">
      <c r="A1437" s="1">
        <v>1436</v>
      </c>
      <c r="B1437" s="1">
        <v>2</v>
      </c>
      <c r="C1437" s="1" t="s">
        <v>1514</v>
      </c>
    </row>
    <row r="1438" spans="1:3" ht="15.75" customHeight="1" x14ac:dyDescent="0.35">
      <c r="A1438" s="1">
        <v>1437</v>
      </c>
      <c r="B1438" s="1">
        <v>8</v>
      </c>
      <c r="C1438" s="1" t="s">
        <v>1515</v>
      </c>
    </row>
    <row r="1439" spans="1:3" ht="15.75" customHeight="1" x14ac:dyDescent="0.35">
      <c r="A1439" s="1">
        <v>1438</v>
      </c>
      <c r="B1439" s="1">
        <v>9</v>
      </c>
      <c r="C1439" s="1" t="s">
        <v>1516</v>
      </c>
    </row>
    <row r="1440" spans="1:3" ht="15.75" customHeight="1" x14ac:dyDescent="0.35">
      <c r="A1440" s="1">
        <v>1439</v>
      </c>
      <c r="B1440" s="1">
        <v>11</v>
      </c>
      <c r="C1440" s="1" t="s">
        <v>1517</v>
      </c>
    </row>
    <row r="1441" spans="1:3" ht="15.75" customHeight="1" x14ac:dyDescent="0.35">
      <c r="A1441" s="1">
        <v>1440</v>
      </c>
      <c r="B1441" s="1">
        <v>6</v>
      </c>
      <c r="C1441" s="1" t="s">
        <v>1518</v>
      </c>
    </row>
    <row r="1442" spans="1:3" ht="15.75" customHeight="1" x14ac:dyDescent="0.35">
      <c r="A1442" s="1">
        <v>1441</v>
      </c>
      <c r="B1442" s="1">
        <v>5</v>
      </c>
      <c r="C1442" s="1" t="s">
        <v>1519</v>
      </c>
    </row>
    <row r="1443" spans="1:3" ht="15.75" customHeight="1" x14ac:dyDescent="0.35">
      <c r="A1443" s="1">
        <v>1442</v>
      </c>
      <c r="B1443" s="1">
        <v>15</v>
      </c>
      <c r="C1443" s="1" t="s">
        <v>1520</v>
      </c>
    </row>
    <row r="1444" spans="1:3" ht="15.75" customHeight="1" x14ac:dyDescent="0.35">
      <c r="A1444" s="1">
        <v>1443</v>
      </c>
      <c r="B1444" s="1">
        <v>6</v>
      </c>
      <c r="C1444" s="1" t="s">
        <v>1521</v>
      </c>
    </row>
    <row r="1445" spans="1:3" ht="15.75" customHeight="1" x14ac:dyDescent="0.35">
      <c r="A1445" s="1">
        <v>1444</v>
      </c>
      <c r="B1445" s="1">
        <v>9</v>
      </c>
      <c r="C1445" s="1" t="s">
        <v>1522</v>
      </c>
    </row>
    <row r="1446" spans="1:3" ht="15.75" customHeight="1" x14ac:dyDescent="0.35">
      <c r="A1446" s="1">
        <v>1445</v>
      </c>
      <c r="B1446" s="1">
        <v>15</v>
      </c>
      <c r="C1446" s="1" t="s">
        <v>1523</v>
      </c>
    </row>
    <row r="1447" spans="1:3" ht="15.75" customHeight="1" x14ac:dyDescent="0.35">
      <c r="A1447" s="1">
        <v>1446</v>
      </c>
      <c r="B1447" s="1">
        <v>14</v>
      </c>
      <c r="C1447" s="1" t="s">
        <v>1524</v>
      </c>
    </row>
    <row r="1448" spans="1:3" ht="15.75" customHeight="1" x14ac:dyDescent="0.35">
      <c r="A1448" s="1">
        <v>1447</v>
      </c>
      <c r="B1448" s="1">
        <v>6</v>
      </c>
      <c r="C1448" s="1" t="s">
        <v>1525</v>
      </c>
    </row>
    <row r="1449" spans="1:3" ht="15.75" customHeight="1" x14ac:dyDescent="0.35">
      <c r="A1449" s="1">
        <v>1448</v>
      </c>
      <c r="B1449" s="1">
        <v>15</v>
      </c>
      <c r="C1449" s="1" t="s">
        <v>1526</v>
      </c>
    </row>
    <row r="1450" spans="1:3" ht="15.75" customHeight="1" x14ac:dyDescent="0.35">
      <c r="A1450" s="1">
        <v>1449</v>
      </c>
      <c r="B1450" s="1">
        <v>2</v>
      </c>
      <c r="C1450" s="1" t="s">
        <v>1527</v>
      </c>
    </row>
    <row r="1451" spans="1:3" ht="15.75" customHeight="1" x14ac:dyDescent="0.35">
      <c r="A1451" s="1">
        <v>1450</v>
      </c>
      <c r="B1451" s="1">
        <v>6</v>
      </c>
      <c r="C1451" s="1" t="s">
        <v>1528</v>
      </c>
    </row>
    <row r="1452" spans="1:3" ht="15.75" customHeight="1" x14ac:dyDescent="0.35">
      <c r="A1452" s="1">
        <v>1451</v>
      </c>
      <c r="B1452" s="1">
        <v>8</v>
      </c>
      <c r="C1452" s="1" t="s">
        <v>1529</v>
      </c>
    </row>
    <row r="1453" spans="1:3" ht="15.75" customHeight="1" x14ac:dyDescent="0.35">
      <c r="A1453" s="1">
        <v>1452</v>
      </c>
      <c r="B1453" s="1">
        <v>5</v>
      </c>
      <c r="C1453" s="1" t="s">
        <v>1530</v>
      </c>
    </row>
    <row r="1454" spans="1:3" ht="15.75" customHeight="1" x14ac:dyDescent="0.35">
      <c r="A1454" s="1">
        <v>1453</v>
      </c>
      <c r="B1454" s="1">
        <v>13</v>
      </c>
      <c r="C1454" s="1" t="s">
        <v>1531</v>
      </c>
    </row>
    <row r="1455" spans="1:3" ht="15.75" customHeight="1" x14ac:dyDescent="0.35">
      <c r="A1455" s="1">
        <v>1454</v>
      </c>
      <c r="B1455" s="1">
        <v>8</v>
      </c>
      <c r="C1455" s="1" t="s">
        <v>1532</v>
      </c>
    </row>
    <row r="1456" spans="1:3" ht="15.75" customHeight="1" x14ac:dyDescent="0.35">
      <c r="A1456" s="1">
        <v>1455</v>
      </c>
      <c r="B1456" s="1">
        <v>3</v>
      </c>
      <c r="C1456" s="1" t="s">
        <v>1533</v>
      </c>
    </row>
    <row r="1457" spans="1:3" ht="15.75" customHeight="1" x14ac:dyDescent="0.35">
      <c r="A1457" s="1">
        <v>1456</v>
      </c>
      <c r="B1457" s="1">
        <v>15</v>
      </c>
      <c r="C1457" s="1" t="s">
        <v>1534</v>
      </c>
    </row>
    <row r="1458" spans="1:3" ht="15.75" customHeight="1" x14ac:dyDescent="0.35">
      <c r="A1458" s="1">
        <v>1457</v>
      </c>
      <c r="B1458" s="1">
        <v>3</v>
      </c>
      <c r="C1458" s="1" t="s">
        <v>1535</v>
      </c>
    </row>
    <row r="1459" spans="1:3" ht="15.75" customHeight="1" x14ac:dyDescent="0.35">
      <c r="A1459" s="1">
        <v>1458</v>
      </c>
      <c r="B1459" s="1">
        <v>15</v>
      </c>
      <c r="C1459" s="1" t="s">
        <v>1536</v>
      </c>
    </row>
    <row r="1460" spans="1:3" ht="15.75" customHeight="1" x14ac:dyDescent="0.35">
      <c r="A1460" s="1">
        <v>1459</v>
      </c>
      <c r="B1460" s="1">
        <v>5</v>
      </c>
      <c r="C1460" s="1" t="s">
        <v>1537</v>
      </c>
    </row>
    <row r="1461" spans="1:3" ht="15.75" customHeight="1" x14ac:dyDescent="0.35">
      <c r="A1461" s="1">
        <v>1460</v>
      </c>
      <c r="B1461" s="1">
        <v>14</v>
      </c>
      <c r="C1461" s="1" t="s">
        <v>1538</v>
      </c>
    </row>
    <row r="1462" spans="1:3" ht="15.75" customHeight="1" x14ac:dyDescent="0.35">
      <c r="A1462" s="1">
        <v>1461</v>
      </c>
      <c r="B1462" s="1">
        <v>6</v>
      </c>
      <c r="C1462" s="1" t="s">
        <v>1539</v>
      </c>
    </row>
    <row r="1463" spans="1:3" ht="15.75" customHeight="1" x14ac:dyDescent="0.35">
      <c r="A1463" s="1">
        <v>1462</v>
      </c>
      <c r="B1463" s="1">
        <v>9</v>
      </c>
      <c r="C1463" s="1" t="s">
        <v>1540</v>
      </c>
    </row>
    <row r="1464" spans="1:3" ht="15.75" customHeight="1" x14ac:dyDescent="0.35">
      <c r="A1464" s="1">
        <v>1463</v>
      </c>
      <c r="B1464" s="1">
        <v>8</v>
      </c>
      <c r="C1464" s="1" t="s">
        <v>1541</v>
      </c>
    </row>
    <row r="1465" spans="1:3" ht="15.75" customHeight="1" x14ac:dyDescent="0.35">
      <c r="A1465" s="1">
        <v>1464</v>
      </c>
      <c r="B1465" s="1">
        <v>2</v>
      </c>
      <c r="C1465" s="1" t="s">
        <v>1542</v>
      </c>
    </row>
    <row r="1466" spans="1:3" ht="15.75" customHeight="1" x14ac:dyDescent="0.35">
      <c r="A1466" s="1">
        <v>1465</v>
      </c>
      <c r="B1466" s="1">
        <v>7</v>
      </c>
      <c r="C1466" s="1" t="s">
        <v>1543</v>
      </c>
    </row>
    <row r="1467" spans="1:3" ht="15.75" customHeight="1" x14ac:dyDescent="0.35">
      <c r="A1467" s="1">
        <v>1466</v>
      </c>
      <c r="B1467" s="1">
        <v>9</v>
      </c>
      <c r="C1467" s="1" t="s">
        <v>1544</v>
      </c>
    </row>
    <row r="1468" spans="1:3" ht="15.75" customHeight="1" x14ac:dyDescent="0.35">
      <c r="A1468" s="1">
        <v>1467</v>
      </c>
      <c r="B1468" s="1">
        <v>14</v>
      </c>
      <c r="C1468" s="1" t="s">
        <v>1545</v>
      </c>
    </row>
    <row r="1469" spans="1:3" ht="15.75" customHeight="1" x14ac:dyDescent="0.35">
      <c r="A1469" s="1">
        <v>1468</v>
      </c>
      <c r="B1469" s="1">
        <v>4</v>
      </c>
      <c r="C1469" s="1" t="s">
        <v>1546</v>
      </c>
    </row>
    <row r="1470" spans="1:3" ht="15.75" customHeight="1" x14ac:dyDescent="0.35">
      <c r="A1470" s="1">
        <v>1469</v>
      </c>
      <c r="B1470" s="1">
        <v>1</v>
      </c>
      <c r="C1470" s="1" t="s">
        <v>1547</v>
      </c>
    </row>
    <row r="1471" spans="1:3" ht="15.75" customHeight="1" x14ac:dyDescent="0.35">
      <c r="A1471" s="1">
        <v>1470</v>
      </c>
      <c r="B1471" s="1">
        <v>8</v>
      </c>
      <c r="C1471" s="1" t="s">
        <v>1548</v>
      </c>
    </row>
    <row r="1472" spans="1:3" ht="15.75" customHeight="1" x14ac:dyDescent="0.35">
      <c r="A1472" s="1">
        <v>1471</v>
      </c>
      <c r="B1472" s="1">
        <v>5</v>
      </c>
      <c r="C1472" s="1" t="s">
        <v>1549</v>
      </c>
    </row>
    <row r="1473" spans="1:3" ht="15.75" customHeight="1" x14ac:dyDescent="0.35">
      <c r="A1473" s="1">
        <v>1472</v>
      </c>
      <c r="B1473" s="1">
        <v>13</v>
      </c>
      <c r="C1473" s="1" t="s">
        <v>1550</v>
      </c>
    </row>
    <row r="1474" spans="1:3" ht="15.75" customHeight="1" x14ac:dyDescent="0.35">
      <c r="A1474" s="1">
        <v>1473</v>
      </c>
      <c r="B1474" s="1">
        <v>14</v>
      </c>
      <c r="C1474" s="1" t="s">
        <v>1551</v>
      </c>
    </row>
    <row r="1475" spans="1:3" ht="15.75" customHeight="1" x14ac:dyDescent="0.35">
      <c r="A1475" s="1">
        <v>1474</v>
      </c>
      <c r="B1475" s="1">
        <v>9</v>
      </c>
      <c r="C1475" s="1" t="s">
        <v>1552</v>
      </c>
    </row>
    <row r="1476" spans="1:3" ht="15.75" customHeight="1" x14ac:dyDescent="0.35">
      <c r="A1476" s="1">
        <v>1475</v>
      </c>
      <c r="B1476" s="1">
        <v>14</v>
      </c>
      <c r="C1476" s="1" t="s">
        <v>1553</v>
      </c>
    </row>
    <row r="1477" spans="1:3" ht="15.75" customHeight="1" x14ac:dyDescent="0.35">
      <c r="A1477" s="1">
        <v>1476</v>
      </c>
      <c r="B1477" s="1">
        <v>10</v>
      </c>
      <c r="C1477" s="1" t="s">
        <v>1554</v>
      </c>
    </row>
    <row r="1478" spans="1:3" ht="15.75" customHeight="1" x14ac:dyDescent="0.35">
      <c r="A1478" s="1">
        <v>1477</v>
      </c>
      <c r="B1478" s="1">
        <v>15</v>
      </c>
      <c r="C1478" s="1" t="s">
        <v>1555</v>
      </c>
    </row>
    <row r="1479" spans="1:3" ht="15.75" customHeight="1" x14ac:dyDescent="0.35">
      <c r="A1479" s="1">
        <v>1478</v>
      </c>
      <c r="B1479" s="1">
        <v>8</v>
      </c>
      <c r="C1479" s="1" t="s">
        <v>1556</v>
      </c>
    </row>
    <row r="1480" spans="1:3" ht="15.75" customHeight="1" x14ac:dyDescent="0.35">
      <c r="A1480" s="1">
        <v>1479</v>
      </c>
      <c r="B1480" s="1">
        <v>12</v>
      </c>
      <c r="C1480" s="1" t="s">
        <v>1557</v>
      </c>
    </row>
    <row r="1481" spans="1:3" ht="15.75" customHeight="1" x14ac:dyDescent="0.35">
      <c r="A1481" s="1">
        <v>1480</v>
      </c>
      <c r="B1481" s="1">
        <v>1</v>
      </c>
      <c r="C1481" s="1" t="s">
        <v>1558</v>
      </c>
    </row>
    <row r="1482" spans="1:3" ht="15.75" customHeight="1" x14ac:dyDescent="0.35">
      <c r="A1482" s="1">
        <v>1481</v>
      </c>
      <c r="B1482" s="1">
        <v>15</v>
      </c>
      <c r="C1482" s="1" t="s">
        <v>1559</v>
      </c>
    </row>
    <row r="1483" spans="1:3" ht="15.75" customHeight="1" x14ac:dyDescent="0.35">
      <c r="A1483" s="1">
        <v>1482</v>
      </c>
      <c r="B1483" s="1">
        <v>6</v>
      </c>
      <c r="C1483" s="1" t="s">
        <v>1560</v>
      </c>
    </row>
    <row r="1484" spans="1:3" ht="15.75" customHeight="1" x14ac:dyDescent="0.35">
      <c r="A1484" s="1">
        <v>1483</v>
      </c>
      <c r="B1484" s="1">
        <v>7</v>
      </c>
      <c r="C1484" s="1" t="s">
        <v>1561</v>
      </c>
    </row>
    <row r="1485" spans="1:3" ht="15.75" customHeight="1" x14ac:dyDescent="0.35">
      <c r="A1485" s="1">
        <v>1484</v>
      </c>
      <c r="B1485" s="1">
        <v>4</v>
      </c>
      <c r="C1485" s="1" t="s">
        <v>1562</v>
      </c>
    </row>
    <row r="1486" spans="1:3" ht="15.75" customHeight="1" x14ac:dyDescent="0.35">
      <c r="A1486" s="1">
        <v>1485</v>
      </c>
      <c r="B1486" s="1">
        <v>14</v>
      </c>
      <c r="C1486" s="1" t="s">
        <v>1563</v>
      </c>
    </row>
    <row r="1487" spans="1:3" ht="15.75" customHeight="1" x14ac:dyDescent="0.35">
      <c r="A1487" s="1">
        <v>1486</v>
      </c>
      <c r="B1487" s="1">
        <v>4</v>
      </c>
      <c r="C1487" s="1" t="s">
        <v>1564</v>
      </c>
    </row>
    <row r="1488" spans="1:3" ht="15.75" customHeight="1" x14ac:dyDescent="0.35">
      <c r="A1488" s="1">
        <v>1487</v>
      </c>
      <c r="B1488" s="1">
        <v>12</v>
      </c>
      <c r="C1488" s="1" t="s">
        <v>1565</v>
      </c>
    </row>
    <row r="1489" spans="1:3" ht="15.75" customHeight="1" x14ac:dyDescent="0.35">
      <c r="A1489" s="1">
        <v>1488</v>
      </c>
      <c r="B1489" s="1">
        <v>15</v>
      </c>
      <c r="C1489" s="1" t="s">
        <v>1566</v>
      </c>
    </row>
    <row r="1490" spans="1:3" ht="15.75" customHeight="1" x14ac:dyDescent="0.35">
      <c r="A1490" s="1">
        <v>1489</v>
      </c>
      <c r="B1490" s="1">
        <v>7</v>
      </c>
      <c r="C1490" s="1" t="s">
        <v>1567</v>
      </c>
    </row>
    <row r="1491" spans="1:3" ht="15.75" customHeight="1" x14ac:dyDescent="0.35">
      <c r="A1491" s="1">
        <v>1490</v>
      </c>
      <c r="B1491" s="1">
        <v>14</v>
      </c>
      <c r="C1491" s="1" t="s">
        <v>1568</v>
      </c>
    </row>
    <row r="1492" spans="1:3" ht="15.75" customHeight="1" x14ac:dyDescent="0.35">
      <c r="A1492" s="1">
        <v>1491</v>
      </c>
      <c r="B1492" s="1">
        <v>5</v>
      </c>
      <c r="C1492" s="1" t="s">
        <v>1569</v>
      </c>
    </row>
    <row r="1493" spans="1:3" ht="15.75" customHeight="1" x14ac:dyDescent="0.35">
      <c r="A1493" s="1">
        <v>1492</v>
      </c>
      <c r="B1493" s="1">
        <v>7</v>
      </c>
      <c r="C1493" s="1" t="s">
        <v>1570</v>
      </c>
    </row>
    <row r="1494" spans="1:3" ht="15.75" customHeight="1" x14ac:dyDescent="0.35">
      <c r="A1494" s="1">
        <v>1493</v>
      </c>
      <c r="B1494" s="1">
        <v>2</v>
      </c>
      <c r="C1494" s="1" t="s">
        <v>1571</v>
      </c>
    </row>
    <row r="1495" spans="1:3" ht="15.75" customHeight="1" x14ac:dyDescent="0.35">
      <c r="A1495" s="1">
        <v>1494</v>
      </c>
      <c r="B1495" s="1">
        <v>12</v>
      </c>
      <c r="C1495" s="1" t="s">
        <v>1572</v>
      </c>
    </row>
    <row r="1496" spans="1:3" ht="15.75" customHeight="1" x14ac:dyDescent="0.35">
      <c r="A1496" s="1">
        <v>1495</v>
      </c>
      <c r="B1496" s="1">
        <v>2</v>
      </c>
      <c r="C1496" s="1" t="s">
        <v>1573</v>
      </c>
    </row>
    <row r="1497" spans="1:3" ht="15.75" customHeight="1" x14ac:dyDescent="0.35">
      <c r="A1497" s="1">
        <v>1496</v>
      </c>
      <c r="B1497" s="1">
        <v>7</v>
      </c>
      <c r="C1497" s="1" t="s">
        <v>1574</v>
      </c>
    </row>
    <row r="1498" spans="1:3" ht="15.75" customHeight="1" x14ac:dyDescent="0.35">
      <c r="A1498" s="1">
        <v>1497</v>
      </c>
      <c r="B1498" s="1">
        <v>9</v>
      </c>
      <c r="C1498" s="1" t="s">
        <v>1575</v>
      </c>
    </row>
    <row r="1499" spans="1:3" ht="15.75" customHeight="1" x14ac:dyDescent="0.35">
      <c r="A1499" s="1">
        <v>1498</v>
      </c>
      <c r="B1499" s="1">
        <v>6</v>
      </c>
      <c r="C1499" s="1" t="s">
        <v>1576</v>
      </c>
    </row>
    <row r="1500" spans="1:3" ht="15.75" customHeight="1" x14ac:dyDescent="0.35">
      <c r="A1500" s="1">
        <v>1499</v>
      </c>
      <c r="B1500" s="1">
        <v>12</v>
      </c>
      <c r="C1500" s="1" t="s">
        <v>1577</v>
      </c>
    </row>
    <row r="1501" spans="1:3" ht="15.75" customHeight="1" x14ac:dyDescent="0.35">
      <c r="A1501" s="1">
        <v>1500</v>
      </c>
      <c r="B1501" s="1">
        <v>8</v>
      </c>
      <c r="C1501" s="1" t="s">
        <v>1578</v>
      </c>
    </row>
    <row r="1502" spans="1:3" ht="15.75" customHeight="1" x14ac:dyDescent="0.35">
      <c r="A1502" s="1">
        <v>1501</v>
      </c>
      <c r="B1502" s="1">
        <v>1</v>
      </c>
      <c r="C1502" s="1" t="s">
        <v>1579</v>
      </c>
    </row>
    <row r="1503" spans="1:3" ht="15.75" customHeight="1" x14ac:dyDescent="0.35">
      <c r="A1503" s="1">
        <v>1502</v>
      </c>
      <c r="B1503" s="1">
        <v>14</v>
      </c>
      <c r="C1503" s="1" t="s">
        <v>1580</v>
      </c>
    </row>
    <row r="1504" spans="1:3" ht="15.75" customHeight="1" x14ac:dyDescent="0.35">
      <c r="A1504" s="1">
        <v>1503</v>
      </c>
      <c r="B1504" s="1">
        <v>4</v>
      </c>
      <c r="C1504" s="1" t="s">
        <v>1581</v>
      </c>
    </row>
    <row r="1505" spans="1:3" ht="15.75" customHeight="1" x14ac:dyDescent="0.35">
      <c r="A1505" s="1">
        <v>1504</v>
      </c>
      <c r="B1505" s="1">
        <v>3</v>
      </c>
      <c r="C1505" s="1" t="s">
        <v>1582</v>
      </c>
    </row>
    <row r="1506" spans="1:3" ht="15.75" customHeight="1" x14ac:dyDescent="0.35">
      <c r="A1506" s="1">
        <v>1505</v>
      </c>
      <c r="B1506" s="1">
        <v>12</v>
      </c>
      <c r="C1506" s="1" t="s">
        <v>1583</v>
      </c>
    </row>
    <row r="1507" spans="1:3" ht="15.75" customHeight="1" x14ac:dyDescent="0.35">
      <c r="A1507" s="1">
        <v>1506</v>
      </c>
      <c r="B1507" s="1">
        <v>1</v>
      </c>
      <c r="C1507" s="1" t="s">
        <v>1584</v>
      </c>
    </row>
    <row r="1508" spans="1:3" ht="15.75" customHeight="1" x14ac:dyDescent="0.35">
      <c r="A1508" s="1">
        <v>1507</v>
      </c>
      <c r="B1508" s="1">
        <v>14</v>
      </c>
      <c r="C1508" s="1" t="s">
        <v>1585</v>
      </c>
    </row>
    <row r="1509" spans="1:3" ht="15.75" customHeight="1" x14ac:dyDescent="0.35">
      <c r="A1509" s="1">
        <v>1508</v>
      </c>
      <c r="B1509" s="1">
        <v>5</v>
      </c>
      <c r="C1509" s="1" t="s">
        <v>1586</v>
      </c>
    </row>
    <row r="1510" spans="1:3" ht="15.75" customHeight="1" x14ac:dyDescent="0.35">
      <c r="A1510" s="1">
        <v>1509</v>
      </c>
      <c r="B1510" s="1">
        <v>5</v>
      </c>
      <c r="C1510" s="1" t="s">
        <v>1587</v>
      </c>
    </row>
    <row r="1511" spans="1:3" ht="15.75" customHeight="1" x14ac:dyDescent="0.35">
      <c r="A1511" s="1">
        <v>1510</v>
      </c>
      <c r="B1511" s="1">
        <v>12</v>
      </c>
      <c r="C1511" s="1" t="s">
        <v>1588</v>
      </c>
    </row>
    <row r="1512" spans="1:3" ht="15.75" customHeight="1" x14ac:dyDescent="0.35">
      <c r="A1512" s="1">
        <v>1511</v>
      </c>
      <c r="B1512" s="1">
        <v>2</v>
      </c>
      <c r="C1512" s="1" t="s">
        <v>1589</v>
      </c>
    </row>
    <row r="1513" spans="1:3" ht="15.75" customHeight="1" x14ac:dyDescent="0.35">
      <c r="A1513" s="1">
        <v>1512</v>
      </c>
      <c r="B1513" s="1">
        <v>6</v>
      </c>
      <c r="C1513" s="1" t="s">
        <v>1590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7627"/>
  <sheetViews>
    <sheetView topLeftCell="A6578" workbookViewId="0">
      <selection activeCell="A6285" sqref="A6285:F7626"/>
    </sheetView>
  </sheetViews>
  <sheetFormatPr defaultColWidth="14.453125" defaultRowHeight="15" customHeight="1" x14ac:dyDescent="0.35"/>
  <cols>
    <col min="1" max="1" width="5.453125" customWidth="1"/>
    <col min="2" max="2" width="9.26953125" customWidth="1"/>
    <col min="3" max="3" width="9.08984375" customWidth="1"/>
    <col min="4" max="4" width="20.1796875" customWidth="1"/>
    <col min="5" max="6" width="8.7265625" customWidth="1"/>
  </cols>
  <sheetData>
    <row r="1" spans="1:6" ht="14.5" x14ac:dyDescent="0.35">
      <c r="A1" s="1" t="s">
        <v>0</v>
      </c>
      <c r="B1" s="1" t="s">
        <v>1591</v>
      </c>
      <c r="C1" s="1" t="s">
        <v>1592</v>
      </c>
    </row>
    <row r="2" spans="1:6" ht="14.5" hidden="1" x14ac:dyDescent="0.35">
      <c r="A2" s="1">
        <v>1</v>
      </c>
      <c r="B2" s="1">
        <v>1</v>
      </c>
      <c r="C2" s="1">
        <v>29</v>
      </c>
      <c r="D2" t="str">
        <f>VLOOKUP(B2,Заказы!A:C,3,0)</f>
        <v>2023-03-12 19:32:00</v>
      </c>
      <c r="E2" t="str">
        <f>VLOOKUP(C2,Меню!A:E,4,0)</f>
        <v>Салат</v>
      </c>
      <c r="F2">
        <f>VLOOKUP(C2,Меню!A:E,5,0)</f>
        <v>250</v>
      </c>
    </row>
    <row r="3" spans="1:6" ht="14.5" hidden="1" x14ac:dyDescent="0.35">
      <c r="A3" s="1">
        <v>2</v>
      </c>
      <c r="B3" s="1">
        <v>1</v>
      </c>
      <c r="C3" s="1">
        <v>51</v>
      </c>
      <c r="D3" t="str">
        <f>VLOOKUP(B3,Заказы!A:C,3,0)</f>
        <v>2023-03-12 19:32:00</v>
      </c>
      <c r="E3" t="str">
        <f>VLOOKUP(C3,Меню!A:E,4,0)</f>
        <v>Суши</v>
      </c>
      <c r="F3">
        <f>VLOOKUP(C3,Меню!A:E,5,0)</f>
        <v>100</v>
      </c>
    </row>
    <row r="4" spans="1:6" ht="14.5" hidden="1" x14ac:dyDescent="0.35">
      <c r="A4" s="1">
        <v>3</v>
      </c>
      <c r="B4" s="1">
        <v>1</v>
      </c>
      <c r="C4" s="1">
        <v>19</v>
      </c>
      <c r="D4" t="str">
        <f>VLOOKUP(B4,Заказы!A:C,3,0)</f>
        <v>2023-03-12 19:32:00</v>
      </c>
      <c r="E4" t="str">
        <f>VLOOKUP(C4,Меню!A:E,4,0)</f>
        <v>Первое</v>
      </c>
      <c r="F4">
        <f>VLOOKUP(C4,Меню!A:E,5,0)</f>
        <v>300</v>
      </c>
    </row>
    <row r="5" spans="1:6" ht="14.5" hidden="1" x14ac:dyDescent="0.35">
      <c r="A5" s="1">
        <v>4</v>
      </c>
      <c r="B5" s="1">
        <v>2</v>
      </c>
      <c r="C5" s="1">
        <v>37</v>
      </c>
      <c r="D5" t="str">
        <f>VLOOKUP(B5,Заказы!A:C,3,0)</f>
        <v>2023-03-12 20:05:00</v>
      </c>
      <c r="E5" t="str">
        <f>VLOOKUP(C5,Меню!A:E,4,0)</f>
        <v>Десерт</v>
      </c>
      <c r="F5">
        <f>VLOOKUP(C5,Меню!A:E,5,0)</f>
        <v>100</v>
      </c>
    </row>
    <row r="6" spans="1:6" ht="14.5" hidden="1" x14ac:dyDescent="0.35">
      <c r="A6" s="1">
        <v>5</v>
      </c>
      <c r="B6" s="1">
        <v>2</v>
      </c>
      <c r="C6" s="1">
        <v>31</v>
      </c>
      <c r="D6" t="str">
        <f>VLOOKUP(B6,Заказы!A:C,3,0)</f>
        <v>2023-03-12 20:05:00</v>
      </c>
      <c r="E6" t="str">
        <f>VLOOKUP(C6,Меню!A:E,4,0)</f>
        <v>Десерт</v>
      </c>
      <c r="F6">
        <f>VLOOKUP(C6,Меню!A:E,5,0)</f>
        <v>150</v>
      </c>
    </row>
    <row r="7" spans="1:6" ht="14.5" hidden="1" x14ac:dyDescent="0.35">
      <c r="A7" s="1">
        <v>6</v>
      </c>
      <c r="B7" s="1">
        <v>2</v>
      </c>
      <c r="C7" s="1">
        <v>51</v>
      </c>
      <c r="D7" t="str">
        <f>VLOOKUP(B7,Заказы!A:C,3,0)</f>
        <v>2023-03-12 20:05:00</v>
      </c>
      <c r="E7" t="str">
        <f>VLOOKUP(C7,Меню!A:E,4,0)</f>
        <v>Суши</v>
      </c>
      <c r="F7">
        <f>VLOOKUP(C7,Меню!A:E,5,0)</f>
        <v>100</v>
      </c>
    </row>
    <row r="8" spans="1:6" ht="14.5" hidden="1" x14ac:dyDescent="0.35">
      <c r="A8" s="1">
        <v>7</v>
      </c>
      <c r="B8" s="1">
        <v>2</v>
      </c>
      <c r="C8" s="1">
        <v>6</v>
      </c>
      <c r="D8" t="str">
        <f>VLOOKUP(B8,Заказы!A:C,3,0)</f>
        <v>2023-03-12 20:05:00</v>
      </c>
      <c r="E8" t="str">
        <f>VLOOKUP(C8,Меню!A:E,4,0)</f>
        <v>Завтрак</v>
      </c>
      <c r="F8">
        <f>VLOOKUP(C8,Меню!A:E,5,0)</f>
        <v>300</v>
      </c>
    </row>
    <row r="9" spans="1:6" ht="14.5" hidden="1" x14ac:dyDescent="0.35">
      <c r="A9" s="1">
        <v>8</v>
      </c>
      <c r="B9" s="1">
        <v>2</v>
      </c>
      <c r="C9" s="1">
        <v>52</v>
      </c>
      <c r="D9" t="str">
        <f>VLOOKUP(B9,Заказы!A:C,3,0)</f>
        <v>2023-03-12 20:05:00</v>
      </c>
      <c r="E9" t="str">
        <f>VLOOKUP(C9,Меню!A:E,4,0)</f>
        <v>Суши</v>
      </c>
      <c r="F9">
        <f>VLOOKUP(C9,Меню!A:E,5,0)</f>
        <v>100</v>
      </c>
    </row>
    <row r="10" spans="1:6" ht="14.5" hidden="1" x14ac:dyDescent="0.35">
      <c r="A10" s="1">
        <v>9</v>
      </c>
      <c r="B10" s="1">
        <v>3</v>
      </c>
      <c r="C10" s="1">
        <v>17</v>
      </c>
      <c r="D10" t="str">
        <f>VLOOKUP(B10,Заказы!A:C,3,0)</f>
        <v>2023-03-13 15:23:00</v>
      </c>
      <c r="E10" t="str">
        <f>VLOOKUP(C10,Меню!A:E,4,0)</f>
        <v>Первое</v>
      </c>
      <c r="F10">
        <f>VLOOKUP(C10,Меню!A:E,5,0)</f>
        <v>250</v>
      </c>
    </row>
    <row r="11" spans="1:6" ht="14.5" hidden="1" x14ac:dyDescent="0.35">
      <c r="A11" s="1">
        <v>10</v>
      </c>
      <c r="B11" s="1">
        <v>3</v>
      </c>
      <c r="C11" s="1">
        <v>41</v>
      </c>
      <c r="D11" t="str">
        <f>VLOOKUP(B11,Заказы!A:C,3,0)</f>
        <v>2023-03-13 15:23:00</v>
      </c>
      <c r="E11" t="str">
        <f>VLOOKUP(C11,Меню!A:E,4,0)</f>
        <v>Суши</v>
      </c>
      <c r="F11">
        <f>VLOOKUP(C11,Меню!A:E,5,0)</f>
        <v>220</v>
      </c>
    </row>
    <row r="12" spans="1:6" ht="14.5" hidden="1" x14ac:dyDescent="0.35">
      <c r="A12" s="1">
        <v>11</v>
      </c>
      <c r="B12" s="1">
        <v>4</v>
      </c>
      <c r="C12" s="1">
        <v>19</v>
      </c>
      <c r="D12" t="str">
        <f>VLOOKUP(B12,Заказы!A:C,3,0)</f>
        <v>2023-03-13 16:14:00</v>
      </c>
      <c r="E12" t="str">
        <f>VLOOKUP(C12,Меню!A:E,4,0)</f>
        <v>Первое</v>
      </c>
      <c r="F12">
        <f>VLOOKUP(C12,Меню!A:E,5,0)</f>
        <v>300</v>
      </c>
    </row>
    <row r="13" spans="1:6" ht="14.5" hidden="1" x14ac:dyDescent="0.35">
      <c r="A13" s="1">
        <v>12</v>
      </c>
      <c r="B13" s="1">
        <v>4</v>
      </c>
      <c r="C13" s="1">
        <v>17</v>
      </c>
      <c r="D13" t="str">
        <f>VLOOKUP(B13,Заказы!A:C,3,0)</f>
        <v>2023-03-13 16:14:00</v>
      </c>
      <c r="E13" t="str">
        <f>VLOOKUP(C13,Меню!A:E,4,0)</f>
        <v>Первое</v>
      </c>
      <c r="F13">
        <f>VLOOKUP(C13,Меню!A:E,5,0)</f>
        <v>250</v>
      </c>
    </row>
    <row r="14" spans="1:6" ht="14.5" hidden="1" x14ac:dyDescent="0.35">
      <c r="A14" s="1">
        <v>13</v>
      </c>
      <c r="B14" s="1">
        <v>4</v>
      </c>
      <c r="C14" s="1">
        <v>19</v>
      </c>
      <c r="D14" t="str">
        <f>VLOOKUP(B14,Заказы!A:C,3,0)</f>
        <v>2023-03-13 16:14:00</v>
      </c>
      <c r="E14" t="str">
        <f>VLOOKUP(C14,Меню!A:E,4,0)</f>
        <v>Первое</v>
      </c>
      <c r="F14">
        <f>VLOOKUP(C14,Меню!A:E,5,0)</f>
        <v>300</v>
      </c>
    </row>
    <row r="15" spans="1:6" ht="14.5" hidden="1" x14ac:dyDescent="0.35">
      <c r="A15" s="1">
        <v>14</v>
      </c>
      <c r="B15" s="1">
        <v>5</v>
      </c>
      <c r="C15" s="1">
        <v>25</v>
      </c>
      <c r="D15" t="str">
        <f>VLOOKUP(B15,Заказы!A:C,3,0)</f>
        <v>2023-03-13 16:27:00</v>
      </c>
      <c r="E15" t="str">
        <f>VLOOKUP(C15,Меню!A:E,4,0)</f>
        <v>Салат</v>
      </c>
      <c r="F15">
        <f>VLOOKUP(C15,Меню!A:E,5,0)</f>
        <v>250</v>
      </c>
    </row>
    <row r="16" spans="1:6" ht="14.5" hidden="1" x14ac:dyDescent="0.35">
      <c r="A16" s="1">
        <v>15</v>
      </c>
      <c r="B16" s="1">
        <v>5</v>
      </c>
      <c r="C16" s="1">
        <v>55</v>
      </c>
      <c r="D16" t="str">
        <f>VLOOKUP(B16,Заказы!A:C,3,0)</f>
        <v>2023-03-13 16:27:00</v>
      </c>
      <c r="E16" t="str">
        <f>VLOOKUP(C16,Меню!A:E,4,0)</f>
        <v>Суши</v>
      </c>
      <c r="F16">
        <f>VLOOKUP(C16,Меню!A:E,5,0)</f>
        <v>100</v>
      </c>
    </row>
    <row r="17" spans="1:6" ht="14.5" hidden="1" x14ac:dyDescent="0.35">
      <c r="A17" s="1">
        <v>16</v>
      </c>
      <c r="B17" s="1">
        <v>5</v>
      </c>
      <c r="C17" s="1">
        <v>2</v>
      </c>
      <c r="D17" t="str">
        <f>VLOOKUP(B17,Заказы!A:C,3,0)</f>
        <v>2023-03-13 16:27:00</v>
      </c>
      <c r="E17" t="str">
        <f>VLOOKUP(C17,Меню!A:E,4,0)</f>
        <v>Завтрак</v>
      </c>
      <c r="F17">
        <f>VLOOKUP(C17,Меню!A:E,5,0)</f>
        <v>250</v>
      </c>
    </row>
    <row r="18" spans="1:6" ht="14.5" hidden="1" x14ac:dyDescent="0.35">
      <c r="A18" s="1">
        <v>17</v>
      </c>
      <c r="B18" s="1">
        <v>5</v>
      </c>
      <c r="C18" s="1">
        <v>30</v>
      </c>
      <c r="D18" t="str">
        <f>VLOOKUP(B18,Заказы!A:C,3,0)</f>
        <v>2023-03-13 16:27:00</v>
      </c>
      <c r="E18" t="str">
        <f>VLOOKUP(C18,Меню!A:E,4,0)</f>
        <v>Салат</v>
      </c>
      <c r="F18">
        <f>VLOOKUP(C18,Меню!A:E,5,0)</f>
        <v>250</v>
      </c>
    </row>
    <row r="19" spans="1:6" ht="14.5" hidden="1" x14ac:dyDescent="0.35">
      <c r="A19" s="1">
        <v>18</v>
      </c>
      <c r="B19" s="1">
        <v>5</v>
      </c>
      <c r="C19" s="1">
        <v>41</v>
      </c>
      <c r="D19" t="str">
        <f>VLOOKUP(B19,Заказы!A:C,3,0)</f>
        <v>2023-03-13 16:27:00</v>
      </c>
      <c r="E19" t="str">
        <f>VLOOKUP(C19,Меню!A:E,4,0)</f>
        <v>Суши</v>
      </c>
      <c r="F19">
        <f>VLOOKUP(C19,Меню!A:E,5,0)</f>
        <v>220</v>
      </c>
    </row>
    <row r="20" spans="1:6" ht="14.5" hidden="1" x14ac:dyDescent="0.35">
      <c r="A20" s="1">
        <v>19</v>
      </c>
      <c r="B20" s="1">
        <v>5</v>
      </c>
      <c r="C20" s="1">
        <v>55</v>
      </c>
      <c r="D20" t="str">
        <f>VLOOKUP(B20,Заказы!A:C,3,0)</f>
        <v>2023-03-13 16:27:00</v>
      </c>
      <c r="E20" t="str">
        <f>VLOOKUP(C20,Меню!A:E,4,0)</f>
        <v>Суши</v>
      </c>
      <c r="F20">
        <f>VLOOKUP(C20,Меню!A:E,5,0)</f>
        <v>100</v>
      </c>
    </row>
    <row r="21" spans="1:6" ht="15.75" hidden="1" customHeight="1" x14ac:dyDescent="0.35">
      <c r="A21" s="1">
        <v>20</v>
      </c>
      <c r="B21" s="1">
        <v>5</v>
      </c>
      <c r="C21" s="1">
        <v>21</v>
      </c>
      <c r="D21" t="str">
        <f>VLOOKUP(B21,Заказы!A:C,3,0)</f>
        <v>2023-03-13 16:27:00</v>
      </c>
      <c r="E21" t="str">
        <f>VLOOKUP(C21,Меню!A:E,4,0)</f>
        <v>Салат</v>
      </c>
      <c r="F21">
        <f>VLOOKUP(C21,Меню!A:E,5,0)</f>
        <v>250</v>
      </c>
    </row>
    <row r="22" spans="1:6" ht="15.75" hidden="1" customHeight="1" x14ac:dyDescent="0.35">
      <c r="A22" s="1">
        <v>21</v>
      </c>
      <c r="B22" s="1">
        <v>5</v>
      </c>
      <c r="C22" s="1">
        <v>21</v>
      </c>
      <c r="D22" t="str">
        <f>VLOOKUP(B22,Заказы!A:C,3,0)</f>
        <v>2023-03-13 16:27:00</v>
      </c>
      <c r="E22" t="str">
        <f>VLOOKUP(C22,Меню!A:E,4,0)</f>
        <v>Салат</v>
      </c>
      <c r="F22">
        <f>VLOOKUP(C22,Меню!A:E,5,0)</f>
        <v>250</v>
      </c>
    </row>
    <row r="23" spans="1:6" ht="15.75" hidden="1" customHeight="1" x14ac:dyDescent="0.35">
      <c r="A23" s="1">
        <v>22</v>
      </c>
      <c r="B23" s="1">
        <v>6</v>
      </c>
      <c r="C23" s="1">
        <v>37</v>
      </c>
      <c r="D23" t="str">
        <f>VLOOKUP(B23,Заказы!A:C,3,0)</f>
        <v>2023-03-13 16:40:00</v>
      </c>
      <c r="E23" t="str">
        <f>VLOOKUP(C23,Меню!A:E,4,0)</f>
        <v>Десерт</v>
      </c>
      <c r="F23">
        <f>VLOOKUP(C23,Меню!A:E,5,0)</f>
        <v>100</v>
      </c>
    </row>
    <row r="24" spans="1:6" ht="15.75" hidden="1" customHeight="1" x14ac:dyDescent="0.35">
      <c r="A24" s="1">
        <v>23</v>
      </c>
      <c r="B24" s="1">
        <v>6</v>
      </c>
      <c r="C24" s="1">
        <v>54</v>
      </c>
      <c r="D24" t="str">
        <f>VLOOKUP(B24,Заказы!A:C,3,0)</f>
        <v>2023-03-13 16:40:00</v>
      </c>
      <c r="E24" t="str">
        <f>VLOOKUP(C24,Меню!A:E,4,0)</f>
        <v>Суши</v>
      </c>
      <c r="F24">
        <f>VLOOKUP(C24,Меню!A:E,5,0)</f>
        <v>100</v>
      </c>
    </row>
    <row r="25" spans="1:6" ht="15.75" hidden="1" customHeight="1" x14ac:dyDescent="0.35">
      <c r="A25" s="1">
        <v>24</v>
      </c>
      <c r="B25" s="1">
        <v>6</v>
      </c>
      <c r="C25" s="1">
        <v>60</v>
      </c>
      <c r="D25" t="str">
        <f>VLOOKUP(B25,Заказы!A:C,3,0)</f>
        <v>2023-03-13 16:40:00</v>
      </c>
      <c r="E25" t="str">
        <f>VLOOKUP(C25,Меню!A:E,4,0)</f>
        <v>Суши</v>
      </c>
      <c r="F25">
        <f>VLOOKUP(C25,Меню!A:E,5,0)</f>
        <v>250</v>
      </c>
    </row>
    <row r="26" spans="1:6" ht="15.75" hidden="1" customHeight="1" x14ac:dyDescent="0.35">
      <c r="A26" s="1">
        <v>25</v>
      </c>
      <c r="B26" s="1">
        <v>6</v>
      </c>
      <c r="C26" s="1">
        <v>27</v>
      </c>
      <c r="D26" t="str">
        <f>VLOOKUP(B26,Заказы!A:C,3,0)</f>
        <v>2023-03-13 16:40:00</v>
      </c>
      <c r="E26" t="str">
        <f>VLOOKUP(C26,Меню!A:E,4,0)</f>
        <v>Салат</v>
      </c>
      <c r="F26">
        <f>VLOOKUP(C26,Меню!A:E,5,0)</f>
        <v>250</v>
      </c>
    </row>
    <row r="27" spans="1:6" ht="15.75" hidden="1" customHeight="1" x14ac:dyDescent="0.35">
      <c r="A27" s="1">
        <v>26</v>
      </c>
      <c r="B27" s="1">
        <v>6</v>
      </c>
      <c r="C27" s="1">
        <v>42</v>
      </c>
      <c r="D27" t="str">
        <f>VLOOKUP(B27,Заказы!A:C,3,0)</f>
        <v>2023-03-13 16:40:00</v>
      </c>
      <c r="E27" t="str">
        <f>VLOOKUP(C27,Меню!A:E,4,0)</f>
        <v>Суши</v>
      </c>
      <c r="F27">
        <f>VLOOKUP(C27,Меню!A:E,5,0)</f>
        <v>250</v>
      </c>
    </row>
    <row r="28" spans="1:6" ht="15.75" hidden="1" customHeight="1" x14ac:dyDescent="0.35">
      <c r="A28" s="1">
        <v>27</v>
      </c>
      <c r="B28" s="1">
        <v>6</v>
      </c>
      <c r="C28" s="1">
        <v>56</v>
      </c>
      <c r="D28" t="str">
        <f>VLOOKUP(B28,Заказы!A:C,3,0)</f>
        <v>2023-03-13 16:40:00</v>
      </c>
      <c r="E28" t="str">
        <f>VLOOKUP(C28,Меню!A:E,4,0)</f>
        <v>Суши</v>
      </c>
      <c r="F28">
        <f>VLOOKUP(C28,Меню!A:E,5,0)</f>
        <v>200</v>
      </c>
    </row>
    <row r="29" spans="1:6" ht="15.75" hidden="1" customHeight="1" x14ac:dyDescent="0.35">
      <c r="A29" s="1">
        <v>28</v>
      </c>
      <c r="B29" s="1">
        <v>7</v>
      </c>
      <c r="C29" s="1">
        <v>10</v>
      </c>
      <c r="D29" t="str">
        <f>VLOOKUP(B29,Заказы!A:C,3,0)</f>
        <v>2023-03-13 18:55:00</v>
      </c>
      <c r="E29" t="str">
        <f>VLOOKUP(C29,Меню!A:E,4,0)</f>
        <v>Завтрак</v>
      </c>
      <c r="F29">
        <f>VLOOKUP(C29,Меню!A:E,5,0)</f>
        <v>200</v>
      </c>
    </row>
    <row r="30" spans="1:6" ht="15.75" hidden="1" customHeight="1" x14ac:dyDescent="0.35">
      <c r="A30" s="1">
        <v>29</v>
      </c>
      <c r="B30" s="1">
        <v>7</v>
      </c>
      <c r="C30" s="1">
        <v>18</v>
      </c>
      <c r="D30" t="str">
        <f>VLOOKUP(B30,Заказы!A:C,3,0)</f>
        <v>2023-03-13 18:55:00</v>
      </c>
      <c r="E30" t="str">
        <f>VLOOKUP(C30,Меню!A:E,4,0)</f>
        <v>Первое</v>
      </c>
      <c r="F30">
        <f>VLOOKUP(C30,Меню!A:E,5,0)</f>
        <v>300</v>
      </c>
    </row>
    <row r="31" spans="1:6" ht="15.75" hidden="1" customHeight="1" x14ac:dyDescent="0.35">
      <c r="A31" s="1">
        <v>30</v>
      </c>
      <c r="B31" s="1">
        <v>7</v>
      </c>
      <c r="C31" s="1">
        <v>21</v>
      </c>
      <c r="D31" t="str">
        <f>VLOOKUP(B31,Заказы!A:C,3,0)</f>
        <v>2023-03-13 18:55:00</v>
      </c>
      <c r="E31" t="str">
        <f>VLOOKUP(C31,Меню!A:E,4,0)</f>
        <v>Салат</v>
      </c>
      <c r="F31">
        <f>VLOOKUP(C31,Меню!A:E,5,0)</f>
        <v>250</v>
      </c>
    </row>
    <row r="32" spans="1:6" ht="15.75" hidden="1" customHeight="1" x14ac:dyDescent="0.35">
      <c r="A32" s="1">
        <v>31</v>
      </c>
      <c r="B32" s="1">
        <v>7</v>
      </c>
      <c r="C32" s="1">
        <v>32</v>
      </c>
      <c r="D32" t="str">
        <f>VLOOKUP(B32,Заказы!A:C,3,0)</f>
        <v>2023-03-13 18:55:00</v>
      </c>
      <c r="E32" t="str">
        <f>VLOOKUP(C32,Меню!A:E,4,0)</f>
        <v>Десерт</v>
      </c>
      <c r="F32">
        <f>VLOOKUP(C32,Меню!A:E,5,0)</f>
        <v>150</v>
      </c>
    </row>
    <row r="33" spans="1:6" ht="15.75" hidden="1" customHeight="1" x14ac:dyDescent="0.35">
      <c r="A33" s="1">
        <v>32</v>
      </c>
      <c r="B33" s="1">
        <v>7</v>
      </c>
      <c r="C33" s="1">
        <v>56</v>
      </c>
      <c r="D33" t="str">
        <f>VLOOKUP(B33,Заказы!A:C,3,0)</f>
        <v>2023-03-13 18:55:00</v>
      </c>
      <c r="E33" t="str">
        <f>VLOOKUP(C33,Меню!A:E,4,0)</f>
        <v>Суши</v>
      </c>
      <c r="F33">
        <f>VLOOKUP(C33,Меню!A:E,5,0)</f>
        <v>200</v>
      </c>
    </row>
    <row r="34" spans="1:6" ht="15.75" hidden="1" customHeight="1" x14ac:dyDescent="0.35">
      <c r="A34" s="1">
        <v>33</v>
      </c>
      <c r="B34" s="1">
        <v>8</v>
      </c>
      <c r="C34" s="1">
        <v>37</v>
      </c>
      <c r="D34" t="str">
        <f>VLOOKUP(B34,Заказы!A:C,3,0)</f>
        <v>2023-03-13 20:05:00</v>
      </c>
      <c r="E34" t="str">
        <f>VLOOKUP(C34,Меню!A:E,4,0)</f>
        <v>Десерт</v>
      </c>
      <c r="F34">
        <f>VLOOKUP(C34,Меню!A:E,5,0)</f>
        <v>100</v>
      </c>
    </row>
    <row r="35" spans="1:6" ht="15.75" hidden="1" customHeight="1" x14ac:dyDescent="0.35">
      <c r="A35" s="1">
        <v>34</v>
      </c>
      <c r="B35" s="1">
        <v>8</v>
      </c>
      <c r="C35" s="1">
        <v>47</v>
      </c>
      <c r="D35" t="str">
        <f>VLOOKUP(B35,Заказы!A:C,3,0)</f>
        <v>2023-03-13 20:05:00</v>
      </c>
      <c r="E35" t="str">
        <f>VLOOKUP(C35,Меню!A:E,4,0)</f>
        <v>Суши</v>
      </c>
      <c r="F35">
        <f>VLOOKUP(C35,Меню!A:E,5,0)</f>
        <v>200</v>
      </c>
    </row>
    <row r="36" spans="1:6" ht="15.75" hidden="1" customHeight="1" x14ac:dyDescent="0.35">
      <c r="A36" s="1">
        <v>35</v>
      </c>
      <c r="B36" s="1">
        <v>8</v>
      </c>
      <c r="C36" s="1">
        <v>23</v>
      </c>
      <c r="D36" t="str">
        <f>VLOOKUP(B36,Заказы!A:C,3,0)</f>
        <v>2023-03-13 20:05:00</v>
      </c>
      <c r="E36" t="str">
        <f>VLOOKUP(C36,Меню!A:E,4,0)</f>
        <v>Салат</v>
      </c>
      <c r="F36">
        <f>VLOOKUP(C36,Меню!A:E,5,0)</f>
        <v>250</v>
      </c>
    </row>
    <row r="37" spans="1:6" ht="15.75" hidden="1" customHeight="1" x14ac:dyDescent="0.35">
      <c r="A37" s="1">
        <v>36</v>
      </c>
      <c r="B37" s="1">
        <v>8</v>
      </c>
      <c r="C37" s="1">
        <v>6</v>
      </c>
      <c r="D37" t="str">
        <f>VLOOKUP(B37,Заказы!A:C,3,0)</f>
        <v>2023-03-13 20:05:00</v>
      </c>
      <c r="E37" t="str">
        <f>VLOOKUP(C37,Меню!A:E,4,0)</f>
        <v>Завтрак</v>
      </c>
      <c r="F37">
        <f>VLOOKUP(C37,Меню!A:E,5,0)</f>
        <v>300</v>
      </c>
    </row>
    <row r="38" spans="1:6" ht="15.75" hidden="1" customHeight="1" x14ac:dyDescent="0.35">
      <c r="A38" s="1">
        <v>37</v>
      </c>
      <c r="B38" s="1">
        <v>8</v>
      </c>
      <c r="C38" s="1">
        <v>24</v>
      </c>
      <c r="D38" t="str">
        <f>VLOOKUP(B38,Заказы!A:C,3,0)</f>
        <v>2023-03-13 20:05:00</v>
      </c>
      <c r="E38" t="str">
        <f>VLOOKUP(C38,Меню!A:E,4,0)</f>
        <v>Салат</v>
      </c>
      <c r="F38">
        <f>VLOOKUP(C38,Меню!A:E,5,0)</f>
        <v>250</v>
      </c>
    </row>
    <row r="39" spans="1:6" ht="15.75" hidden="1" customHeight="1" x14ac:dyDescent="0.35">
      <c r="A39" s="1">
        <v>38</v>
      </c>
      <c r="B39" s="1">
        <v>8</v>
      </c>
      <c r="C39" s="1">
        <v>20</v>
      </c>
      <c r="D39" t="str">
        <f>VLOOKUP(B39,Заказы!A:C,3,0)</f>
        <v>2023-03-13 20:05:00</v>
      </c>
      <c r="E39" t="str">
        <f>VLOOKUP(C39,Меню!A:E,4,0)</f>
        <v>Первое</v>
      </c>
      <c r="F39">
        <f>VLOOKUP(C39,Меню!A:E,5,0)</f>
        <v>250</v>
      </c>
    </row>
    <row r="40" spans="1:6" ht="15.75" hidden="1" customHeight="1" x14ac:dyDescent="0.35">
      <c r="A40" s="1">
        <v>39</v>
      </c>
      <c r="B40" s="1">
        <v>8</v>
      </c>
      <c r="C40" s="1">
        <v>28</v>
      </c>
      <c r="D40" t="str">
        <f>VLOOKUP(B40,Заказы!A:C,3,0)</f>
        <v>2023-03-13 20:05:00</v>
      </c>
      <c r="E40" t="str">
        <f>VLOOKUP(C40,Меню!A:E,4,0)</f>
        <v>Салат</v>
      </c>
      <c r="F40">
        <f>VLOOKUP(C40,Меню!A:E,5,0)</f>
        <v>250</v>
      </c>
    </row>
    <row r="41" spans="1:6" ht="15.75" hidden="1" customHeight="1" x14ac:dyDescent="0.35">
      <c r="A41" s="1">
        <v>40</v>
      </c>
      <c r="B41" s="1">
        <v>9</v>
      </c>
      <c r="C41" s="1">
        <v>32</v>
      </c>
      <c r="D41" t="str">
        <f>VLOOKUP(B41,Заказы!A:C,3,0)</f>
        <v>2023-03-13 22:53:00</v>
      </c>
      <c r="E41" t="str">
        <f>VLOOKUP(C41,Меню!A:E,4,0)</f>
        <v>Десерт</v>
      </c>
      <c r="F41">
        <f>VLOOKUP(C41,Меню!A:E,5,0)</f>
        <v>150</v>
      </c>
    </row>
    <row r="42" spans="1:6" ht="15.75" hidden="1" customHeight="1" x14ac:dyDescent="0.35">
      <c r="A42" s="1">
        <v>41</v>
      </c>
      <c r="B42" s="1">
        <v>9</v>
      </c>
      <c r="C42" s="1">
        <v>44</v>
      </c>
      <c r="D42" t="str">
        <f>VLOOKUP(B42,Заказы!A:C,3,0)</f>
        <v>2023-03-13 22:53:00</v>
      </c>
      <c r="E42" t="str">
        <f>VLOOKUP(C42,Меню!A:E,4,0)</f>
        <v>Суши</v>
      </c>
      <c r="F42">
        <f>VLOOKUP(C42,Меню!A:E,5,0)</f>
        <v>250</v>
      </c>
    </row>
    <row r="43" spans="1:6" ht="15.75" hidden="1" customHeight="1" x14ac:dyDescent="0.35">
      <c r="A43" s="1">
        <v>42</v>
      </c>
      <c r="B43" s="1">
        <v>9</v>
      </c>
      <c r="C43" s="1">
        <v>16</v>
      </c>
      <c r="D43" t="str">
        <f>VLOOKUP(B43,Заказы!A:C,3,0)</f>
        <v>2023-03-13 22:53:00</v>
      </c>
      <c r="E43" t="str">
        <f>VLOOKUP(C43,Меню!A:E,4,0)</f>
        <v>Первое</v>
      </c>
      <c r="F43">
        <f>VLOOKUP(C43,Меню!A:E,5,0)</f>
        <v>250</v>
      </c>
    </row>
    <row r="44" spans="1:6" ht="15.75" hidden="1" customHeight="1" x14ac:dyDescent="0.35">
      <c r="A44" s="1">
        <v>43</v>
      </c>
      <c r="B44" s="1">
        <v>9</v>
      </c>
      <c r="C44" s="1">
        <v>41</v>
      </c>
      <c r="D44" t="str">
        <f>VLOOKUP(B44,Заказы!A:C,3,0)</f>
        <v>2023-03-13 22:53:00</v>
      </c>
      <c r="E44" t="str">
        <f>VLOOKUP(C44,Меню!A:E,4,0)</f>
        <v>Суши</v>
      </c>
      <c r="F44">
        <f>VLOOKUP(C44,Меню!A:E,5,0)</f>
        <v>220</v>
      </c>
    </row>
    <row r="45" spans="1:6" ht="15.75" hidden="1" customHeight="1" x14ac:dyDescent="0.35">
      <c r="A45" s="1">
        <v>44</v>
      </c>
      <c r="B45" s="1">
        <v>9</v>
      </c>
      <c r="C45" s="1">
        <v>55</v>
      </c>
      <c r="D45" t="str">
        <f>VLOOKUP(B45,Заказы!A:C,3,0)</f>
        <v>2023-03-13 22:53:00</v>
      </c>
      <c r="E45" t="str">
        <f>VLOOKUP(C45,Меню!A:E,4,0)</f>
        <v>Суши</v>
      </c>
      <c r="F45">
        <f>VLOOKUP(C45,Меню!A:E,5,0)</f>
        <v>100</v>
      </c>
    </row>
    <row r="46" spans="1:6" ht="15.75" hidden="1" customHeight="1" x14ac:dyDescent="0.35">
      <c r="A46" s="1">
        <v>45</v>
      </c>
      <c r="B46" s="1">
        <v>9</v>
      </c>
      <c r="C46" s="1">
        <v>33</v>
      </c>
      <c r="D46" t="str">
        <f>VLOOKUP(B46,Заказы!A:C,3,0)</f>
        <v>2023-03-13 22:53:00</v>
      </c>
      <c r="E46" t="str">
        <f>VLOOKUP(C46,Меню!A:E,4,0)</f>
        <v>Десерт</v>
      </c>
      <c r="F46">
        <f>VLOOKUP(C46,Меню!A:E,5,0)</f>
        <v>150</v>
      </c>
    </row>
    <row r="47" spans="1:6" ht="15.75" hidden="1" customHeight="1" x14ac:dyDescent="0.35">
      <c r="A47" s="1">
        <v>46</v>
      </c>
      <c r="B47" s="1">
        <v>9</v>
      </c>
      <c r="C47" s="1">
        <v>35</v>
      </c>
      <c r="D47" t="str">
        <f>VLOOKUP(B47,Заказы!A:C,3,0)</f>
        <v>2023-03-13 22:53:00</v>
      </c>
      <c r="E47" t="str">
        <f>VLOOKUP(C47,Меню!A:E,4,0)</f>
        <v>Десерт</v>
      </c>
      <c r="F47">
        <f>VLOOKUP(C47,Меню!A:E,5,0)</f>
        <v>150</v>
      </c>
    </row>
    <row r="48" spans="1:6" ht="15.75" hidden="1" customHeight="1" x14ac:dyDescent="0.35">
      <c r="A48" s="1">
        <v>47</v>
      </c>
      <c r="B48" s="1">
        <v>9</v>
      </c>
      <c r="C48" s="1">
        <v>47</v>
      </c>
      <c r="D48" t="str">
        <f>VLOOKUP(B48,Заказы!A:C,3,0)</f>
        <v>2023-03-13 22:53:00</v>
      </c>
      <c r="E48" t="str">
        <f>VLOOKUP(C48,Меню!A:E,4,0)</f>
        <v>Суши</v>
      </c>
      <c r="F48">
        <f>VLOOKUP(C48,Меню!A:E,5,0)</f>
        <v>200</v>
      </c>
    </row>
    <row r="49" spans="1:6" ht="15.75" hidden="1" customHeight="1" x14ac:dyDescent="0.35">
      <c r="A49" s="1">
        <v>48</v>
      </c>
      <c r="B49" s="1">
        <v>10</v>
      </c>
      <c r="C49" s="1">
        <v>20</v>
      </c>
      <c r="D49" t="str">
        <f>VLOOKUP(B49,Заказы!A:C,3,0)</f>
        <v>2023-03-14 15:49:00</v>
      </c>
      <c r="E49" t="str">
        <f>VLOOKUP(C49,Меню!A:E,4,0)</f>
        <v>Первое</v>
      </c>
      <c r="F49">
        <f>VLOOKUP(C49,Меню!A:E,5,0)</f>
        <v>250</v>
      </c>
    </row>
    <row r="50" spans="1:6" ht="15.75" hidden="1" customHeight="1" x14ac:dyDescent="0.35">
      <c r="A50" s="1">
        <v>49</v>
      </c>
      <c r="B50" s="1">
        <v>10</v>
      </c>
      <c r="C50" s="1">
        <v>24</v>
      </c>
      <c r="D50" t="str">
        <f>VLOOKUP(B50,Заказы!A:C,3,0)</f>
        <v>2023-03-14 15:49:00</v>
      </c>
      <c r="E50" t="str">
        <f>VLOOKUP(C50,Меню!A:E,4,0)</f>
        <v>Салат</v>
      </c>
      <c r="F50">
        <f>VLOOKUP(C50,Меню!A:E,5,0)</f>
        <v>250</v>
      </c>
    </row>
    <row r="51" spans="1:6" ht="15.75" hidden="1" customHeight="1" x14ac:dyDescent="0.35">
      <c r="A51" s="1">
        <v>50</v>
      </c>
      <c r="B51" s="1">
        <v>10</v>
      </c>
      <c r="C51" s="1">
        <v>31</v>
      </c>
      <c r="D51" t="str">
        <f>VLOOKUP(B51,Заказы!A:C,3,0)</f>
        <v>2023-03-14 15:49:00</v>
      </c>
      <c r="E51" t="str">
        <f>VLOOKUP(C51,Меню!A:E,4,0)</f>
        <v>Десерт</v>
      </c>
      <c r="F51">
        <f>VLOOKUP(C51,Меню!A:E,5,0)</f>
        <v>150</v>
      </c>
    </row>
    <row r="52" spans="1:6" ht="15.75" hidden="1" customHeight="1" x14ac:dyDescent="0.35">
      <c r="A52" s="1">
        <v>51</v>
      </c>
      <c r="B52" s="1">
        <v>10</v>
      </c>
      <c r="C52" s="1">
        <v>43</v>
      </c>
      <c r="D52" t="str">
        <f>VLOOKUP(B52,Заказы!A:C,3,0)</f>
        <v>2023-03-14 15:49:00</v>
      </c>
      <c r="E52" t="str">
        <f>VLOOKUP(C52,Меню!A:E,4,0)</f>
        <v>Суши</v>
      </c>
      <c r="F52">
        <f>VLOOKUP(C52,Меню!A:E,5,0)</f>
        <v>250</v>
      </c>
    </row>
    <row r="53" spans="1:6" ht="15.75" hidden="1" customHeight="1" x14ac:dyDescent="0.35">
      <c r="A53" s="1">
        <v>52</v>
      </c>
      <c r="B53" s="1">
        <v>10</v>
      </c>
      <c r="C53" s="1">
        <v>32</v>
      </c>
      <c r="D53" t="str">
        <f>VLOOKUP(B53,Заказы!A:C,3,0)</f>
        <v>2023-03-14 15:49:00</v>
      </c>
      <c r="E53" t="str">
        <f>VLOOKUP(C53,Меню!A:E,4,0)</f>
        <v>Десерт</v>
      </c>
      <c r="F53">
        <f>VLOOKUP(C53,Меню!A:E,5,0)</f>
        <v>150</v>
      </c>
    </row>
    <row r="54" spans="1:6" ht="15.75" hidden="1" customHeight="1" x14ac:dyDescent="0.35">
      <c r="A54" s="1">
        <v>53</v>
      </c>
      <c r="B54" s="1">
        <v>10</v>
      </c>
      <c r="C54" s="1">
        <v>15</v>
      </c>
      <c r="D54" t="str">
        <f>VLOOKUP(B54,Заказы!A:C,3,0)</f>
        <v>2023-03-14 15:49:00</v>
      </c>
      <c r="E54" t="str">
        <f>VLOOKUP(C54,Меню!A:E,4,0)</f>
        <v>Первое</v>
      </c>
      <c r="F54">
        <f>VLOOKUP(C54,Меню!A:E,5,0)</f>
        <v>250</v>
      </c>
    </row>
    <row r="55" spans="1:6" ht="15.75" hidden="1" customHeight="1" x14ac:dyDescent="0.35">
      <c r="A55" s="1">
        <v>54</v>
      </c>
      <c r="B55" s="1">
        <v>10</v>
      </c>
      <c r="C55" s="1">
        <v>35</v>
      </c>
      <c r="D55" t="str">
        <f>VLOOKUP(B55,Заказы!A:C,3,0)</f>
        <v>2023-03-14 15:49:00</v>
      </c>
      <c r="E55" t="str">
        <f>VLOOKUP(C55,Меню!A:E,4,0)</f>
        <v>Десерт</v>
      </c>
      <c r="F55">
        <f>VLOOKUP(C55,Меню!A:E,5,0)</f>
        <v>150</v>
      </c>
    </row>
    <row r="56" spans="1:6" ht="15.75" hidden="1" customHeight="1" x14ac:dyDescent="0.35">
      <c r="A56" s="1">
        <v>55</v>
      </c>
      <c r="B56" s="1">
        <v>11</v>
      </c>
      <c r="C56" s="1">
        <v>14</v>
      </c>
      <c r="D56" t="str">
        <f>VLOOKUP(B56,Заказы!A:C,3,0)</f>
        <v>2023-03-14 15:56:00</v>
      </c>
      <c r="E56" t="str">
        <f>VLOOKUP(C56,Меню!A:E,4,0)</f>
        <v>Первое</v>
      </c>
      <c r="F56">
        <f>VLOOKUP(C56,Меню!A:E,5,0)</f>
        <v>350</v>
      </c>
    </row>
    <row r="57" spans="1:6" ht="15.75" hidden="1" customHeight="1" x14ac:dyDescent="0.35">
      <c r="A57" s="1">
        <v>56</v>
      </c>
      <c r="B57" s="1">
        <v>11</v>
      </c>
      <c r="C57" s="1">
        <v>18</v>
      </c>
      <c r="D57" t="str">
        <f>VLOOKUP(B57,Заказы!A:C,3,0)</f>
        <v>2023-03-14 15:56:00</v>
      </c>
      <c r="E57" t="str">
        <f>VLOOKUP(C57,Меню!A:E,4,0)</f>
        <v>Первое</v>
      </c>
      <c r="F57">
        <f>VLOOKUP(C57,Меню!A:E,5,0)</f>
        <v>300</v>
      </c>
    </row>
    <row r="58" spans="1:6" ht="15.75" hidden="1" customHeight="1" x14ac:dyDescent="0.35">
      <c r="A58" s="1">
        <v>57</v>
      </c>
      <c r="B58" s="1">
        <v>11</v>
      </c>
      <c r="C58" s="1">
        <v>53</v>
      </c>
      <c r="D58" t="str">
        <f>VLOOKUP(B58,Заказы!A:C,3,0)</f>
        <v>2023-03-14 15:56:00</v>
      </c>
      <c r="E58" t="str">
        <f>VLOOKUP(C58,Меню!A:E,4,0)</f>
        <v>Суши</v>
      </c>
      <c r="F58">
        <f>VLOOKUP(C58,Меню!A:E,5,0)</f>
        <v>100</v>
      </c>
    </row>
    <row r="59" spans="1:6" ht="15.75" hidden="1" customHeight="1" x14ac:dyDescent="0.35">
      <c r="A59" s="1">
        <v>58</v>
      </c>
      <c r="B59" s="1">
        <v>11</v>
      </c>
      <c r="C59" s="1">
        <v>4</v>
      </c>
      <c r="D59" t="str">
        <f>VLOOKUP(B59,Заказы!A:C,3,0)</f>
        <v>2023-03-14 15:56:00</v>
      </c>
      <c r="E59" t="str">
        <f>VLOOKUP(C59,Меню!A:E,4,0)</f>
        <v>Завтрак</v>
      </c>
      <c r="F59">
        <f>VLOOKUP(C59,Меню!A:E,5,0)</f>
        <v>180</v>
      </c>
    </row>
    <row r="60" spans="1:6" ht="15.75" hidden="1" customHeight="1" x14ac:dyDescent="0.35">
      <c r="A60" s="1">
        <v>59</v>
      </c>
      <c r="B60" s="1">
        <v>11</v>
      </c>
      <c r="C60" s="1">
        <v>22</v>
      </c>
      <c r="D60" t="str">
        <f>VLOOKUP(B60,Заказы!A:C,3,0)</f>
        <v>2023-03-14 15:56:00</v>
      </c>
      <c r="E60" t="str">
        <f>VLOOKUP(C60,Меню!A:E,4,0)</f>
        <v>Салат</v>
      </c>
      <c r="F60">
        <f>VLOOKUP(C60,Меню!A:E,5,0)</f>
        <v>250</v>
      </c>
    </row>
    <row r="61" spans="1:6" ht="15.75" hidden="1" customHeight="1" x14ac:dyDescent="0.35">
      <c r="A61" s="1">
        <v>60</v>
      </c>
      <c r="B61" s="1">
        <v>11</v>
      </c>
      <c r="C61" s="1">
        <v>29</v>
      </c>
      <c r="D61" t="str">
        <f>VLOOKUP(B61,Заказы!A:C,3,0)</f>
        <v>2023-03-14 15:56:00</v>
      </c>
      <c r="E61" t="str">
        <f>VLOOKUP(C61,Меню!A:E,4,0)</f>
        <v>Салат</v>
      </c>
      <c r="F61">
        <f>VLOOKUP(C61,Меню!A:E,5,0)</f>
        <v>250</v>
      </c>
    </row>
    <row r="62" spans="1:6" ht="15.75" hidden="1" customHeight="1" x14ac:dyDescent="0.35">
      <c r="A62" s="1">
        <v>61</v>
      </c>
      <c r="B62" s="1">
        <v>12</v>
      </c>
      <c r="C62" s="1">
        <v>12</v>
      </c>
      <c r="D62" t="str">
        <f>VLOOKUP(B62,Заказы!A:C,3,0)</f>
        <v>2023-03-14 17:50:00</v>
      </c>
      <c r="E62" t="str">
        <f>VLOOKUP(C62,Меню!A:E,4,0)</f>
        <v>Первое</v>
      </c>
      <c r="F62">
        <f>VLOOKUP(C62,Меню!A:E,5,0)</f>
        <v>300</v>
      </c>
    </row>
    <row r="63" spans="1:6" ht="15.75" hidden="1" customHeight="1" x14ac:dyDescent="0.35">
      <c r="A63" s="1">
        <v>62</v>
      </c>
      <c r="B63" s="1">
        <v>12</v>
      </c>
      <c r="C63" s="1">
        <v>40</v>
      </c>
      <c r="D63" t="str">
        <f>VLOOKUP(B63,Заказы!A:C,3,0)</f>
        <v>2023-03-14 17:50:00</v>
      </c>
      <c r="E63" t="str">
        <f>VLOOKUP(C63,Меню!A:E,4,0)</f>
        <v>Десерт</v>
      </c>
      <c r="F63">
        <f>VLOOKUP(C63,Меню!A:E,5,0)</f>
        <v>150</v>
      </c>
    </row>
    <row r="64" spans="1:6" ht="15.75" hidden="1" customHeight="1" x14ac:dyDescent="0.35">
      <c r="A64" s="1">
        <v>63</v>
      </c>
      <c r="B64" s="1">
        <v>12</v>
      </c>
      <c r="C64" s="1">
        <v>38</v>
      </c>
      <c r="D64" t="str">
        <f>VLOOKUP(B64,Заказы!A:C,3,0)</f>
        <v>2023-03-14 17:50:00</v>
      </c>
      <c r="E64" t="str">
        <f>VLOOKUP(C64,Меню!A:E,4,0)</f>
        <v>Десерт</v>
      </c>
      <c r="F64">
        <f>VLOOKUP(C64,Меню!A:E,5,0)</f>
        <v>150</v>
      </c>
    </row>
    <row r="65" spans="1:6" ht="15.75" hidden="1" customHeight="1" x14ac:dyDescent="0.35">
      <c r="A65" s="1">
        <v>64</v>
      </c>
      <c r="B65" s="1">
        <v>12</v>
      </c>
      <c r="C65" s="1">
        <v>31</v>
      </c>
      <c r="D65" t="str">
        <f>VLOOKUP(B65,Заказы!A:C,3,0)</f>
        <v>2023-03-14 17:50:00</v>
      </c>
      <c r="E65" t="str">
        <f>VLOOKUP(C65,Меню!A:E,4,0)</f>
        <v>Десерт</v>
      </c>
      <c r="F65">
        <f>VLOOKUP(C65,Меню!A:E,5,0)</f>
        <v>150</v>
      </c>
    </row>
    <row r="66" spans="1:6" ht="15.75" hidden="1" customHeight="1" x14ac:dyDescent="0.35">
      <c r="A66" s="1">
        <v>65</v>
      </c>
      <c r="B66" s="1">
        <v>12</v>
      </c>
      <c r="C66" s="1">
        <v>57</v>
      </c>
      <c r="D66" t="str">
        <f>VLOOKUP(B66,Заказы!A:C,3,0)</f>
        <v>2023-03-14 17:50:00</v>
      </c>
      <c r="E66" t="str">
        <f>VLOOKUP(C66,Меню!A:E,4,0)</f>
        <v>Суши</v>
      </c>
      <c r="F66">
        <f>VLOOKUP(C66,Меню!A:E,5,0)</f>
        <v>200</v>
      </c>
    </row>
    <row r="67" spans="1:6" ht="15.75" hidden="1" customHeight="1" x14ac:dyDescent="0.35">
      <c r="A67" s="1">
        <v>66</v>
      </c>
      <c r="B67" s="1">
        <v>12</v>
      </c>
      <c r="C67" s="1">
        <v>6</v>
      </c>
      <c r="D67" t="str">
        <f>VLOOKUP(B67,Заказы!A:C,3,0)</f>
        <v>2023-03-14 17:50:00</v>
      </c>
      <c r="E67" t="str">
        <f>VLOOKUP(C67,Меню!A:E,4,0)</f>
        <v>Завтрак</v>
      </c>
      <c r="F67">
        <f>VLOOKUP(C67,Меню!A:E,5,0)</f>
        <v>300</v>
      </c>
    </row>
    <row r="68" spans="1:6" ht="15.75" hidden="1" customHeight="1" x14ac:dyDescent="0.35">
      <c r="A68" s="1">
        <v>67</v>
      </c>
      <c r="B68" s="1">
        <v>12</v>
      </c>
      <c r="C68" s="1">
        <v>27</v>
      </c>
      <c r="D68" t="str">
        <f>VLOOKUP(B68,Заказы!A:C,3,0)</f>
        <v>2023-03-14 17:50:00</v>
      </c>
      <c r="E68" t="str">
        <f>VLOOKUP(C68,Меню!A:E,4,0)</f>
        <v>Салат</v>
      </c>
      <c r="F68">
        <f>VLOOKUP(C68,Меню!A:E,5,0)</f>
        <v>250</v>
      </c>
    </row>
    <row r="69" spans="1:6" ht="15.75" hidden="1" customHeight="1" x14ac:dyDescent="0.35">
      <c r="A69" s="1">
        <v>68</v>
      </c>
      <c r="B69" s="1">
        <v>13</v>
      </c>
      <c r="C69" s="1">
        <v>28</v>
      </c>
      <c r="D69" t="str">
        <f>VLOOKUP(B69,Заказы!A:C,3,0)</f>
        <v>2023-03-14 21:37:00</v>
      </c>
      <c r="E69" t="str">
        <f>VLOOKUP(C69,Меню!A:E,4,0)</f>
        <v>Салат</v>
      </c>
      <c r="F69">
        <f>VLOOKUP(C69,Меню!A:E,5,0)</f>
        <v>250</v>
      </c>
    </row>
    <row r="70" spans="1:6" ht="15.75" hidden="1" customHeight="1" x14ac:dyDescent="0.35">
      <c r="A70" s="1">
        <v>69</v>
      </c>
      <c r="B70" s="1">
        <v>13</v>
      </c>
      <c r="C70" s="1">
        <v>20</v>
      </c>
      <c r="D70" t="str">
        <f>VLOOKUP(B70,Заказы!A:C,3,0)</f>
        <v>2023-03-14 21:37:00</v>
      </c>
      <c r="E70" t="str">
        <f>VLOOKUP(C70,Меню!A:E,4,0)</f>
        <v>Первое</v>
      </c>
      <c r="F70">
        <f>VLOOKUP(C70,Меню!A:E,5,0)</f>
        <v>250</v>
      </c>
    </row>
    <row r="71" spans="1:6" ht="15.75" hidden="1" customHeight="1" x14ac:dyDescent="0.35">
      <c r="A71" s="1">
        <v>70</v>
      </c>
      <c r="B71" s="1">
        <v>13</v>
      </c>
      <c r="C71" s="1">
        <v>22</v>
      </c>
      <c r="D71" t="str">
        <f>VLOOKUP(B71,Заказы!A:C,3,0)</f>
        <v>2023-03-14 21:37:00</v>
      </c>
      <c r="E71" t="str">
        <f>VLOOKUP(C71,Меню!A:E,4,0)</f>
        <v>Салат</v>
      </c>
      <c r="F71">
        <f>VLOOKUP(C71,Меню!A:E,5,0)</f>
        <v>250</v>
      </c>
    </row>
    <row r="72" spans="1:6" ht="15.75" hidden="1" customHeight="1" x14ac:dyDescent="0.35">
      <c r="A72" s="1">
        <v>71</v>
      </c>
      <c r="B72" s="1">
        <v>14</v>
      </c>
      <c r="C72" s="1">
        <v>45</v>
      </c>
      <c r="D72" t="str">
        <f>VLOOKUP(B72,Заказы!A:C,3,0)</f>
        <v>2023-03-15 16:13:00</v>
      </c>
      <c r="E72" t="str">
        <f>VLOOKUP(C72,Меню!A:E,4,0)</f>
        <v>Суши</v>
      </c>
      <c r="F72">
        <f>VLOOKUP(C72,Меню!A:E,5,0)</f>
        <v>200</v>
      </c>
    </row>
    <row r="73" spans="1:6" ht="15.75" hidden="1" customHeight="1" x14ac:dyDescent="0.35">
      <c r="A73" s="1">
        <v>72</v>
      </c>
      <c r="B73" s="1">
        <v>14</v>
      </c>
      <c r="C73" s="1">
        <v>49</v>
      </c>
      <c r="D73" t="str">
        <f>VLOOKUP(B73,Заказы!A:C,3,0)</f>
        <v>2023-03-15 16:13:00</v>
      </c>
      <c r="E73" t="str">
        <f>VLOOKUP(C73,Меню!A:E,4,0)</f>
        <v>Суши</v>
      </c>
      <c r="F73">
        <f>VLOOKUP(C73,Меню!A:E,5,0)</f>
        <v>200</v>
      </c>
    </row>
    <row r="74" spans="1:6" ht="15.75" hidden="1" customHeight="1" x14ac:dyDescent="0.35">
      <c r="A74" s="1">
        <v>73</v>
      </c>
      <c r="B74" s="1">
        <v>14</v>
      </c>
      <c r="C74" s="1">
        <v>39</v>
      </c>
      <c r="D74" t="str">
        <f>VLOOKUP(B74,Заказы!A:C,3,0)</f>
        <v>2023-03-15 16:13:00</v>
      </c>
      <c r="E74" t="str">
        <f>VLOOKUP(C74,Меню!A:E,4,0)</f>
        <v>Десерт</v>
      </c>
      <c r="F74">
        <f>VLOOKUP(C74,Меню!A:E,5,0)</f>
        <v>150</v>
      </c>
    </row>
    <row r="75" spans="1:6" ht="15.75" hidden="1" customHeight="1" x14ac:dyDescent="0.35">
      <c r="A75" s="1">
        <v>74</v>
      </c>
      <c r="B75" s="1">
        <v>14</v>
      </c>
      <c r="C75" s="1">
        <v>17</v>
      </c>
      <c r="D75" t="str">
        <f>VLOOKUP(B75,Заказы!A:C,3,0)</f>
        <v>2023-03-15 16:13:00</v>
      </c>
      <c r="E75" t="str">
        <f>VLOOKUP(C75,Меню!A:E,4,0)</f>
        <v>Первое</v>
      </c>
      <c r="F75">
        <f>VLOOKUP(C75,Меню!A:E,5,0)</f>
        <v>250</v>
      </c>
    </row>
    <row r="76" spans="1:6" ht="15.75" hidden="1" customHeight="1" x14ac:dyDescent="0.35">
      <c r="A76" s="1">
        <v>75</v>
      </c>
      <c r="B76" s="1">
        <v>14</v>
      </c>
      <c r="C76" s="1">
        <v>23</v>
      </c>
      <c r="D76" t="str">
        <f>VLOOKUP(B76,Заказы!A:C,3,0)</f>
        <v>2023-03-15 16:13:00</v>
      </c>
      <c r="E76" t="str">
        <f>VLOOKUP(C76,Меню!A:E,4,0)</f>
        <v>Салат</v>
      </c>
      <c r="F76">
        <f>VLOOKUP(C76,Меню!A:E,5,0)</f>
        <v>250</v>
      </c>
    </row>
    <row r="77" spans="1:6" ht="15.75" hidden="1" customHeight="1" x14ac:dyDescent="0.35">
      <c r="A77" s="1">
        <v>76</v>
      </c>
      <c r="B77" s="1">
        <v>15</v>
      </c>
      <c r="C77" s="1">
        <v>45</v>
      </c>
      <c r="D77" t="str">
        <f>VLOOKUP(B77,Заказы!A:C,3,0)</f>
        <v>2023-03-15 20:54:00</v>
      </c>
      <c r="E77" t="str">
        <f>VLOOKUP(C77,Меню!A:E,4,0)</f>
        <v>Суши</v>
      </c>
      <c r="F77">
        <f>VLOOKUP(C77,Меню!A:E,5,0)</f>
        <v>200</v>
      </c>
    </row>
    <row r="78" spans="1:6" ht="15.75" hidden="1" customHeight="1" x14ac:dyDescent="0.35">
      <c r="A78" s="1">
        <v>77</v>
      </c>
      <c r="B78" s="1">
        <v>15</v>
      </c>
      <c r="C78" s="1">
        <v>55</v>
      </c>
      <c r="D78" t="str">
        <f>VLOOKUP(B78,Заказы!A:C,3,0)</f>
        <v>2023-03-15 20:54:00</v>
      </c>
      <c r="E78" t="str">
        <f>VLOOKUP(C78,Меню!A:E,4,0)</f>
        <v>Суши</v>
      </c>
      <c r="F78">
        <f>VLOOKUP(C78,Меню!A:E,5,0)</f>
        <v>100</v>
      </c>
    </row>
    <row r="79" spans="1:6" ht="15.75" hidden="1" customHeight="1" x14ac:dyDescent="0.35">
      <c r="A79" s="1">
        <v>78</v>
      </c>
      <c r="B79" s="1">
        <v>15</v>
      </c>
      <c r="C79" s="1">
        <v>37</v>
      </c>
      <c r="D79" t="str">
        <f>VLOOKUP(B79,Заказы!A:C,3,0)</f>
        <v>2023-03-15 20:54:00</v>
      </c>
      <c r="E79" t="str">
        <f>VLOOKUP(C79,Меню!A:E,4,0)</f>
        <v>Десерт</v>
      </c>
      <c r="F79">
        <f>VLOOKUP(C79,Меню!A:E,5,0)</f>
        <v>100</v>
      </c>
    </row>
    <row r="80" spans="1:6" ht="15.75" hidden="1" customHeight="1" x14ac:dyDescent="0.35">
      <c r="A80" s="1">
        <v>79</v>
      </c>
      <c r="B80" s="1">
        <v>15</v>
      </c>
      <c r="C80" s="1">
        <v>20</v>
      </c>
      <c r="D80" t="str">
        <f>VLOOKUP(B80,Заказы!A:C,3,0)</f>
        <v>2023-03-15 20:54:00</v>
      </c>
      <c r="E80" t="str">
        <f>VLOOKUP(C80,Меню!A:E,4,0)</f>
        <v>Первое</v>
      </c>
      <c r="F80">
        <f>VLOOKUP(C80,Меню!A:E,5,0)</f>
        <v>250</v>
      </c>
    </row>
    <row r="81" spans="1:6" ht="15.75" hidden="1" customHeight="1" x14ac:dyDescent="0.35">
      <c r="A81" s="1">
        <v>80</v>
      </c>
      <c r="B81" s="1">
        <v>15</v>
      </c>
      <c r="C81" s="1">
        <v>23</v>
      </c>
      <c r="D81" t="str">
        <f>VLOOKUP(B81,Заказы!A:C,3,0)</f>
        <v>2023-03-15 20:54:00</v>
      </c>
      <c r="E81" t="str">
        <f>VLOOKUP(C81,Меню!A:E,4,0)</f>
        <v>Салат</v>
      </c>
      <c r="F81">
        <f>VLOOKUP(C81,Меню!A:E,5,0)</f>
        <v>250</v>
      </c>
    </row>
    <row r="82" spans="1:6" ht="15.75" hidden="1" customHeight="1" x14ac:dyDescent="0.35">
      <c r="A82" s="1">
        <v>81</v>
      </c>
      <c r="B82" s="1">
        <v>15</v>
      </c>
      <c r="C82" s="1">
        <v>18</v>
      </c>
      <c r="D82" t="str">
        <f>VLOOKUP(B82,Заказы!A:C,3,0)</f>
        <v>2023-03-15 20:54:00</v>
      </c>
      <c r="E82" t="str">
        <f>VLOOKUP(C82,Меню!A:E,4,0)</f>
        <v>Первое</v>
      </c>
      <c r="F82">
        <f>VLOOKUP(C82,Меню!A:E,5,0)</f>
        <v>300</v>
      </c>
    </row>
    <row r="83" spans="1:6" ht="15.75" hidden="1" customHeight="1" x14ac:dyDescent="0.35">
      <c r="A83" s="1">
        <v>82</v>
      </c>
      <c r="B83" s="1">
        <v>15</v>
      </c>
      <c r="C83" s="1">
        <v>31</v>
      </c>
      <c r="D83" t="str">
        <f>VLOOKUP(B83,Заказы!A:C,3,0)</f>
        <v>2023-03-15 20:54:00</v>
      </c>
      <c r="E83" t="str">
        <f>VLOOKUP(C83,Меню!A:E,4,0)</f>
        <v>Десерт</v>
      </c>
      <c r="F83">
        <f>VLOOKUP(C83,Меню!A:E,5,0)</f>
        <v>150</v>
      </c>
    </row>
    <row r="84" spans="1:6" ht="15.75" hidden="1" customHeight="1" x14ac:dyDescent="0.35">
      <c r="A84" s="1">
        <v>83</v>
      </c>
      <c r="B84" s="1">
        <v>16</v>
      </c>
      <c r="C84" s="1">
        <v>38</v>
      </c>
      <c r="D84" t="str">
        <f>VLOOKUP(B84,Заказы!A:C,3,0)</f>
        <v>2023-03-15 21:46:00</v>
      </c>
      <c r="E84" t="str">
        <f>VLOOKUP(C84,Меню!A:E,4,0)</f>
        <v>Десерт</v>
      </c>
      <c r="F84">
        <f>VLOOKUP(C84,Меню!A:E,5,0)</f>
        <v>150</v>
      </c>
    </row>
    <row r="85" spans="1:6" ht="15.75" hidden="1" customHeight="1" x14ac:dyDescent="0.35">
      <c r="A85" s="1">
        <v>84</v>
      </c>
      <c r="B85" s="1">
        <v>16</v>
      </c>
      <c r="C85" s="1">
        <v>46</v>
      </c>
      <c r="D85" t="str">
        <f>VLOOKUP(B85,Заказы!A:C,3,0)</f>
        <v>2023-03-15 21:46:00</v>
      </c>
      <c r="E85" t="str">
        <f>VLOOKUP(C85,Меню!A:E,4,0)</f>
        <v>Суши</v>
      </c>
      <c r="F85">
        <f>VLOOKUP(C85,Меню!A:E,5,0)</f>
        <v>200</v>
      </c>
    </row>
    <row r="86" spans="1:6" ht="15.75" hidden="1" customHeight="1" x14ac:dyDescent="0.35">
      <c r="A86" s="1">
        <v>85</v>
      </c>
      <c r="B86" s="1">
        <v>17</v>
      </c>
      <c r="C86" s="1">
        <v>45</v>
      </c>
      <c r="D86" t="str">
        <f>VLOOKUP(B86,Заказы!A:C,3,0)</f>
        <v>2023-03-17 15:17:00</v>
      </c>
      <c r="E86" t="str">
        <f>VLOOKUP(C86,Меню!A:E,4,0)</f>
        <v>Суши</v>
      </c>
      <c r="F86">
        <f>VLOOKUP(C86,Меню!A:E,5,0)</f>
        <v>200</v>
      </c>
    </row>
    <row r="87" spans="1:6" ht="15.75" hidden="1" customHeight="1" x14ac:dyDescent="0.35">
      <c r="A87" s="1">
        <v>86</v>
      </c>
      <c r="B87" s="1">
        <v>17</v>
      </c>
      <c r="C87" s="1">
        <v>5</v>
      </c>
      <c r="D87" t="str">
        <f>VLOOKUP(B87,Заказы!A:C,3,0)</f>
        <v>2023-03-17 15:17:00</v>
      </c>
      <c r="E87" t="str">
        <f>VLOOKUP(C87,Меню!A:E,4,0)</f>
        <v>Завтрак</v>
      </c>
      <c r="F87">
        <f>VLOOKUP(C87,Меню!A:E,5,0)</f>
        <v>220</v>
      </c>
    </row>
    <row r="88" spans="1:6" ht="15.75" hidden="1" customHeight="1" x14ac:dyDescent="0.35">
      <c r="A88" s="1">
        <v>87</v>
      </c>
      <c r="B88" s="1">
        <v>17</v>
      </c>
      <c r="C88" s="1">
        <v>32</v>
      </c>
      <c r="D88" t="str">
        <f>VLOOKUP(B88,Заказы!A:C,3,0)</f>
        <v>2023-03-17 15:17:00</v>
      </c>
      <c r="E88" t="str">
        <f>VLOOKUP(C88,Меню!A:E,4,0)</f>
        <v>Десерт</v>
      </c>
      <c r="F88">
        <f>VLOOKUP(C88,Меню!A:E,5,0)</f>
        <v>150</v>
      </c>
    </row>
    <row r="89" spans="1:6" ht="15.75" hidden="1" customHeight="1" x14ac:dyDescent="0.35">
      <c r="A89" s="1">
        <v>88</v>
      </c>
      <c r="B89" s="1">
        <v>17</v>
      </c>
      <c r="C89" s="1">
        <v>59</v>
      </c>
      <c r="D89" t="str">
        <f>VLOOKUP(B89,Заказы!A:C,3,0)</f>
        <v>2023-03-17 15:17:00</v>
      </c>
      <c r="E89" t="str">
        <f>VLOOKUP(C89,Меню!A:E,4,0)</f>
        <v>Суши</v>
      </c>
      <c r="F89">
        <f>VLOOKUP(C89,Меню!A:E,5,0)</f>
        <v>300</v>
      </c>
    </row>
    <row r="90" spans="1:6" ht="15.75" hidden="1" customHeight="1" x14ac:dyDescent="0.35">
      <c r="A90" s="1">
        <v>89</v>
      </c>
      <c r="B90" s="1">
        <v>17</v>
      </c>
      <c r="C90" s="1">
        <v>9</v>
      </c>
      <c r="D90" t="str">
        <f>VLOOKUP(B90,Заказы!A:C,3,0)</f>
        <v>2023-03-17 15:17:00</v>
      </c>
      <c r="E90" t="str">
        <f>VLOOKUP(C90,Меню!A:E,4,0)</f>
        <v>Завтрак</v>
      </c>
      <c r="F90">
        <f>VLOOKUP(C90,Меню!A:E,5,0)</f>
        <v>220</v>
      </c>
    </row>
    <row r="91" spans="1:6" ht="15.75" hidden="1" customHeight="1" x14ac:dyDescent="0.35">
      <c r="A91" s="1">
        <v>90</v>
      </c>
      <c r="B91" s="1">
        <v>17</v>
      </c>
      <c r="C91" s="1">
        <v>27</v>
      </c>
      <c r="D91" t="str">
        <f>VLOOKUP(B91,Заказы!A:C,3,0)</f>
        <v>2023-03-17 15:17:00</v>
      </c>
      <c r="E91" t="str">
        <f>VLOOKUP(C91,Меню!A:E,4,0)</f>
        <v>Салат</v>
      </c>
      <c r="F91">
        <f>VLOOKUP(C91,Меню!A:E,5,0)</f>
        <v>250</v>
      </c>
    </row>
    <row r="92" spans="1:6" ht="15.75" hidden="1" customHeight="1" x14ac:dyDescent="0.35">
      <c r="A92" s="1">
        <v>91</v>
      </c>
      <c r="B92" s="1">
        <v>17</v>
      </c>
      <c r="C92" s="1">
        <v>49</v>
      </c>
      <c r="D92" t="str">
        <f>VLOOKUP(B92,Заказы!A:C,3,0)</f>
        <v>2023-03-17 15:17:00</v>
      </c>
      <c r="E92" t="str">
        <f>VLOOKUP(C92,Меню!A:E,4,0)</f>
        <v>Суши</v>
      </c>
      <c r="F92">
        <f>VLOOKUP(C92,Меню!A:E,5,0)</f>
        <v>200</v>
      </c>
    </row>
    <row r="93" spans="1:6" ht="15.75" hidden="1" customHeight="1" x14ac:dyDescent="0.35">
      <c r="A93" s="1">
        <v>92</v>
      </c>
      <c r="B93" s="1">
        <v>17</v>
      </c>
      <c r="C93" s="1">
        <v>12</v>
      </c>
      <c r="D93" t="str">
        <f>VLOOKUP(B93,Заказы!A:C,3,0)</f>
        <v>2023-03-17 15:17:00</v>
      </c>
      <c r="E93" t="str">
        <f>VLOOKUP(C93,Меню!A:E,4,0)</f>
        <v>Первое</v>
      </c>
      <c r="F93">
        <f>VLOOKUP(C93,Меню!A:E,5,0)</f>
        <v>300</v>
      </c>
    </row>
    <row r="94" spans="1:6" ht="15.75" hidden="1" customHeight="1" x14ac:dyDescent="0.35">
      <c r="A94" s="1">
        <v>93</v>
      </c>
      <c r="B94" s="1">
        <v>17</v>
      </c>
      <c r="C94" s="1">
        <v>43</v>
      </c>
      <c r="D94" t="str">
        <f>VLOOKUP(B94,Заказы!A:C,3,0)</f>
        <v>2023-03-17 15:17:00</v>
      </c>
      <c r="E94" t="str">
        <f>VLOOKUP(C94,Меню!A:E,4,0)</f>
        <v>Суши</v>
      </c>
      <c r="F94">
        <f>VLOOKUP(C94,Меню!A:E,5,0)</f>
        <v>250</v>
      </c>
    </row>
    <row r="95" spans="1:6" ht="15.75" hidden="1" customHeight="1" x14ac:dyDescent="0.35">
      <c r="A95" s="1">
        <v>94</v>
      </c>
      <c r="B95" s="1">
        <v>18</v>
      </c>
      <c r="C95" s="1">
        <v>38</v>
      </c>
      <c r="D95" t="str">
        <f>VLOOKUP(B95,Заказы!A:C,3,0)</f>
        <v>2023-03-17 20:47:00</v>
      </c>
      <c r="E95" t="str">
        <f>VLOOKUP(C95,Меню!A:E,4,0)</f>
        <v>Десерт</v>
      </c>
      <c r="F95">
        <f>VLOOKUP(C95,Меню!A:E,5,0)</f>
        <v>150</v>
      </c>
    </row>
    <row r="96" spans="1:6" ht="15.75" hidden="1" customHeight="1" x14ac:dyDescent="0.35">
      <c r="A96" s="1">
        <v>95</v>
      </c>
      <c r="B96" s="1">
        <v>18</v>
      </c>
      <c r="C96" s="1">
        <v>22</v>
      </c>
      <c r="D96" t="str">
        <f>VLOOKUP(B96,Заказы!A:C,3,0)</f>
        <v>2023-03-17 20:47:00</v>
      </c>
      <c r="E96" t="str">
        <f>VLOOKUP(C96,Меню!A:E,4,0)</f>
        <v>Салат</v>
      </c>
      <c r="F96">
        <f>VLOOKUP(C96,Меню!A:E,5,0)</f>
        <v>250</v>
      </c>
    </row>
    <row r="97" spans="1:6" ht="15.75" hidden="1" customHeight="1" x14ac:dyDescent="0.35">
      <c r="A97" s="1">
        <v>96</v>
      </c>
      <c r="B97" s="1">
        <v>18</v>
      </c>
      <c r="C97" s="1">
        <v>52</v>
      </c>
      <c r="D97" t="str">
        <f>VLOOKUP(B97,Заказы!A:C,3,0)</f>
        <v>2023-03-17 20:47:00</v>
      </c>
      <c r="E97" t="str">
        <f>VLOOKUP(C97,Меню!A:E,4,0)</f>
        <v>Суши</v>
      </c>
      <c r="F97">
        <f>VLOOKUP(C97,Меню!A:E,5,0)</f>
        <v>100</v>
      </c>
    </row>
    <row r="98" spans="1:6" ht="15.75" hidden="1" customHeight="1" x14ac:dyDescent="0.35">
      <c r="A98" s="1">
        <v>97</v>
      </c>
      <c r="B98" s="1">
        <v>18</v>
      </c>
      <c r="C98" s="1">
        <v>38</v>
      </c>
      <c r="D98" t="str">
        <f>VLOOKUP(B98,Заказы!A:C,3,0)</f>
        <v>2023-03-17 20:47:00</v>
      </c>
      <c r="E98" t="str">
        <f>VLOOKUP(C98,Меню!A:E,4,0)</f>
        <v>Десерт</v>
      </c>
      <c r="F98">
        <f>VLOOKUP(C98,Меню!A:E,5,0)</f>
        <v>150</v>
      </c>
    </row>
    <row r="99" spans="1:6" ht="15.75" hidden="1" customHeight="1" x14ac:dyDescent="0.35">
      <c r="A99" s="1">
        <v>98</v>
      </c>
      <c r="B99" s="1">
        <v>18</v>
      </c>
      <c r="C99" s="1">
        <v>2</v>
      </c>
      <c r="D99" t="str">
        <f>VLOOKUP(B99,Заказы!A:C,3,0)</f>
        <v>2023-03-17 20:47:00</v>
      </c>
      <c r="E99" t="str">
        <f>VLOOKUP(C99,Меню!A:E,4,0)</f>
        <v>Завтрак</v>
      </c>
      <c r="F99">
        <f>VLOOKUP(C99,Меню!A:E,5,0)</f>
        <v>250</v>
      </c>
    </row>
    <row r="100" spans="1:6" ht="15.75" hidden="1" customHeight="1" x14ac:dyDescent="0.35">
      <c r="A100" s="1">
        <v>99</v>
      </c>
      <c r="B100" s="1">
        <v>18</v>
      </c>
      <c r="C100" s="1">
        <v>39</v>
      </c>
      <c r="D100" t="str">
        <f>VLOOKUP(B100,Заказы!A:C,3,0)</f>
        <v>2023-03-17 20:47:00</v>
      </c>
      <c r="E100" t="str">
        <f>VLOOKUP(C100,Меню!A:E,4,0)</f>
        <v>Десерт</v>
      </c>
      <c r="F100">
        <f>VLOOKUP(C100,Меню!A:E,5,0)</f>
        <v>150</v>
      </c>
    </row>
    <row r="101" spans="1:6" ht="15.75" hidden="1" customHeight="1" x14ac:dyDescent="0.35">
      <c r="A101" s="1">
        <v>100</v>
      </c>
      <c r="B101" s="1">
        <v>18</v>
      </c>
      <c r="C101" s="1">
        <v>2</v>
      </c>
      <c r="D101" t="str">
        <f>VLOOKUP(B101,Заказы!A:C,3,0)</f>
        <v>2023-03-17 20:47:00</v>
      </c>
      <c r="E101" t="str">
        <f>VLOOKUP(C101,Меню!A:E,4,0)</f>
        <v>Завтрак</v>
      </c>
      <c r="F101">
        <f>VLOOKUP(C101,Меню!A:E,5,0)</f>
        <v>250</v>
      </c>
    </row>
    <row r="102" spans="1:6" ht="15.75" hidden="1" customHeight="1" x14ac:dyDescent="0.35">
      <c r="A102" s="1">
        <v>101</v>
      </c>
      <c r="B102" s="1">
        <v>18</v>
      </c>
      <c r="C102" s="1">
        <v>41</v>
      </c>
      <c r="D102" t="str">
        <f>VLOOKUP(B102,Заказы!A:C,3,0)</f>
        <v>2023-03-17 20:47:00</v>
      </c>
      <c r="E102" t="str">
        <f>VLOOKUP(C102,Меню!A:E,4,0)</f>
        <v>Суши</v>
      </c>
      <c r="F102">
        <f>VLOOKUP(C102,Меню!A:E,5,0)</f>
        <v>220</v>
      </c>
    </row>
    <row r="103" spans="1:6" ht="15.75" hidden="1" customHeight="1" x14ac:dyDescent="0.35">
      <c r="A103" s="1">
        <v>102</v>
      </c>
      <c r="B103" s="1">
        <v>18</v>
      </c>
      <c r="C103" s="1">
        <v>14</v>
      </c>
      <c r="D103" t="str">
        <f>VLOOKUP(B103,Заказы!A:C,3,0)</f>
        <v>2023-03-17 20:47:00</v>
      </c>
      <c r="E103" t="str">
        <f>VLOOKUP(C103,Меню!A:E,4,0)</f>
        <v>Первое</v>
      </c>
      <c r="F103">
        <f>VLOOKUP(C103,Меню!A:E,5,0)</f>
        <v>350</v>
      </c>
    </row>
    <row r="104" spans="1:6" ht="15.75" hidden="1" customHeight="1" x14ac:dyDescent="0.35">
      <c r="A104" s="1">
        <v>103</v>
      </c>
      <c r="B104" s="1">
        <v>19</v>
      </c>
      <c r="C104" s="1">
        <v>49</v>
      </c>
      <c r="D104" t="str">
        <f>VLOOKUP(B104,Заказы!A:C,3,0)</f>
        <v>2023-03-17 21:08:00</v>
      </c>
      <c r="E104" t="str">
        <f>VLOOKUP(C104,Меню!A:E,4,0)</f>
        <v>Суши</v>
      </c>
      <c r="F104">
        <f>VLOOKUP(C104,Меню!A:E,5,0)</f>
        <v>200</v>
      </c>
    </row>
    <row r="105" spans="1:6" ht="15.75" hidden="1" customHeight="1" x14ac:dyDescent="0.35">
      <c r="A105" s="1">
        <v>104</v>
      </c>
      <c r="B105" s="1">
        <v>19</v>
      </c>
      <c r="C105" s="1">
        <v>27</v>
      </c>
      <c r="D105" t="str">
        <f>VLOOKUP(B105,Заказы!A:C,3,0)</f>
        <v>2023-03-17 21:08:00</v>
      </c>
      <c r="E105" t="str">
        <f>VLOOKUP(C105,Меню!A:E,4,0)</f>
        <v>Салат</v>
      </c>
      <c r="F105">
        <f>VLOOKUP(C105,Меню!A:E,5,0)</f>
        <v>250</v>
      </c>
    </row>
    <row r="106" spans="1:6" ht="15.75" hidden="1" customHeight="1" x14ac:dyDescent="0.35">
      <c r="A106" s="1">
        <v>105</v>
      </c>
      <c r="B106" s="1">
        <v>19</v>
      </c>
      <c r="C106" s="1">
        <v>29</v>
      </c>
      <c r="D106" t="str">
        <f>VLOOKUP(B106,Заказы!A:C,3,0)</f>
        <v>2023-03-17 21:08:00</v>
      </c>
      <c r="E106" t="str">
        <f>VLOOKUP(C106,Меню!A:E,4,0)</f>
        <v>Салат</v>
      </c>
      <c r="F106">
        <f>VLOOKUP(C106,Меню!A:E,5,0)</f>
        <v>250</v>
      </c>
    </row>
    <row r="107" spans="1:6" ht="15.75" hidden="1" customHeight="1" x14ac:dyDescent="0.35">
      <c r="A107" s="1">
        <v>106</v>
      </c>
      <c r="B107" s="1">
        <v>20</v>
      </c>
      <c r="C107" s="1">
        <v>28</v>
      </c>
      <c r="D107" t="str">
        <f>VLOOKUP(B107,Заказы!A:C,3,0)</f>
        <v>2023-03-17 22:11:00</v>
      </c>
      <c r="E107" t="str">
        <f>VLOOKUP(C107,Меню!A:E,4,0)</f>
        <v>Салат</v>
      </c>
      <c r="F107">
        <f>VLOOKUP(C107,Меню!A:E,5,0)</f>
        <v>250</v>
      </c>
    </row>
    <row r="108" spans="1:6" ht="15.75" hidden="1" customHeight="1" x14ac:dyDescent="0.35">
      <c r="A108" s="1">
        <v>107</v>
      </c>
      <c r="B108" s="1">
        <v>20</v>
      </c>
      <c r="C108" s="1">
        <v>50</v>
      </c>
      <c r="D108" t="str">
        <f>VLOOKUP(B108,Заказы!A:C,3,0)</f>
        <v>2023-03-17 22:11:00</v>
      </c>
      <c r="E108" t="str">
        <f>VLOOKUP(C108,Меню!A:E,4,0)</f>
        <v>Суши</v>
      </c>
      <c r="F108">
        <f>VLOOKUP(C108,Меню!A:E,5,0)</f>
        <v>200</v>
      </c>
    </row>
    <row r="109" spans="1:6" ht="15.75" hidden="1" customHeight="1" x14ac:dyDescent="0.35">
      <c r="A109" s="1">
        <v>108</v>
      </c>
      <c r="B109" s="1">
        <v>20</v>
      </c>
      <c r="C109" s="1">
        <v>6</v>
      </c>
      <c r="D109" t="str">
        <f>VLOOKUP(B109,Заказы!A:C,3,0)</f>
        <v>2023-03-17 22:11:00</v>
      </c>
      <c r="E109" t="str">
        <f>VLOOKUP(C109,Меню!A:E,4,0)</f>
        <v>Завтрак</v>
      </c>
      <c r="F109">
        <f>VLOOKUP(C109,Меню!A:E,5,0)</f>
        <v>300</v>
      </c>
    </row>
    <row r="110" spans="1:6" ht="15.75" hidden="1" customHeight="1" x14ac:dyDescent="0.35">
      <c r="A110" s="1">
        <v>109</v>
      </c>
      <c r="B110" s="1">
        <v>21</v>
      </c>
      <c r="C110" s="1">
        <v>38</v>
      </c>
      <c r="D110" t="str">
        <f>VLOOKUP(B110,Заказы!A:C,3,0)</f>
        <v>2023-03-18 19:52:00</v>
      </c>
      <c r="E110" t="str">
        <f>VLOOKUP(C110,Меню!A:E,4,0)</f>
        <v>Десерт</v>
      </c>
      <c r="F110">
        <f>VLOOKUP(C110,Меню!A:E,5,0)</f>
        <v>150</v>
      </c>
    </row>
    <row r="111" spans="1:6" ht="15.75" hidden="1" customHeight="1" x14ac:dyDescent="0.35">
      <c r="A111" s="1">
        <v>110</v>
      </c>
      <c r="B111" s="1">
        <v>21</v>
      </c>
      <c r="C111" s="1">
        <v>16</v>
      </c>
      <c r="D111" t="str">
        <f>VLOOKUP(B111,Заказы!A:C,3,0)</f>
        <v>2023-03-18 19:52:00</v>
      </c>
      <c r="E111" t="str">
        <f>VLOOKUP(C111,Меню!A:E,4,0)</f>
        <v>Первое</v>
      </c>
      <c r="F111">
        <f>VLOOKUP(C111,Меню!A:E,5,0)</f>
        <v>250</v>
      </c>
    </row>
    <row r="112" spans="1:6" ht="15.75" hidden="1" customHeight="1" x14ac:dyDescent="0.35">
      <c r="A112" s="1">
        <v>111</v>
      </c>
      <c r="B112" s="1">
        <v>21</v>
      </c>
      <c r="C112" s="1">
        <v>54</v>
      </c>
      <c r="D112" t="str">
        <f>VLOOKUP(B112,Заказы!A:C,3,0)</f>
        <v>2023-03-18 19:52:00</v>
      </c>
      <c r="E112" t="str">
        <f>VLOOKUP(C112,Меню!A:E,4,0)</f>
        <v>Суши</v>
      </c>
      <c r="F112">
        <f>VLOOKUP(C112,Меню!A:E,5,0)</f>
        <v>100</v>
      </c>
    </row>
    <row r="113" spans="1:6" ht="15.75" hidden="1" customHeight="1" x14ac:dyDescent="0.35">
      <c r="A113" s="1">
        <v>112</v>
      </c>
      <c r="B113" s="1">
        <v>21</v>
      </c>
      <c r="C113" s="1">
        <v>29</v>
      </c>
      <c r="D113" t="str">
        <f>VLOOKUP(B113,Заказы!A:C,3,0)</f>
        <v>2023-03-18 19:52:00</v>
      </c>
      <c r="E113" t="str">
        <f>VLOOKUP(C113,Меню!A:E,4,0)</f>
        <v>Салат</v>
      </c>
      <c r="F113">
        <f>VLOOKUP(C113,Меню!A:E,5,0)</f>
        <v>250</v>
      </c>
    </row>
    <row r="114" spans="1:6" ht="15.75" hidden="1" customHeight="1" x14ac:dyDescent="0.35">
      <c r="A114" s="1">
        <v>113</v>
      </c>
      <c r="B114" s="1">
        <v>21</v>
      </c>
      <c r="C114" s="1">
        <v>5</v>
      </c>
      <c r="D114" t="str">
        <f>VLOOKUP(B114,Заказы!A:C,3,0)</f>
        <v>2023-03-18 19:52:00</v>
      </c>
      <c r="E114" t="str">
        <f>VLOOKUP(C114,Меню!A:E,4,0)</f>
        <v>Завтрак</v>
      </c>
      <c r="F114">
        <f>VLOOKUP(C114,Меню!A:E,5,0)</f>
        <v>220</v>
      </c>
    </row>
    <row r="115" spans="1:6" ht="15.75" hidden="1" customHeight="1" x14ac:dyDescent="0.35">
      <c r="A115" s="1">
        <v>114</v>
      </c>
      <c r="B115" s="1">
        <v>21</v>
      </c>
      <c r="C115" s="1">
        <v>20</v>
      </c>
      <c r="D115" t="str">
        <f>VLOOKUP(B115,Заказы!A:C,3,0)</f>
        <v>2023-03-18 19:52:00</v>
      </c>
      <c r="E115" t="str">
        <f>VLOOKUP(C115,Меню!A:E,4,0)</f>
        <v>Первое</v>
      </c>
      <c r="F115">
        <f>VLOOKUP(C115,Меню!A:E,5,0)</f>
        <v>250</v>
      </c>
    </row>
    <row r="116" spans="1:6" ht="15.75" hidden="1" customHeight="1" x14ac:dyDescent="0.35">
      <c r="A116" s="1">
        <v>115</v>
      </c>
      <c r="B116" s="1">
        <v>22</v>
      </c>
      <c r="C116" s="1">
        <v>58</v>
      </c>
      <c r="D116" t="str">
        <f>VLOOKUP(B116,Заказы!A:C,3,0)</f>
        <v>2023-03-18 22:09:00</v>
      </c>
      <c r="E116" t="str">
        <f>VLOOKUP(C116,Меню!A:E,4,0)</f>
        <v>Суши</v>
      </c>
      <c r="F116">
        <f>VLOOKUP(C116,Меню!A:E,5,0)</f>
        <v>200</v>
      </c>
    </row>
    <row r="117" spans="1:6" ht="15.75" hidden="1" customHeight="1" x14ac:dyDescent="0.35">
      <c r="A117" s="1">
        <v>116</v>
      </c>
      <c r="B117" s="1">
        <v>22</v>
      </c>
      <c r="C117" s="1">
        <v>31</v>
      </c>
      <c r="D117" t="str">
        <f>VLOOKUP(B117,Заказы!A:C,3,0)</f>
        <v>2023-03-18 22:09:00</v>
      </c>
      <c r="E117" t="str">
        <f>VLOOKUP(C117,Меню!A:E,4,0)</f>
        <v>Десерт</v>
      </c>
      <c r="F117">
        <f>VLOOKUP(C117,Меню!A:E,5,0)</f>
        <v>150</v>
      </c>
    </row>
    <row r="118" spans="1:6" ht="15.75" hidden="1" customHeight="1" x14ac:dyDescent="0.35">
      <c r="A118" s="1">
        <v>117</v>
      </c>
      <c r="B118" s="1">
        <v>22</v>
      </c>
      <c r="C118" s="1">
        <v>53</v>
      </c>
      <c r="D118" t="str">
        <f>VLOOKUP(B118,Заказы!A:C,3,0)</f>
        <v>2023-03-18 22:09:00</v>
      </c>
      <c r="E118" t="str">
        <f>VLOOKUP(C118,Меню!A:E,4,0)</f>
        <v>Суши</v>
      </c>
      <c r="F118">
        <f>VLOOKUP(C118,Меню!A:E,5,0)</f>
        <v>100</v>
      </c>
    </row>
    <row r="119" spans="1:6" ht="15.75" hidden="1" customHeight="1" x14ac:dyDescent="0.35">
      <c r="A119" s="1">
        <v>118</v>
      </c>
      <c r="B119" s="1">
        <v>22</v>
      </c>
      <c r="C119" s="1">
        <v>44</v>
      </c>
      <c r="D119" t="str">
        <f>VLOOKUP(B119,Заказы!A:C,3,0)</f>
        <v>2023-03-18 22:09:00</v>
      </c>
      <c r="E119" t="str">
        <f>VLOOKUP(C119,Меню!A:E,4,0)</f>
        <v>Суши</v>
      </c>
      <c r="F119">
        <f>VLOOKUP(C119,Меню!A:E,5,0)</f>
        <v>250</v>
      </c>
    </row>
    <row r="120" spans="1:6" ht="15.75" hidden="1" customHeight="1" x14ac:dyDescent="0.35">
      <c r="A120" s="1">
        <v>119</v>
      </c>
      <c r="B120" s="1">
        <v>22</v>
      </c>
      <c r="C120" s="1">
        <v>43</v>
      </c>
      <c r="D120" t="str">
        <f>VLOOKUP(B120,Заказы!A:C,3,0)</f>
        <v>2023-03-18 22:09:00</v>
      </c>
      <c r="E120" t="str">
        <f>VLOOKUP(C120,Меню!A:E,4,0)</f>
        <v>Суши</v>
      </c>
      <c r="F120">
        <f>VLOOKUP(C120,Меню!A:E,5,0)</f>
        <v>250</v>
      </c>
    </row>
    <row r="121" spans="1:6" ht="15.75" hidden="1" customHeight="1" x14ac:dyDescent="0.35">
      <c r="A121" s="1">
        <v>120</v>
      </c>
      <c r="B121" s="1">
        <v>22</v>
      </c>
      <c r="C121" s="1">
        <v>44</v>
      </c>
      <c r="D121" t="str">
        <f>VLOOKUP(B121,Заказы!A:C,3,0)</f>
        <v>2023-03-18 22:09:00</v>
      </c>
      <c r="E121" t="str">
        <f>VLOOKUP(C121,Меню!A:E,4,0)</f>
        <v>Суши</v>
      </c>
      <c r="F121">
        <f>VLOOKUP(C121,Меню!A:E,5,0)</f>
        <v>250</v>
      </c>
    </row>
    <row r="122" spans="1:6" ht="15.75" hidden="1" customHeight="1" x14ac:dyDescent="0.35">
      <c r="A122" s="1">
        <v>121</v>
      </c>
      <c r="B122" s="1">
        <v>22</v>
      </c>
      <c r="C122" s="1">
        <v>44</v>
      </c>
      <c r="D122" t="str">
        <f>VLOOKUP(B122,Заказы!A:C,3,0)</f>
        <v>2023-03-18 22:09:00</v>
      </c>
      <c r="E122" t="str">
        <f>VLOOKUP(C122,Меню!A:E,4,0)</f>
        <v>Суши</v>
      </c>
      <c r="F122">
        <f>VLOOKUP(C122,Меню!A:E,5,0)</f>
        <v>250</v>
      </c>
    </row>
    <row r="123" spans="1:6" ht="15.75" hidden="1" customHeight="1" x14ac:dyDescent="0.35">
      <c r="A123" s="1">
        <v>122</v>
      </c>
      <c r="B123" s="1">
        <v>23</v>
      </c>
      <c r="C123" s="1">
        <v>55</v>
      </c>
      <c r="D123" t="str">
        <f>VLOOKUP(B123,Заказы!A:C,3,0)</f>
        <v>2023-03-18 22:34:00</v>
      </c>
      <c r="E123" t="str">
        <f>VLOOKUP(C123,Меню!A:E,4,0)</f>
        <v>Суши</v>
      </c>
      <c r="F123">
        <f>VLOOKUP(C123,Меню!A:E,5,0)</f>
        <v>100</v>
      </c>
    </row>
    <row r="124" spans="1:6" ht="15.75" hidden="1" customHeight="1" x14ac:dyDescent="0.35">
      <c r="A124" s="1">
        <v>123</v>
      </c>
      <c r="B124" s="1">
        <v>23</v>
      </c>
      <c r="C124" s="1">
        <v>42</v>
      </c>
      <c r="D124" t="str">
        <f>VLOOKUP(B124,Заказы!A:C,3,0)</f>
        <v>2023-03-18 22:34:00</v>
      </c>
      <c r="E124" t="str">
        <f>VLOOKUP(C124,Меню!A:E,4,0)</f>
        <v>Суши</v>
      </c>
      <c r="F124">
        <f>VLOOKUP(C124,Меню!A:E,5,0)</f>
        <v>250</v>
      </c>
    </row>
    <row r="125" spans="1:6" ht="15.75" hidden="1" customHeight="1" x14ac:dyDescent="0.35">
      <c r="A125" s="1">
        <v>124</v>
      </c>
      <c r="B125" s="1">
        <v>23</v>
      </c>
      <c r="C125" s="1">
        <v>7</v>
      </c>
      <c r="D125" t="str">
        <f>VLOOKUP(B125,Заказы!A:C,3,0)</f>
        <v>2023-03-18 22:34:00</v>
      </c>
      <c r="E125" t="str">
        <f>VLOOKUP(C125,Меню!A:E,4,0)</f>
        <v>Завтрак</v>
      </c>
      <c r="F125">
        <f>VLOOKUP(C125,Меню!A:E,5,0)</f>
        <v>200</v>
      </c>
    </row>
    <row r="126" spans="1:6" ht="15.75" hidden="1" customHeight="1" x14ac:dyDescent="0.35">
      <c r="A126" s="1">
        <v>125</v>
      </c>
      <c r="B126" s="1">
        <v>23</v>
      </c>
      <c r="C126" s="1">
        <v>56</v>
      </c>
      <c r="D126" t="str">
        <f>VLOOKUP(B126,Заказы!A:C,3,0)</f>
        <v>2023-03-18 22:34:00</v>
      </c>
      <c r="E126" t="str">
        <f>VLOOKUP(C126,Меню!A:E,4,0)</f>
        <v>Суши</v>
      </c>
      <c r="F126">
        <f>VLOOKUP(C126,Меню!A:E,5,0)</f>
        <v>200</v>
      </c>
    </row>
    <row r="127" spans="1:6" ht="15.75" hidden="1" customHeight="1" x14ac:dyDescent="0.35">
      <c r="A127" s="1">
        <v>126</v>
      </c>
      <c r="B127" s="1">
        <v>23</v>
      </c>
      <c r="C127" s="1">
        <v>38</v>
      </c>
      <c r="D127" t="str">
        <f>VLOOKUP(B127,Заказы!A:C,3,0)</f>
        <v>2023-03-18 22:34:00</v>
      </c>
      <c r="E127" t="str">
        <f>VLOOKUP(C127,Меню!A:E,4,0)</f>
        <v>Десерт</v>
      </c>
      <c r="F127">
        <f>VLOOKUP(C127,Меню!A:E,5,0)</f>
        <v>150</v>
      </c>
    </row>
    <row r="128" spans="1:6" ht="15.75" hidden="1" customHeight="1" x14ac:dyDescent="0.35">
      <c r="A128" s="1">
        <v>127</v>
      </c>
      <c r="B128" s="1">
        <v>23</v>
      </c>
      <c r="C128" s="1">
        <v>23</v>
      </c>
      <c r="D128" t="str">
        <f>VLOOKUP(B128,Заказы!A:C,3,0)</f>
        <v>2023-03-18 22:34:00</v>
      </c>
      <c r="E128" t="str">
        <f>VLOOKUP(C128,Меню!A:E,4,0)</f>
        <v>Салат</v>
      </c>
      <c r="F128">
        <f>VLOOKUP(C128,Меню!A:E,5,0)</f>
        <v>250</v>
      </c>
    </row>
    <row r="129" spans="1:6" ht="15.75" hidden="1" customHeight="1" x14ac:dyDescent="0.35">
      <c r="A129" s="1">
        <v>128</v>
      </c>
      <c r="B129" s="1">
        <v>24</v>
      </c>
      <c r="C129" s="1">
        <v>57</v>
      </c>
      <c r="D129" t="str">
        <f>VLOOKUP(B129,Заказы!A:C,3,0)</f>
        <v>2023-03-18 22:57:00</v>
      </c>
      <c r="E129" t="str">
        <f>VLOOKUP(C129,Меню!A:E,4,0)</f>
        <v>Суши</v>
      </c>
      <c r="F129">
        <f>VLOOKUP(C129,Меню!A:E,5,0)</f>
        <v>200</v>
      </c>
    </row>
    <row r="130" spans="1:6" ht="15.75" hidden="1" customHeight="1" x14ac:dyDescent="0.35">
      <c r="A130" s="1">
        <v>129</v>
      </c>
      <c r="B130" s="1">
        <v>24</v>
      </c>
      <c r="C130" s="1">
        <v>5</v>
      </c>
      <c r="D130" t="str">
        <f>VLOOKUP(B130,Заказы!A:C,3,0)</f>
        <v>2023-03-18 22:57:00</v>
      </c>
      <c r="E130" t="str">
        <f>VLOOKUP(C130,Меню!A:E,4,0)</f>
        <v>Завтрак</v>
      </c>
      <c r="F130">
        <f>VLOOKUP(C130,Меню!A:E,5,0)</f>
        <v>220</v>
      </c>
    </row>
    <row r="131" spans="1:6" ht="15.75" hidden="1" customHeight="1" x14ac:dyDescent="0.35">
      <c r="A131" s="1">
        <v>130</v>
      </c>
      <c r="B131" s="1">
        <v>24</v>
      </c>
      <c r="C131" s="1">
        <v>10</v>
      </c>
      <c r="D131" t="str">
        <f>VLOOKUP(B131,Заказы!A:C,3,0)</f>
        <v>2023-03-18 22:57:00</v>
      </c>
      <c r="E131" t="str">
        <f>VLOOKUP(C131,Меню!A:E,4,0)</f>
        <v>Завтрак</v>
      </c>
      <c r="F131">
        <f>VLOOKUP(C131,Меню!A:E,5,0)</f>
        <v>200</v>
      </c>
    </row>
    <row r="132" spans="1:6" ht="15.75" hidden="1" customHeight="1" x14ac:dyDescent="0.35">
      <c r="A132" s="1">
        <v>131</v>
      </c>
      <c r="B132" s="1">
        <v>24</v>
      </c>
      <c r="C132" s="1">
        <v>17</v>
      </c>
      <c r="D132" t="str">
        <f>VLOOKUP(B132,Заказы!A:C,3,0)</f>
        <v>2023-03-18 22:57:00</v>
      </c>
      <c r="E132" t="str">
        <f>VLOOKUP(C132,Меню!A:E,4,0)</f>
        <v>Первое</v>
      </c>
      <c r="F132">
        <f>VLOOKUP(C132,Меню!A:E,5,0)</f>
        <v>250</v>
      </c>
    </row>
    <row r="133" spans="1:6" ht="15.75" hidden="1" customHeight="1" x14ac:dyDescent="0.35">
      <c r="A133" s="1">
        <v>132</v>
      </c>
      <c r="B133" s="1">
        <v>24</v>
      </c>
      <c r="C133" s="1">
        <v>6</v>
      </c>
      <c r="D133" t="str">
        <f>VLOOKUP(B133,Заказы!A:C,3,0)</f>
        <v>2023-03-18 22:57:00</v>
      </c>
      <c r="E133" t="str">
        <f>VLOOKUP(C133,Меню!A:E,4,0)</f>
        <v>Завтрак</v>
      </c>
      <c r="F133">
        <f>VLOOKUP(C133,Меню!A:E,5,0)</f>
        <v>300</v>
      </c>
    </row>
    <row r="134" spans="1:6" ht="15.75" hidden="1" customHeight="1" x14ac:dyDescent="0.35">
      <c r="A134" s="1">
        <v>133</v>
      </c>
      <c r="B134" s="1">
        <v>25</v>
      </c>
      <c r="C134" s="1">
        <v>21</v>
      </c>
      <c r="D134" t="str">
        <f>VLOOKUP(B134,Заказы!A:C,3,0)</f>
        <v>2023-03-19 17:49:00</v>
      </c>
      <c r="E134" t="str">
        <f>VLOOKUP(C134,Меню!A:E,4,0)</f>
        <v>Салат</v>
      </c>
      <c r="F134">
        <f>VLOOKUP(C134,Меню!A:E,5,0)</f>
        <v>250</v>
      </c>
    </row>
    <row r="135" spans="1:6" ht="15.75" hidden="1" customHeight="1" x14ac:dyDescent="0.35">
      <c r="A135" s="1">
        <v>134</v>
      </c>
      <c r="B135" s="1">
        <v>25</v>
      </c>
      <c r="C135" s="1">
        <v>17</v>
      </c>
      <c r="D135" t="str">
        <f>VLOOKUP(B135,Заказы!A:C,3,0)</f>
        <v>2023-03-19 17:49:00</v>
      </c>
      <c r="E135" t="str">
        <f>VLOOKUP(C135,Меню!A:E,4,0)</f>
        <v>Первое</v>
      </c>
      <c r="F135">
        <f>VLOOKUP(C135,Меню!A:E,5,0)</f>
        <v>250</v>
      </c>
    </row>
    <row r="136" spans="1:6" ht="15.75" hidden="1" customHeight="1" x14ac:dyDescent="0.35">
      <c r="A136" s="1">
        <v>135</v>
      </c>
      <c r="B136" s="1">
        <v>25</v>
      </c>
      <c r="C136" s="1">
        <v>32</v>
      </c>
      <c r="D136" t="str">
        <f>VLOOKUP(B136,Заказы!A:C,3,0)</f>
        <v>2023-03-19 17:49:00</v>
      </c>
      <c r="E136" t="str">
        <f>VLOOKUP(C136,Меню!A:E,4,0)</f>
        <v>Десерт</v>
      </c>
      <c r="F136">
        <f>VLOOKUP(C136,Меню!A:E,5,0)</f>
        <v>150</v>
      </c>
    </row>
    <row r="137" spans="1:6" ht="15.75" hidden="1" customHeight="1" x14ac:dyDescent="0.35">
      <c r="A137" s="1">
        <v>136</v>
      </c>
      <c r="B137" s="1">
        <v>25</v>
      </c>
      <c r="C137" s="1">
        <v>58</v>
      </c>
      <c r="D137" t="str">
        <f>VLOOKUP(B137,Заказы!A:C,3,0)</f>
        <v>2023-03-19 17:49:00</v>
      </c>
      <c r="E137" t="str">
        <f>VLOOKUP(C137,Меню!A:E,4,0)</f>
        <v>Суши</v>
      </c>
      <c r="F137">
        <f>VLOOKUP(C137,Меню!A:E,5,0)</f>
        <v>200</v>
      </c>
    </row>
    <row r="138" spans="1:6" ht="15.75" hidden="1" customHeight="1" x14ac:dyDescent="0.35">
      <c r="A138" s="1">
        <v>137</v>
      </c>
      <c r="B138" s="1">
        <v>26</v>
      </c>
      <c r="C138" s="1">
        <v>36</v>
      </c>
      <c r="D138" t="str">
        <f>VLOOKUP(B138,Заказы!A:C,3,0)</f>
        <v>2023-03-19 18:47:00</v>
      </c>
      <c r="E138" t="str">
        <f>VLOOKUP(C138,Меню!A:E,4,0)</f>
        <v>Десерт</v>
      </c>
      <c r="F138">
        <f>VLOOKUP(C138,Меню!A:E,5,0)</f>
        <v>150</v>
      </c>
    </row>
    <row r="139" spans="1:6" ht="15.75" hidden="1" customHeight="1" x14ac:dyDescent="0.35">
      <c r="A139" s="1">
        <v>138</v>
      </c>
      <c r="B139" s="1">
        <v>26</v>
      </c>
      <c r="C139" s="1">
        <v>42</v>
      </c>
      <c r="D139" t="str">
        <f>VLOOKUP(B139,Заказы!A:C,3,0)</f>
        <v>2023-03-19 18:47:00</v>
      </c>
      <c r="E139" t="str">
        <f>VLOOKUP(C139,Меню!A:E,4,0)</f>
        <v>Суши</v>
      </c>
      <c r="F139">
        <f>VLOOKUP(C139,Меню!A:E,5,0)</f>
        <v>250</v>
      </c>
    </row>
    <row r="140" spans="1:6" ht="15.75" hidden="1" customHeight="1" x14ac:dyDescent="0.35">
      <c r="A140" s="1">
        <v>139</v>
      </c>
      <c r="B140" s="1">
        <v>26</v>
      </c>
      <c r="C140" s="1">
        <v>55</v>
      </c>
      <c r="D140" t="str">
        <f>VLOOKUP(B140,Заказы!A:C,3,0)</f>
        <v>2023-03-19 18:47:00</v>
      </c>
      <c r="E140" t="str">
        <f>VLOOKUP(C140,Меню!A:E,4,0)</f>
        <v>Суши</v>
      </c>
      <c r="F140">
        <f>VLOOKUP(C140,Меню!A:E,5,0)</f>
        <v>100</v>
      </c>
    </row>
    <row r="141" spans="1:6" ht="15.75" hidden="1" customHeight="1" x14ac:dyDescent="0.35">
      <c r="A141" s="1">
        <v>140</v>
      </c>
      <c r="B141" s="1">
        <v>26</v>
      </c>
      <c r="C141" s="1">
        <v>54</v>
      </c>
      <c r="D141" t="str">
        <f>VLOOKUP(B141,Заказы!A:C,3,0)</f>
        <v>2023-03-19 18:47:00</v>
      </c>
      <c r="E141" t="str">
        <f>VLOOKUP(C141,Меню!A:E,4,0)</f>
        <v>Суши</v>
      </c>
      <c r="F141">
        <f>VLOOKUP(C141,Меню!A:E,5,0)</f>
        <v>100</v>
      </c>
    </row>
    <row r="142" spans="1:6" ht="15.75" hidden="1" customHeight="1" x14ac:dyDescent="0.35">
      <c r="A142" s="1">
        <v>141</v>
      </c>
      <c r="B142" s="1">
        <v>26</v>
      </c>
      <c r="C142" s="1">
        <v>27</v>
      </c>
      <c r="D142" t="str">
        <f>VLOOKUP(B142,Заказы!A:C,3,0)</f>
        <v>2023-03-19 18:47:00</v>
      </c>
      <c r="E142" t="str">
        <f>VLOOKUP(C142,Меню!A:E,4,0)</f>
        <v>Салат</v>
      </c>
      <c r="F142">
        <f>VLOOKUP(C142,Меню!A:E,5,0)</f>
        <v>250</v>
      </c>
    </row>
    <row r="143" spans="1:6" ht="15.75" hidden="1" customHeight="1" x14ac:dyDescent="0.35">
      <c r="A143" s="1">
        <v>142</v>
      </c>
      <c r="B143" s="1">
        <v>26</v>
      </c>
      <c r="C143" s="1">
        <v>8</v>
      </c>
      <c r="D143" t="str">
        <f>VLOOKUP(B143,Заказы!A:C,3,0)</f>
        <v>2023-03-19 18:47:00</v>
      </c>
      <c r="E143" t="str">
        <f>VLOOKUP(C143,Меню!A:E,4,0)</f>
        <v>Завтрак</v>
      </c>
      <c r="F143">
        <f>VLOOKUP(C143,Меню!A:E,5,0)</f>
        <v>180</v>
      </c>
    </row>
    <row r="144" spans="1:6" ht="15.75" hidden="1" customHeight="1" x14ac:dyDescent="0.35">
      <c r="A144" s="1">
        <v>143</v>
      </c>
      <c r="B144" s="1">
        <v>26</v>
      </c>
      <c r="C144" s="1">
        <v>4</v>
      </c>
      <c r="D144" t="str">
        <f>VLOOKUP(B144,Заказы!A:C,3,0)</f>
        <v>2023-03-19 18:47:00</v>
      </c>
      <c r="E144" t="str">
        <f>VLOOKUP(C144,Меню!A:E,4,0)</f>
        <v>Завтрак</v>
      </c>
      <c r="F144">
        <f>VLOOKUP(C144,Меню!A:E,5,0)</f>
        <v>180</v>
      </c>
    </row>
    <row r="145" spans="1:6" ht="15.75" hidden="1" customHeight="1" x14ac:dyDescent="0.35">
      <c r="A145" s="1">
        <v>144</v>
      </c>
      <c r="B145" s="1">
        <v>26</v>
      </c>
      <c r="C145" s="1">
        <v>58</v>
      </c>
      <c r="D145" t="str">
        <f>VLOOKUP(B145,Заказы!A:C,3,0)</f>
        <v>2023-03-19 18:47:00</v>
      </c>
      <c r="E145" t="str">
        <f>VLOOKUP(C145,Меню!A:E,4,0)</f>
        <v>Суши</v>
      </c>
      <c r="F145">
        <f>VLOOKUP(C145,Меню!A:E,5,0)</f>
        <v>200</v>
      </c>
    </row>
    <row r="146" spans="1:6" ht="15.75" hidden="1" customHeight="1" x14ac:dyDescent="0.35">
      <c r="A146" s="1">
        <v>145</v>
      </c>
      <c r="B146" s="1">
        <v>26</v>
      </c>
      <c r="C146" s="1">
        <v>12</v>
      </c>
      <c r="D146" t="str">
        <f>VLOOKUP(B146,Заказы!A:C,3,0)</f>
        <v>2023-03-19 18:47:00</v>
      </c>
      <c r="E146" t="str">
        <f>VLOOKUP(C146,Меню!A:E,4,0)</f>
        <v>Первое</v>
      </c>
      <c r="F146">
        <f>VLOOKUP(C146,Меню!A:E,5,0)</f>
        <v>300</v>
      </c>
    </row>
    <row r="147" spans="1:6" ht="15.75" hidden="1" customHeight="1" x14ac:dyDescent="0.35">
      <c r="A147" s="1">
        <v>146</v>
      </c>
      <c r="B147" s="1">
        <v>27</v>
      </c>
      <c r="C147" s="1">
        <v>1</v>
      </c>
      <c r="D147" t="str">
        <f>VLOOKUP(B147,Заказы!A:C,3,0)</f>
        <v>2023-03-20 15:08:00</v>
      </c>
      <c r="E147" t="str">
        <f>VLOOKUP(C147,Меню!A:E,4,0)</f>
        <v>Завтрак</v>
      </c>
      <c r="F147">
        <f>VLOOKUP(C147,Меню!A:E,5,0)</f>
        <v>200</v>
      </c>
    </row>
    <row r="148" spans="1:6" ht="15.75" hidden="1" customHeight="1" x14ac:dyDescent="0.35">
      <c r="A148" s="1">
        <v>147</v>
      </c>
      <c r="B148" s="1">
        <v>27</v>
      </c>
      <c r="C148" s="1">
        <v>2</v>
      </c>
      <c r="D148" t="str">
        <f>VLOOKUP(B148,Заказы!A:C,3,0)</f>
        <v>2023-03-20 15:08:00</v>
      </c>
      <c r="E148" t="str">
        <f>VLOOKUP(C148,Меню!A:E,4,0)</f>
        <v>Завтрак</v>
      </c>
      <c r="F148">
        <f>VLOOKUP(C148,Меню!A:E,5,0)</f>
        <v>250</v>
      </c>
    </row>
    <row r="149" spans="1:6" ht="15.75" hidden="1" customHeight="1" x14ac:dyDescent="0.35">
      <c r="A149" s="1">
        <v>148</v>
      </c>
      <c r="B149" s="1">
        <v>27</v>
      </c>
      <c r="C149" s="1">
        <v>45</v>
      </c>
      <c r="D149" t="str">
        <f>VLOOKUP(B149,Заказы!A:C,3,0)</f>
        <v>2023-03-20 15:08:00</v>
      </c>
      <c r="E149" t="str">
        <f>VLOOKUP(C149,Меню!A:E,4,0)</f>
        <v>Суши</v>
      </c>
      <c r="F149">
        <f>VLOOKUP(C149,Меню!A:E,5,0)</f>
        <v>200</v>
      </c>
    </row>
    <row r="150" spans="1:6" ht="15.75" hidden="1" customHeight="1" x14ac:dyDescent="0.35">
      <c r="A150" s="1">
        <v>149</v>
      </c>
      <c r="B150" s="1">
        <v>27</v>
      </c>
      <c r="C150" s="1">
        <v>50</v>
      </c>
      <c r="D150" t="str">
        <f>VLOOKUP(B150,Заказы!A:C,3,0)</f>
        <v>2023-03-20 15:08:00</v>
      </c>
      <c r="E150" t="str">
        <f>VLOOKUP(C150,Меню!A:E,4,0)</f>
        <v>Суши</v>
      </c>
      <c r="F150">
        <f>VLOOKUP(C150,Меню!A:E,5,0)</f>
        <v>200</v>
      </c>
    </row>
    <row r="151" spans="1:6" ht="15.75" hidden="1" customHeight="1" x14ac:dyDescent="0.35">
      <c r="A151" s="1">
        <v>150</v>
      </c>
      <c r="B151" s="1">
        <v>27</v>
      </c>
      <c r="C151" s="1">
        <v>4</v>
      </c>
      <c r="D151" t="str">
        <f>VLOOKUP(B151,Заказы!A:C,3,0)</f>
        <v>2023-03-20 15:08:00</v>
      </c>
      <c r="E151" t="str">
        <f>VLOOKUP(C151,Меню!A:E,4,0)</f>
        <v>Завтрак</v>
      </c>
      <c r="F151">
        <f>VLOOKUP(C151,Меню!A:E,5,0)</f>
        <v>180</v>
      </c>
    </row>
    <row r="152" spans="1:6" ht="15.75" hidden="1" customHeight="1" x14ac:dyDescent="0.35">
      <c r="A152" s="1">
        <v>151</v>
      </c>
      <c r="B152" s="1">
        <v>27</v>
      </c>
      <c r="C152" s="1">
        <v>31</v>
      </c>
      <c r="D152" t="str">
        <f>VLOOKUP(B152,Заказы!A:C,3,0)</f>
        <v>2023-03-20 15:08:00</v>
      </c>
      <c r="E152" t="str">
        <f>VLOOKUP(C152,Меню!A:E,4,0)</f>
        <v>Десерт</v>
      </c>
      <c r="F152">
        <f>VLOOKUP(C152,Меню!A:E,5,0)</f>
        <v>150</v>
      </c>
    </row>
    <row r="153" spans="1:6" ht="15.75" hidden="1" customHeight="1" x14ac:dyDescent="0.35">
      <c r="A153" s="1">
        <v>152</v>
      </c>
      <c r="B153" s="1">
        <v>27</v>
      </c>
      <c r="C153" s="1">
        <v>35</v>
      </c>
      <c r="D153" t="str">
        <f>VLOOKUP(B153,Заказы!A:C,3,0)</f>
        <v>2023-03-20 15:08:00</v>
      </c>
      <c r="E153" t="str">
        <f>VLOOKUP(C153,Меню!A:E,4,0)</f>
        <v>Десерт</v>
      </c>
      <c r="F153">
        <f>VLOOKUP(C153,Меню!A:E,5,0)</f>
        <v>150</v>
      </c>
    </row>
    <row r="154" spans="1:6" ht="15.75" hidden="1" customHeight="1" x14ac:dyDescent="0.35">
      <c r="A154" s="1">
        <v>153</v>
      </c>
      <c r="B154" s="1">
        <v>28</v>
      </c>
      <c r="C154" s="1">
        <v>42</v>
      </c>
      <c r="D154" t="str">
        <f>VLOOKUP(B154,Заказы!A:C,3,0)</f>
        <v>2023-03-20 16:21:00</v>
      </c>
      <c r="E154" t="str">
        <f>VLOOKUP(C154,Меню!A:E,4,0)</f>
        <v>Суши</v>
      </c>
      <c r="F154">
        <f>VLOOKUP(C154,Меню!A:E,5,0)</f>
        <v>250</v>
      </c>
    </row>
    <row r="155" spans="1:6" ht="15.75" hidden="1" customHeight="1" x14ac:dyDescent="0.35">
      <c r="A155" s="1">
        <v>154</v>
      </c>
      <c r="B155" s="1">
        <v>28</v>
      </c>
      <c r="C155" s="1">
        <v>46</v>
      </c>
      <c r="D155" t="str">
        <f>VLOOKUP(B155,Заказы!A:C,3,0)</f>
        <v>2023-03-20 16:21:00</v>
      </c>
      <c r="E155" t="str">
        <f>VLOOKUP(C155,Меню!A:E,4,0)</f>
        <v>Суши</v>
      </c>
      <c r="F155">
        <f>VLOOKUP(C155,Меню!A:E,5,0)</f>
        <v>200</v>
      </c>
    </row>
    <row r="156" spans="1:6" ht="15.75" hidden="1" customHeight="1" x14ac:dyDescent="0.35">
      <c r="A156" s="1">
        <v>155</v>
      </c>
      <c r="B156" s="1">
        <v>28</v>
      </c>
      <c r="C156" s="1">
        <v>59</v>
      </c>
      <c r="D156" t="str">
        <f>VLOOKUP(B156,Заказы!A:C,3,0)</f>
        <v>2023-03-20 16:21:00</v>
      </c>
      <c r="E156" t="str">
        <f>VLOOKUP(C156,Меню!A:E,4,0)</f>
        <v>Суши</v>
      </c>
      <c r="F156">
        <f>VLOOKUP(C156,Меню!A:E,5,0)</f>
        <v>300</v>
      </c>
    </row>
    <row r="157" spans="1:6" ht="15.75" hidden="1" customHeight="1" x14ac:dyDescent="0.35">
      <c r="A157" s="1">
        <v>156</v>
      </c>
      <c r="B157" s="1">
        <v>28</v>
      </c>
      <c r="C157" s="1">
        <v>24</v>
      </c>
      <c r="D157" t="str">
        <f>VLOOKUP(B157,Заказы!A:C,3,0)</f>
        <v>2023-03-20 16:21:00</v>
      </c>
      <c r="E157" t="str">
        <f>VLOOKUP(C157,Меню!A:E,4,0)</f>
        <v>Салат</v>
      </c>
      <c r="F157">
        <f>VLOOKUP(C157,Меню!A:E,5,0)</f>
        <v>250</v>
      </c>
    </row>
    <row r="158" spans="1:6" ht="15.75" hidden="1" customHeight="1" x14ac:dyDescent="0.35">
      <c r="A158" s="1">
        <v>157</v>
      </c>
      <c r="B158" s="1">
        <v>28</v>
      </c>
      <c r="C158" s="1">
        <v>17</v>
      </c>
      <c r="D158" t="str">
        <f>VLOOKUP(B158,Заказы!A:C,3,0)</f>
        <v>2023-03-20 16:21:00</v>
      </c>
      <c r="E158" t="str">
        <f>VLOOKUP(C158,Меню!A:E,4,0)</f>
        <v>Первое</v>
      </c>
      <c r="F158">
        <f>VLOOKUP(C158,Меню!A:E,5,0)</f>
        <v>250</v>
      </c>
    </row>
    <row r="159" spans="1:6" ht="15.75" hidden="1" customHeight="1" x14ac:dyDescent="0.35">
      <c r="A159" s="1">
        <v>158</v>
      </c>
      <c r="B159" s="1">
        <v>28</v>
      </c>
      <c r="C159" s="1">
        <v>15</v>
      </c>
      <c r="D159" t="str">
        <f>VLOOKUP(B159,Заказы!A:C,3,0)</f>
        <v>2023-03-20 16:21:00</v>
      </c>
      <c r="E159" t="str">
        <f>VLOOKUP(C159,Меню!A:E,4,0)</f>
        <v>Первое</v>
      </c>
      <c r="F159">
        <f>VLOOKUP(C159,Меню!A:E,5,0)</f>
        <v>250</v>
      </c>
    </row>
    <row r="160" spans="1:6" ht="15.75" hidden="1" customHeight="1" x14ac:dyDescent="0.35">
      <c r="A160" s="1">
        <v>159</v>
      </c>
      <c r="B160" s="1">
        <v>28</v>
      </c>
      <c r="C160" s="1">
        <v>2</v>
      </c>
      <c r="D160" t="str">
        <f>VLOOKUP(B160,Заказы!A:C,3,0)</f>
        <v>2023-03-20 16:21:00</v>
      </c>
      <c r="E160" t="str">
        <f>VLOOKUP(C160,Меню!A:E,4,0)</f>
        <v>Завтрак</v>
      </c>
      <c r="F160">
        <f>VLOOKUP(C160,Меню!A:E,5,0)</f>
        <v>250</v>
      </c>
    </row>
    <row r="161" spans="1:6" ht="15.75" hidden="1" customHeight="1" x14ac:dyDescent="0.35">
      <c r="A161" s="1">
        <v>160</v>
      </c>
      <c r="B161" s="1">
        <v>28</v>
      </c>
      <c r="C161" s="1">
        <v>60</v>
      </c>
      <c r="D161" t="str">
        <f>VLOOKUP(B161,Заказы!A:C,3,0)</f>
        <v>2023-03-20 16:21:00</v>
      </c>
      <c r="E161" t="str">
        <f>VLOOKUP(C161,Меню!A:E,4,0)</f>
        <v>Суши</v>
      </c>
      <c r="F161">
        <f>VLOOKUP(C161,Меню!A:E,5,0)</f>
        <v>250</v>
      </c>
    </row>
    <row r="162" spans="1:6" ht="15.75" hidden="1" customHeight="1" x14ac:dyDescent="0.35">
      <c r="A162" s="1">
        <v>161</v>
      </c>
      <c r="B162" s="1">
        <v>28</v>
      </c>
      <c r="C162" s="1">
        <v>48</v>
      </c>
      <c r="D162" t="str">
        <f>VLOOKUP(B162,Заказы!A:C,3,0)</f>
        <v>2023-03-20 16:21:00</v>
      </c>
      <c r="E162" t="str">
        <f>VLOOKUP(C162,Меню!A:E,4,0)</f>
        <v>Суши</v>
      </c>
      <c r="F162">
        <f>VLOOKUP(C162,Меню!A:E,5,0)</f>
        <v>200</v>
      </c>
    </row>
    <row r="163" spans="1:6" ht="15.75" hidden="1" customHeight="1" x14ac:dyDescent="0.35">
      <c r="A163" s="1">
        <v>162</v>
      </c>
      <c r="B163" s="1">
        <v>28</v>
      </c>
      <c r="C163" s="1">
        <v>57</v>
      </c>
      <c r="D163" t="str">
        <f>VLOOKUP(B163,Заказы!A:C,3,0)</f>
        <v>2023-03-20 16:21:00</v>
      </c>
      <c r="E163" t="str">
        <f>VLOOKUP(C163,Меню!A:E,4,0)</f>
        <v>Суши</v>
      </c>
      <c r="F163">
        <f>VLOOKUP(C163,Меню!A:E,5,0)</f>
        <v>200</v>
      </c>
    </row>
    <row r="164" spans="1:6" ht="15.75" hidden="1" customHeight="1" x14ac:dyDescent="0.35">
      <c r="A164" s="1">
        <v>163</v>
      </c>
      <c r="B164" s="1">
        <v>29</v>
      </c>
      <c r="C164" s="1">
        <v>59</v>
      </c>
      <c r="D164" t="str">
        <f>VLOOKUP(B164,Заказы!A:C,3,0)</f>
        <v>2023-03-20 16:21:00</v>
      </c>
      <c r="E164" t="str">
        <f>VLOOKUP(C164,Меню!A:E,4,0)</f>
        <v>Суши</v>
      </c>
      <c r="F164">
        <f>VLOOKUP(C164,Меню!A:E,5,0)</f>
        <v>300</v>
      </c>
    </row>
    <row r="165" spans="1:6" ht="15.75" hidden="1" customHeight="1" x14ac:dyDescent="0.35">
      <c r="A165" s="1">
        <v>164</v>
      </c>
      <c r="B165" s="1">
        <v>29</v>
      </c>
      <c r="C165" s="1">
        <v>35</v>
      </c>
      <c r="D165" t="str">
        <f>VLOOKUP(B165,Заказы!A:C,3,0)</f>
        <v>2023-03-20 16:21:00</v>
      </c>
      <c r="E165" t="str">
        <f>VLOOKUP(C165,Меню!A:E,4,0)</f>
        <v>Десерт</v>
      </c>
      <c r="F165">
        <f>VLOOKUP(C165,Меню!A:E,5,0)</f>
        <v>150</v>
      </c>
    </row>
    <row r="166" spans="1:6" ht="15.75" hidden="1" customHeight="1" x14ac:dyDescent="0.35">
      <c r="A166" s="1">
        <v>165</v>
      </c>
      <c r="B166" s="1">
        <v>29</v>
      </c>
      <c r="C166" s="1">
        <v>59</v>
      </c>
      <c r="D166" t="str">
        <f>VLOOKUP(B166,Заказы!A:C,3,0)</f>
        <v>2023-03-20 16:21:00</v>
      </c>
      <c r="E166" t="str">
        <f>VLOOKUP(C166,Меню!A:E,4,0)</f>
        <v>Суши</v>
      </c>
      <c r="F166">
        <f>VLOOKUP(C166,Меню!A:E,5,0)</f>
        <v>300</v>
      </c>
    </row>
    <row r="167" spans="1:6" ht="15.75" hidden="1" customHeight="1" x14ac:dyDescent="0.35">
      <c r="A167" s="1">
        <v>166</v>
      </c>
      <c r="B167" s="1">
        <v>29</v>
      </c>
      <c r="C167" s="1">
        <v>36</v>
      </c>
      <c r="D167" t="str">
        <f>VLOOKUP(B167,Заказы!A:C,3,0)</f>
        <v>2023-03-20 16:21:00</v>
      </c>
      <c r="E167" t="str">
        <f>VLOOKUP(C167,Меню!A:E,4,0)</f>
        <v>Десерт</v>
      </c>
      <c r="F167">
        <f>VLOOKUP(C167,Меню!A:E,5,0)</f>
        <v>150</v>
      </c>
    </row>
    <row r="168" spans="1:6" ht="15.75" hidden="1" customHeight="1" x14ac:dyDescent="0.35">
      <c r="A168" s="1">
        <v>167</v>
      </c>
      <c r="B168" s="1">
        <v>29</v>
      </c>
      <c r="C168" s="1">
        <v>60</v>
      </c>
      <c r="D168" t="str">
        <f>VLOOKUP(B168,Заказы!A:C,3,0)</f>
        <v>2023-03-20 16:21:00</v>
      </c>
      <c r="E168" t="str">
        <f>VLOOKUP(C168,Меню!A:E,4,0)</f>
        <v>Суши</v>
      </c>
      <c r="F168">
        <f>VLOOKUP(C168,Меню!A:E,5,0)</f>
        <v>250</v>
      </c>
    </row>
    <row r="169" spans="1:6" ht="15.75" hidden="1" customHeight="1" x14ac:dyDescent="0.35">
      <c r="A169" s="1">
        <v>168</v>
      </c>
      <c r="B169" s="1">
        <v>29</v>
      </c>
      <c r="C169" s="1">
        <v>50</v>
      </c>
      <c r="D169" t="str">
        <f>VLOOKUP(B169,Заказы!A:C,3,0)</f>
        <v>2023-03-20 16:21:00</v>
      </c>
      <c r="E169" t="str">
        <f>VLOOKUP(C169,Меню!A:E,4,0)</f>
        <v>Суши</v>
      </c>
      <c r="F169">
        <f>VLOOKUP(C169,Меню!A:E,5,0)</f>
        <v>200</v>
      </c>
    </row>
    <row r="170" spans="1:6" ht="15.75" hidden="1" customHeight="1" x14ac:dyDescent="0.35">
      <c r="A170" s="1">
        <v>169</v>
      </c>
      <c r="B170" s="1">
        <v>29</v>
      </c>
      <c r="C170" s="1">
        <v>15</v>
      </c>
      <c r="D170" t="str">
        <f>VLOOKUP(B170,Заказы!A:C,3,0)</f>
        <v>2023-03-20 16:21:00</v>
      </c>
      <c r="E170" t="str">
        <f>VLOOKUP(C170,Меню!A:E,4,0)</f>
        <v>Первое</v>
      </c>
      <c r="F170">
        <f>VLOOKUP(C170,Меню!A:E,5,0)</f>
        <v>250</v>
      </c>
    </row>
    <row r="171" spans="1:6" ht="15.75" hidden="1" customHeight="1" x14ac:dyDescent="0.35">
      <c r="A171" s="1">
        <v>170</v>
      </c>
      <c r="B171" s="1">
        <v>30</v>
      </c>
      <c r="C171" s="1">
        <v>33</v>
      </c>
      <c r="D171" t="str">
        <f>VLOOKUP(B171,Заказы!A:C,3,0)</f>
        <v>2023-03-20 18:33:00</v>
      </c>
      <c r="E171" t="str">
        <f>VLOOKUP(C171,Меню!A:E,4,0)</f>
        <v>Десерт</v>
      </c>
      <c r="F171">
        <f>VLOOKUP(C171,Меню!A:E,5,0)</f>
        <v>150</v>
      </c>
    </row>
    <row r="172" spans="1:6" ht="15.75" hidden="1" customHeight="1" x14ac:dyDescent="0.35">
      <c r="A172" s="1">
        <v>171</v>
      </c>
      <c r="B172" s="1">
        <v>30</v>
      </c>
      <c r="C172" s="1">
        <v>55</v>
      </c>
      <c r="D172" t="str">
        <f>VLOOKUP(B172,Заказы!A:C,3,0)</f>
        <v>2023-03-20 18:33:00</v>
      </c>
      <c r="E172" t="str">
        <f>VLOOKUP(C172,Меню!A:E,4,0)</f>
        <v>Суши</v>
      </c>
      <c r="F172">
        <f>VLOOKUP(C172,Меню!A:E,5,0)</f>
        <v>100</v>
      </c>
    </row>
    <row r="173" spans="1:6" ht="15.75" hidden="1" customHeight="1" x14ac:dyDescent="0.35">
      <c r="A173" s="1">
        <v>172</v>
      </c>
      <c r="B173" s="1">
        <v>30</v>
      </c>
      <c r="C173" s="1">
        <v>57</v>
      </c>
      <c r="D173" t="str">
        <f>VLOOKUP(B173,Заказы!A:C,3,0)</f>
        <v>2023-03-20 18:33:00</v>
      </c>
      <c r="E173" t="str">
        <f>VLOOKUP(C173,Меню!A:E,4,0)</f>
        <v>Суши</v>
      </c>
      <c r="F173">
        <f>VLOOKUP(C173,Меню!A:E,5,0)</f>
        <v>200</v>
      </c>
    </row>
    <row r="174" spans="1:6" ht="15.75" hidden="1" customHeight="1" x14ac:dyDescent="0.35">
      <c r="A174" s="1">
        <v>173</v>
      </c>
      <c r="B174" s="1">
        <v>30</v>
      </c>
      <c r="C174" s="1">
        <v>51</v>
      </c>
      <c r="D174" t="str">
        <f>VLOOKUP(B174,Заказы!A:C,3,0)</f>
        <v>2023-03-20 18:33:00</v>
      </c>
      <c r="E174" t="str">
        <f>VLOOKUP(C174,Меню!A:E,4,0)</f>
        <v>Суши</v>
      </c>
      <c r="F174">
        <f>VLOOKUP(C174,Меню!A:E,5,0)</f>
        <v>100</v>
      </c>
    </row>
    <row r="175" spans="1:6" ht="15.75" hidden="1" customHeight="1" x14ac:dyDescent="0.35">
      <c r="A175" s="1">
        <v>174</v>
      </c>
      <c r="B175" s="1">
        <v>30</v>
      </c>
      <c r="C175" s="1">
        <v>52</v>
      </c>
      <c r="D175" t="str">
        <f>VLOOKUP(B175,Заказы!A:C,3,0)</f>
        <v>2023-03-20 18:33:00</v>
      </c>
      <c r="E175" t="str">
        <f>VLOOKUP(C175,Меню!A:E,4,0)</f>
        <v>Суши</v>
      </c>
      <c r="F175">
        <f>VLOOKUP(C175,Меню!A:E,5,0)</f>
        <v>100</v>
      </c>
    </row>
    <row r="176" spans="1:6" ht="15.75" hidden="1" customHeight="1" x14ac:dyDescent="0.35">
      <c r="A176" s="1">
        <v>175</v>
      </c>
      <c r="B176" s="1">
        <v>30</v>
      </c>
      <c r="C176" s="1">
        <v>29</v>
      </c>
      <c r="D176" t="str">
        <f>VLOOKUP(B176,Заказы!A:C,3,0)</f>
        <v>2023-03-20 18:33:00</v>
      </c>
      <c r="E176" t="str">
        <f>VLOOKUP(C176,Меню!A:E,4,0)</f>
        <v>Салат</v>
      </c>
      <c r="F176">
        <f>VLOOKUP(C176,Меню!A:E,5,0)</f>
        <v>250</v>
      </c>
    </row>
    <row r="177" spans="1:6" ht="15.75" hidden="1" customHeight="1" x14ac:dyDescent="0.35">
      <c r="A177" s="1">
        <v>176</v>
      </c>
      <c r="B177" s="1">
        <v>30</v>
      </c>
      <c r="C177" s="1">
        <v>16</v>
      </c>
      <c r="D177" t="str">
        <f>VLOOKUP(B177,Заказы!A:C,3,0)</f>
        <v>2023-03-20 18:33:00</v>
      </c>
      <c r="E177" t="str">
        <f>VLOOKUP(C177,Меню!A:E,4,0)</f>
        <v>Первое</v>
      </c>
      <c r="F177">
        <f>VLOOKUP(C177,Меню!A:E,5,0)</f>
        <v>250</v>
      </c>
    </row>
    <row r="178" spans="1:6" ht="15.75" hidden="1" customHeight="1" x14ac:dyDescent="0.35">
      <c r="A178" s="1">
        <v>177</v>
      </c>
      <c r="B178" s="1">
        <v>30</v>
      </c>
      <c r="C178" s="1">
        <v>13</v>
      </c>
      <c r="D178" t="str">
        <f>VLOOKUP(B178,Заказы!A:C,3,0)</f>
        <v>2023-03-20 18:33:00</v>
      </c>
      <c r="E178" t="str">
        <f>VLOOKUP(C178,Меню!A:E,4,0)</f>
        <v>Первое</v>
      </c>
      <c r="F178">
        <f>VLOOKUP(C178,Меню!A:E,5,0)</f>
        <v>280</v>
      </c>
    </row>
    <row r="179" spans="1:6" ht="15.75" hidden="1" customHeight="1" x14ac:dyDescent="0.35">
      <c r="A179" s="1">
        <v>178</v>
      </c>
      <c r="B179" s="1">
        <v>31</v>
      </c>
      <c r="C179" s="1">
        <v>35</v>
      </c>
      <c r="D179" t="str">
        <f>VLOOKUP(B179,Заказы!A:C,3,0)</f>
        <v>2023-03-20 22:05:00</v>
      </c>
      <c r="E179" t="str">
        <f>VLOOKUP(C179,Меню!A:E,4,0)</f>
        <v>Десерт</v>
      </c>
      <c r="F179">
        <f>VLOOKUP(C179,Меню!A:E,5,0)</f>
        <v>150</v>
      </c>
    </row>
    <row r="180" spans="1:6" ht="15.75" hidden="1" customHeight="1" x14ac:dyDescent="0.35">
      <c r="A180" s="1">
        <v>179</v>
      </c>
      <c r="B180" s="1">
        <v>31</v>
      </c>
      <c r="C180" s="1">
        <v>34</v>
      </c>
      <c r="D180" t="str">
        <f>VLOOKUP(B180,Заказы!A:C,3,0)</f>
        <v>2023-03-20 22:05:00</v>
      </c>
      <c r="E180" t="str">
        <f>VLOOKUP(C180,Меню!A:E,4,0)</f>
        <v>Десерт</v>
      </c>
      <c r="F180">
        <f>VLOOKUP(C180,Меню!A:E,5,0)</f>
        <v>150</v>
      </c>
    </row>
    <row r="181" spans="1:6" ht="15.75" hidden="1" customHeight="1" x14ac:dyDescent="0.35">
      <c r="A181" s="1">
        <v>180</v>
      </c>
      <c r="B181" s="1">
        <v>31</v>
      </c>
      <c r="C181" s="1">
        <v>21</v>
      </c>
      <c r="D181" t="str">
        <f>VLOOKUP(B181,Заказы!A:C,3,0)</f>
        <v>2023-03-20 22:05:00</v>
      </c>
      <c r="E181" t="str">
        <f>VLOOKUP(C181,Меню!A:E,4,0)</f>
        <v>Салат</v>
      </c>
      <c r="F181">
        <f>VLOOKUP(C181,Меню!A:E,5,0)</f>
        <v>250</v>
      </c>
    </row>
    <row r="182" spans="1:6" ht="15.75" hidden="1" customHeight="1" x14ac:dyDescent="0.35">
      <c r="A182" s="1">
        <v>181</v>
      </c>
      <c r="B182" s="1">
        <v>31</v>
      </c>
      <c r="C182" s="1">
        <v>43</v>
      </c>
      <c r="D182" t="str">
        <f>VLOOKUP(B182,Заказы!A:C,3,0)</f>
        <v>2023-03-20 22:05:00</v>
      </c>
      <c r="E182" t="str">
        <f>VLOOKUP(C182,Меню!A:E,4,0)</f>
        <v>Суши</v>
      </c>
      <c r="F182">
        <f>VLOOKUP(C182,Меню!A:E,5,0)</f>
        <v>250</v>
      </c>
    </row>
    <row r="183" spans="1:6" ht="15.75" hidden="1" customHeight="1" x14ac:dyDescent="0.35">
      <c r="A183" s="1">
        <v>182</v>
      </c>
      <c r="B183" s="1">
        <v>31</v>
      </c>
      <c r="C183" s="1">
        <v>48</v>
      </c>
      <c r="D183" t="str">
        <f>VLOOKUP(B183,Заказы!A:C,3,0)</f>
        <v>2023-03-20 22:05:00</v>
      </c>
      <c r="E183" t="str">
        <f>VLOOKUP(C183,Меню!A:E,4,0)</f>
        <v>Суши</v>
      </c>
      <c r="F183">
        <f>VLOOKUP(C183,Меню!A:E,5,0)</f>
        <v>200</v>
      </c>
    </row>
    <row r="184" spans="1:6" ht="15.75" hidden="1" customHeight="1" x14ac:dyDescent="0.35">
      <c r="A184" s="1">
        <v>183</v>
      </c>
      <c r="B184" s="1">
        <v>31</v>
      </c>
      <c r="C184" s="1">
        <v>55</v>
      </c>
      <c r="D184" t="str">
        <f>VLOOKUP(B184,Заказы!A:C,3,0)</f>
        <v>2023-03-20 22:05:00</v>
      </c>
      <c r="E184" t="str">
        <f>VLOOKUP(C184,Меню!A:E,4,0)</f>
        <v>Суши</v>
      </c>
      <c r="F184">
        <f>VLOOKUP(C184,Меню!A:E,5,0)</f>
        <v>100</v>
      </c>
    </row>
    <row r="185" spans="1:6" ht="15.75" hidden="1" customHeight="1" x14ac:dyDescent="0.35">
      <c r="A185" s="1">
        <v>184</v>
      </c>
      <c r="B185" s="1">
        <v>31</v>
      </c>
      <c r="C185" s="1">
        <v>16</v>
      </c>
      <c r="D185" t="str">
        <f>VLOOKUP(B185,Заказы!A:C,3,0)</f>
        <v>2023-03-20 22:05:00</v>
      </c>
      <c r="E185" t="str">
        <f>VLOOKUP(C185,Меню!A:E,4,0)</f>
        <v>Первое</v>
      </c>
      <c r="F185">
        <f>VLOOKUP(C185,Меню!A:E,5,0)</f>
        <v>250</v>
      </c>
    </row>
    <row r="186" spans="1:6" ht="15.75" hidden="1" customHeight="1" x14ac:dyDescent="0.35">
      <c r="A186" s="1">
        <v>185</v>
      </c>
      <c r="B186" s="1">
        <v>31</v>
      </c>
      <c r="C186" s="1">
        <v>30</v>
      </c>
      <c r="D186" t="str">
        <f>VLOOKUP(B186,Заказы!A:C,3,0)</f>
        <v>2023-03-20 22:05:00</v>
      </c>
      <c r="E186" t="str">
        <f>VLOOKUP(C186,Меню!A:E,4,0)</f>
        <v>Салат</v>
      </c>
      <c r="F186">
        <f>VLOOKUP(C186,Меню!A:E,5,0)</f>
        <v>250</v>
      </c>
    </row>
    <row r="187" spans="1:6" ht="15.75" hidden="1" customHeight="1" x14ac:dyDescent="0.35">
      <c r="A187" s="1">
        <v>186</v>
      </c>
      <c r="B187" s="1">
        <v>32</v>
      </c>
      <c r="C187" s="1">
        <v>42</v>
      </c>
      <c r="D187" t="str">
        <f>VLOOKUP(B187,Заказы!A:C,3,0)</f>
        <v>2023-03-20 22:55:00</v>
      </c>
      <c r="E187" t="str">
        <f>VLOOKUP(C187,Меню!A:E,4,0)</f>
        <v>Суши</v>
      </c>
      <c r="F187">
        <f>VLOOKUP(C187,Меню!A:E,5,0)</f>
        <v>250</v>
      </c>
    </row>
    <row r="188" spans="1:6" ht="15.75" hidden="1" customHeight="1" x14ac:dyDescent="0.35">
      <c r="A188" s="1">
        <v>187</v>
      </c>
      <c r="B188" s="1">
        <v>32</v>
      </c>
      <c r="C188" s="1">
        <v>55</v>
      </c>
      <c r="D188" t="str">
        <f>VLOOKUP(B188,Заказы!A:C,3,0)</f>
        <v>2023-03-20 22:55:00</v>
      </c>
      <c r="E188" t="str">
        <f>VLOOKUP(C188,Меню!A:E,4,0)</f>
        <v>Суши</v>
      </c>
      <c r="F188">
        <f>VLOOKUP(C188,Меню!A:E,5,0)</f>
        <v>100</v>
      </c>
    </row>
    <row r="189" spans="1:6" ht="15.75" hidden="1" customHeight="1" x14ac:dyDescent="0.35">
      <c r="A189" s="1">
        <v>188</v>
      </c>
      <c r="B189" s="1">
        <v>32</v>
      </c>
      <c r="C189" s="1">
        <v>48</v>
      </c>
      <c r="D189" t="str">
        <f>VLOOKUP(B189,Заказы!A:C,3,0)</f>
        <v>2023-03-20 22:55:00</v>
      </c>
      <c r="E189" t="str">
        <f>VLOOKUP(C189,Меню!A:E,4,0)</f>
        <v>Суши</v>
      </c>
      <c r="F189">
        <f>VLOOKUP(C189,Меню!A:E,5,0)</f>
        <v>200</v>
      </c>
    </row>
    <row r="190" spans="1:6" ht="15.75" hidden="1" customHeight="1" x14ac:dyDescent="0.35">
      <c r="A190" s="1">
        <v>189</v>
      </c>
      <c r="B190" s="1">
        <v>32</v>
      </c>
      <c r="C190" s="1">
        <v>29</v>
      </c>
      <c r="D190" t="str">
        <f>VLOOKUP(B190,Заказы!A:C,3,0)</f>
        <v>2023-03-20 22:55:00</v>
      </c>
      <c r="E190" t="str">
        <f>VLOOKUP(C190,Меню!A:E,4,0)</f>
        <v>Салат</v>
      </c>
      <c r="F190">
        <f>VLOOKUP(C190,Меню!A:E,5,0)</f>
        <v>250</v>
      </c>
    </row>
    <row r="191" spans="1:6" ht="15.75" hidden="1" customHeight="1" x14ac:dyDescent="0.35">
      <c r="A191" s="1">
        <v>190</v>
      </c>
      <c r="B191" s="1">
        <v>32</v>
      </c>
      <c r="C191" s="1">
        <v>22</v>
      </c>
      <c r="D191" t="str">
        <f>VLOOKUP(B191,Заказы!A:C,3,0)</f>
        <v>2023-03-20 22:55:00</v>
      </c>
      <c r="E191" t="str">
        <f>VLOOKUP(C191,Меню!A:E,4,0)</f>
        <v>Салат</v>
      </c>
      <c r="F191">
        <f>VLOOKUP(C191,Меню!A:E,5,0)</f>
        <v>250</v>
      </c>
    </row>
    <row r="192" spans="1:6" ht="15.75" hidden="1" customHeight="1" x14ac:dyDescent="0.35">
      <c r="A192" s="1">
        <v>191</v>
      </c>
      <c r="B192" s="1">
        <v>32</v>
      </c>
      <c r="C192" s="1">
        <v>55</v>
      </c>
      <c r="D192" t="str">
        <f>VLOOKUP(B192,Заказы!A:C,3,0)</f>
        <v>2023-03-20 22:55:00</v>
      </c>
      <c r="E192" t="str">
        <f>VLOOKUP(C192,Меню!A:E,4,0)</f>
        <v>Суши</v>
      </c>
      <c r="F192">
        <f>VLOOKUP(C192,Меню!A:E,5,0)</f>
        <v>100</v>
      </c>
    </row>
    <row r="193" spans="1:6" ht="15.75" hidden="1" customHeight="1" x14ac:dyDescent="0.35">
      <c r="A193" s="1">
        <v>192</v>
      </c>
      <c r="B193" s="1">
        <v>33</v>
      </c>
      <c r="C193" s="1">
        <v>17</v>
      </c>
      <c r="D193" t="str">
        <f>VLOOKUP(B193,Заказы!A:C,3,0)</f>
        <v>2023-03-21 15:38:00</v>
      </c>
      <c r="E193" t="str">
        <f>VLOOKUP(C193,Меню!A:E,4,0)</f>
        <v>Первое</v>
      </c>
      <c r="F193">
        <f>VLOOKUP(C193,Меню!A:E,5,0)</f>
        <v>250</v>
      </c>
    </row>
    <row r="194" spans="1:6" ht="15.75" hidden="1" customHeight="1" x14ac:dyDescent="0.35">
      <c r="A194" s="1">
        <v>193</v>
      </c>
      <c r="B194" s="1">
        <v>33</v>
      </c>
      <c r="C194" s="1">
        <v>44</v>
      </c>
      <c r="D194" t="str">
        <f>VLOOKUP(B194,Заказы!A:C,3,0)</f>
        <v>2023-03-21 15:38:00</v>
      </c>
      <c r="E194" t="str">
        <f>VLOOKUP(C194,Меню!A:E,4,0)</f>
        <v>Суши</v>
      </c>
      <c r="F194">
        <f>VLOOKUP(C194,Меню!A:E,5,0)</f>
        <v>250</v>
      </c>
    </row>
    <row r="195" spans="1:6" ht="15.75" hidden="1" customHeight="1" x14ac:dyDescent="0.35">
      <c r="A195" s="1">
        <v>194</v>
      </c>
      <c r="B195" s="1">
        <v>33</v>
      </c>
      <c r="C195" s="1">
        <v>59</v>
      </c>
      <c r="D195" t="str">
        <f>VLOOKUP(B195,Заказы!A:C,3,0)</f>
        <v>2023-03-21 15:38:00</v>
      </c>
      <c r="E195" t="str">
        <f>VLOOKUP(C195,Меню!A:E,4,0)</f>
        <v>Суши</v>
      </c>
      <c r="F195">
        <f>VLOOKUP(C195,Меню!A:E,5,0)</f>
        <v>300</v>
      </c>
    </row>
    <row r="196" spans="1:6" ht="15.75" hidden="1" customHeight="1" x14ac:dyDescent="0.35">
      <c r="A196" s="1">
        <v>195</v>
      </c>
      <c r="B196" s="1">
        <v>33</v>
      </c>
      <c r="C196" s="1">
        <v>20</v>
      </c>
      <c r="D196" t="str">
        <f>VLOOKUP(B196,Заказы!A:C,3,0)</f>
        <v>2023-03-21 15:38:00</v>
      </c>
      <c r="E196" t="str">
        <f>VLOOKUP(C196,Меню!A:E,4,0)</f>
        <v>Первое</v>
      </c>
      <c r="F196">
        <f>VLOOKUP(C196,Меню!A:E,5,0)</f>
        <v>250</v>
      </c>
    </row>
    <row r="197" spans="1:6" ht="15.75" hidden="1" customHeight="1" x14ac:dyDescent="0.35">
      <c r="A197" s="1">
        <v>196</v>
      </c>
      <c r="B197" s="1">
        <v>33</v>
      </c>
      <c r="C197" s="1">
        <v>20</v>
      </c>
      <c r="D197" t="str">
        <f>VLOOKUP(B197,Заказы!A:C,3,0)</f>
        <v>2023-03-21 15:38:00</v>
      </c>
      <c r="E197" t="str">
        <f>VLOOKUP(C197,Меню!A:E,4,0)</f>
        <v>Первое</v>
      </c>
      <c r="F197">
        <f>VLOOKUP(C197,Меню!A:E,5,0)</f>
        <v>250</v>
      </c>
    </row>
    <row r="198" spans="1:6" ht="15.75" hidden="1" customHeight="1" x14ac:dyDescent="0.35">
      <c r="A198" s="1">
        <v>197</v>
      </c>
      <c r="B198" s="1">
        <v>34</v>
      </c>
      <c r="C198" s="1">
        <v>31</v>
      </c>
      <c r="D198" t="str">
        <f>VLOOKUP(B198,Заказы!A:C,3,0)</f>
        <v>2023-03-21 17:03:00</v>
      </c>
      <c r="E198" t="str">
        <f>VLOOKUP(C198,Меню!A:E,4,0)</f>
        <v>Десерт</v>
      </c>
      <c r="F198">
        <f>VLOOKUP(C198,Меню!A:E,5,0)</f>
        <v>150</v>
      </c>
    </row>
    <row r="199" spans="1:6" ht="15.75" hidden="1" customHeight="1" x14ac:dyDescent="0.35">
      <c r="A199" s="1">
        <v>198</v>
      </c>
      <c r="B199" s="1">
        <v>34</v>
      </c>
      <c r="C199" s="1">
        <v>28</v>
      </c>
      <c r="D199" t="str">
        <f>VLOOKUP(B199,Заказы!A:C,3,0)</f>
        <v>2023-03-21 17:03:00</v>
      </c>
      <c r="E199" t="str">
        <f>VLOOKUP(C199,Меню!A:E,4,0)</f>
        <v>Салат</v>
      </c>
      <c r="F199">
        <f>VLOOKUP(C199,Меню!A:E,5,0)</f>
        <v>250</v>
      </c>
    </row>
    <row r="200" spans="1:6" ht="15.75" hidden="1" customHeight="1" x14ac:dyDescent="0.35">
      <c r="A200" s="1">
        <v>199</v>
      </c>
      <c r="B200" s="1">
        <v>34</v>
      </c>
      <c r="C200" s="1">
        <v>2</v>
      </c>
      <c r="D200" t="str">
        <f>VLOOKUP(B200,Заказы!A:C,3,0)</f>
        <v>2023-03-21 17:03:00</v>
      </c>
      <c r="E200" t="str">
        <f>VLOOKUP(C200,Меню!A:E,4,0)</f>
        <v>Завтрак</v>
      </c>
      <c r="F200">
        <f>VLOOKUP(C200,Меню!A:E,5,0)</f>
        <v>250</v>
      </c>
    </row>
    <row r="201" spans="1:6" ht="15.75" hidden="1" customHeight="1" x14ac:dyDescent="0.35">
      <c r="A201" s="1">
        <v>200</v>
      </c>
      <c r="B201" s="1">
        <v>34</v>
      </c>
      <c r="C201" s="1">
        <v>56</v>
      </c>
      <c r="D201" t="str">
        <f>VLOOKUP(B201,Заказы!A:C,3,0)</f>
        <v>2023-03-21 17:03:00</v>
      </c>
      <c r="E201" t="str">
        <f>VLOOKUP(C201,Меню!A:E,4,0)</f>
        <v>Суши</v>
      </c>
      <c r="F201">
        <f>VLOOKUP(C201,Меню!A:E,5,0)</f>
        <v>200</v>
      </c>
    </row>
    <row r="202" spans="1:6" ht="15.75" hidden="1" customHeight="1" x14ac:dyDescent="0.35">
      <c r="A202" s="1">
        <v>201</v>
      </c>
      <c r="B202" s="1">
        <v>34</v>
      </c>
      <c r="C202" s="1">
        <v>21</v>
      </c>
      <c r="D202" t="str">
        <f>VLOOKUP(B202,Заказы!A:C,3,0)</f>
        <v>2023-03-21 17:03:00</v>
      </c>
      <c r="E202" t="str">
        <f>VLOOKUP(C202,Меню!A:E,4,0)</f>
        <v>Салат</v>
      </c>
      <c r="F202">
        <f>VLOOKUP(C202,Меню!A:E,5,0)</f>
        <v>250</v>
      </c>
    </row>
    <row r="203" spans="1:6" ht="15.75" hidden="1" customHeight="1" x14ac:dyDescent="0.35">
      <c r="A203" s="1">
        <v>202</v>
      </c>
      <c r="B203" s="1">
        <v>35</v>
      </c>
      <c r="C203" s="1">
        <v>57</v>
      </c>
      <c r="D203" t="str">
        <f>VLOOKUP(B203,Заказы!A:C,3,0)</f>
        <v>2023-03-21 18:30:00</v>
      </c>
      <c r="E203" t="str">
        <f>VLOOKUP(C203,Меню!A:E,4,0)</f>
        <v>Суши</v>
      </c>
      <c r="F203">
        <f>VLOOKUP(C203,Меню!A:E,5,0)</f>
        <v>200</v>
      </c>
    </row>
    <row r="204" spans="1:6" ht="15.75" hidden="1" customHeight="1" x14ac:dyDescent="0.35">
      <c r="A204" s="1">
        <v>203</v>
      </c>
      <c r="B204" s="1">
        <v>35</v>
      </c>
      <c r="C204" s="1">
        <v>32</v>
      </c>
      <c r="D204" t="str">
        <f>VLOOKUP(B204,Заказы!A:C,3,0)</f>
        <v>2023-03-21 18:30:00</v>
      </c>
      <c r="E204" t="str">
        <f>VLOOKUP(C204,Меню!A:E,4,0)</f>
        <v>Десерт</v>
      </c>
      <c r="F204">
        <f>VLOOKUP(C204,Меню!A:E,5,0)</f>
        <v>150</v>
      </c>
    </row>
    <row r="205" spans="1:6" ht="15.75" hidden="1" customHeight="1" x14ac:dyDescent="0.35">
      <c r="A205" s="1">
        <v>204</v>
      </c>
      <c r="B205" s="1">
        <v>35</v>
      </c>
      <c r="C205" s="1">
        <v>55</v>
      </c>
      <c r="D205" t="str">
        <f>VLOOKUP(B205,Заказы!A:C,3,0)</f>
        <v>2023-03-21 18:30:00</v>
      </c>
      <c r="E205" t="str">
        <f>VLOOKUP(C205,Меню!A:E,4,0)</f>
        <v>Суши</v>
      </c>
      <c r="F205">
        <f>VLOOKUP(C205,Меню!A:E,5,0)</f>
        <v>100</v>
      </c>
    </row>
    <row r="206" spans="1:6" ht="15.75" hidden="1" customHeight="1" x14ac:dyDescent="0.35">
      <c r="A206" s="1">
        <v>205</v>
      </c>
      <c r="B206" s="1">
        <v>35</v>
      </c>
      <c r="C206" s="1">
        <v>37</v>
      </c>
      <c r="D206" t="str">
        <f>VLOOKUP(B206,Заказы!A:C,3,0)</f>
        <v>2023-03-21 18:30:00</v>
      </c>
      <c r="E206" t="str">
        <f>VLOOKUP(C206,Меню!A:E,4,0)</f>
        <v>Десерт</v>
      </c>
      <c r="F206">
        <f>VLOOKUP(C206,Меню!A:E,5,0)</f>
        <v>100</v>
      </c>
    </row>
    <row r="207" spans="1:6" ht="15.75" hidden="1" customHeight="1" x14ac:dyDescent="0.35">
      <c r="A207" s="1">
        <v>206</v>
      </c>
      <c r="B207" s="1">
        <v>35</v>
      </c>
      <c r="C207" s="1">
        <v>15</v>
      </c>
      <c r="D207" t="str">
        <f>VLOOKUP(B207,Заказы!A:C,3,0)</f>
        <v>2023-03-21 18:30:00</v>
      </c>
      <c r="E207" t="str">
        <f>VLOOKUP(C207,Меню!A:E,4,0)</f>
        <v>Первое</v>
      </c>
      <c r="F207">
        <f>VLOOKUP(C207,Меню!A:E,5,0)</f>
        <v>250</v>
      </c>
    </row>
    <row r="208" spans="1:6" ht="15.75" hidden="1" customHeight="1" x14ac:dyDescent="0.35">
      <c r="A208" s="1">
        <v>207</v>
      </c>
      <c r="B208" s="1">
        <v>36</v>
      </c>
      <c r="C208" s="1">
        <v>2</v>
      </c>
      <c r="D208" t="str">
        <f>VLOOKUP(B208,Заказы!A:C,3,0)</f>
        <v>2023-03-21 19:30:00</v>
      </c>
      <c r="E208" t="str">
        <f>VLOOKUP(C208,Меню!A:E,4,0)</f>
        <v>Завтрак</v>
      </c>
      <c r="F208">
        <f>VLOOKUP(C208,Меню!A:E,5,0)</f>
        <v>250</v>
      </c>
    </row>
    <row r="209" spans="1:6" ht="15.75" hidden="1" customHeight="1" x14ac:dyDescent="0.35">
      <c r="A209" s="1">
        <v>208</v>
      </c>
      <c r="B209" s="1">
        <v>36</v>
      </c>
      <c r="C209" s="1">
        <v>34</v>
      </c>
      <c r="D209" t="str">
        <f>VLOOKUP(B209,Заказы!A:C,3,0)</f>
        <v>2023-03-21 19:30:00</v>
      </c>
      <c r="E209" t="str">
        <f>VLOOKUP(C209,Меню!A:E,4,0)</f>
        <v>Десерт</v>
      </c>
      <c r="F209">
        <f>VLOOKUP(C209,Меню!A:E,5,0)</f>
        <v>150</v>
      </c>
    </row>
    <row r="210" spans="1:6" ht="15.75" hidden="1" customHeight="1" x14ac:dyDescent="0.35">
      <c r="A210" s="1">
        <v>209</v>
      </c>
      <c r="B210" s="1">
        <v>36</v>
      </c>
      <c r="C210" s="1">
        <v>41</v>
      </c>
      <c r="D210" t="str">
        <f>VLOOKUP(B210,Заказы!A:C,3,0)</f>
        <v>2023-03-21 19:30:00</v>
      </c>
      <c r="E210" t="str">
        <f>VLOOKUP(C210,Меню!A:E,4,0)</f>
        <v>Суши</v>
      </c>
      <c r="F210">
        <f>VLOOKUP(C210,Меню!A:E,5,0)</f>
        <v>220</v>
      </c>
    </row>
    <row r="211" spans="1:6" ht="15.75" hidden="1" customHeight="1" x14ac:dyDescent="0.35">
      <c r="A211" s="1">
        <v>210</v>
      </c>
      <c r="B211" s="1">
        <v>36</v>
      </c>
      <c r="C211" s="1">
        <v>6</v>
      </c>
      <c r="D211" t="str">
        <f>VLOOKUP(B211,Заказы!A:C,3,0)</f>
        <v>2023-03-21 19:30:00</v>
      </c>
      <c r="E211" t="str">
        <f>VLOOKUP(C211,Меню!A:E,4,0)</f>
        <v>Завтрак</v>
      </c>
      <c r="F211">
        <f>VLOOKUP(C211,Меню!A:E,5,0)</f>
        <v>300</v>
      </c>
    </row>
    <row r="212" spans="1:6" ht="15.75" hidden="1" customHeight="1" x14ac:dyDescent="0.35">
      <c r="A212" s="1">
        <v>211</v>
      </c>
      <c r="B212" s="1">
        <v>36</v>
      </c>
      <c r="C212" s="1">
        <v>52</v>
      </c>
      <c r="D212" t="str">
        <f>VLOOKUP(B212,Заказы!A:C,3,0)</f>
        <v>2023-03-21 19:30:00</v>
      </c>
      <c r="E212" t="str">
        <f>VLOOKUP(C212,Меню!A:E,4,0)</f>
        <v>Суши</v>
      </c>
      <c r="F212">
        <f>VLOOKUP(C212,Меню!A:E,5,0)</f>
        <v>100</v>
      </c>
    </row>
    <row r="213" spans="1:6" ht="15.75" hidden="1" customHeight="1" x14ac:dyDescent="0.35">
      <c r="A213" s="1">
        <v>212</v>
      </c>
      <c r="B213" s="1">
        <v>36</v>
      </c>
      <c r="C213" s="1">
        <v>17</v>
      </c>
      <c r="D213" t="str">
        <f>VLOOKUP(B213,Заказы!A:C,3,0)</f>
        <v>2023-03-21 19:30:00</v>
      </c>
      <c r="E213" t="str">
        <f>VLOOKUP(C213,Меню!A:E,4,0)</f>
        <v>Первое</v>
      </c>
      <c r="F213">
        <f>VLOOKUP(C213,Меню!A:E,5,0)</f>
        <v>250</v>
      </c>
    </row>
    <row r="214" spans="1:6" ht="15.75" hidden="1" customHeight="1" x14ac:dyDescent="0.35">
      <c r="A214" s="1">
        <v>213</v>
      </c>
      <c r="B214" s="1">
        <v>37</v>
      </c>
      <c r="C214" s="1">
        <v>39</v>
      </c>
      <c r="D214" t="str">
        <f>VLOOKUP(B214,Заказы!A:C,3,0)</f>
        <v>2023-03-22 19:09:00</v>
      </c>
      <c r="E214" t="str">
        <f>VLOOKUP(C214,Меню!A:E,4,0)</f>
        <v>Десерт</v>
      </c>
      <c r="F214">
        <f>VLOOKUP(C214,Меню!A:E,5,0)</f>
        <v>150</v>
      </c>
    </row>
    <row r="215" spans="1:6" ht="15.75" hidden="1" customHeight="1" x14ac:dyDescent="0.35">
      <c r="A215" s="1">
        <v>214</v>
      </c>
      <c r="B215" s="1">
        <v>37</v>
      </c>
      <c r="C215" s="1">
        <v>18</v>
      </c>
      <c r="D215" t="str">
        <f>VLOOKUP(B215,Заказы!A:C,3,0)</f>
        <v>2023-03-22 19:09:00</v>
      </c>
      <c r="E215" t="str">
        <f>VLOOKUP(C215,Меню!A:E,4,0)</f>
        <v>Первое</v>
      </c>
      <c r="F215">
        <f>VLOOKUP(C215,Меню!A:E,5,0)</f>
        <v>300</v>
      </c>
    </row>
    <row r="216" spans="1:6" ht="15.75" hidden="1" customHeight="1" x14ac:dyDescent="0.35">
      <c r="A216" s="1">
        <v>215</v>
      </c>
      <c r="B216" s="1">
        <v>37</v>
      </c>
      <c r="C216" s="1">
        <v>9</v>
      </c>
      <c r="D216" t="str">
        <f>VLOOKUP(B216,Заказы!A:C,3,0)</f>
        <v>2023-03-22 19:09:00</v>
      </c>
      <c r="E216" t="str">
        <f>VLOOKUP(C216,Меню!A:E,4,0)</f>
        <v>Завтрак</v>
      </c>
      <c r="F216">
        <f>VLOOKUP(C216,Меню!A:E,5,0)</f>
        <v>220</v>
      </c>
    </row>
    <row r="217" spans="1:6" ht="15.75" hidden="1" customHeight="1" x14ac:dyDescent="0.35">
      <c r="A217" s="1">
        <v>216</v>
      </c>
      <c r="B217" s="1">
        <v>37</v>
      </c>
      <c r="C217" s="1">
        <v>3</v>
      </c>
      <c r="D217" t="str">
        <f>VLOOKUP(B217,Заказы!A:C,3,0)</f>
        <v>2023-03-22 19:09:00</v>
      </c>
      <c r="E217" t="str">
        <f>VLOOKUP(C217,Меню!A:E,4,0)</f>
        <v>Завтрак</v>
      </c>
      <c r="F217">
        <f>VLOOKUP(C217,Меню!A:E,5,0)</f>
        <v>150</v>
      </c>
    </row>
    <row r="218" spans="1:6" ht="15.75" hidden="1" customHeight="1" x14ac:dyDescent="0.35">
      <c r="A218" s="1">
        <v>217</v>
      </c>
      <c r="B218" s="1">
        <v>38</v>
      </c>
      <c r="C218" s="1">
        <v>23</v>
      </c>
      <c r="D218" t="str">
        <f>VLOOKUP(B218,Заказы!A:C,3,0)</f>
        <v>2023-03-22 21:29:00</v>
      </c>
      <c r="E218" t="str">
        <f>VLOOKUP(C218,Меню!A:E,4,0)</f>
        <v>Салат</v>
      </c>
      <c r="F218">
        <f>VLOOKUP(C218,Меню!A:E,5,0)</f>
        <v>250</v>
      </c>
    </row>
    <row r="219" spans="1:6" ht="15.75" hidden="1" customHeight="1" x14ac:dyDescent="0.35">
      <c r="A219" s="1">
        <v>218</v>
      </c>
      <c r="B219" s="1">
        <v>38</v>
      </c>
      <c r="C219" s="1">
        <v>41</v>
      </c>
      <c r="D219" t="str">
        <f>VLOOKUP(B219,Заказы!A:C,3,0)</f>
        <v>2023-03-22 21:29:00</v>
      </c>
      <c r="E219" t="str">
        <f>VLOOKUP(C219,Меню!A:E,4,0)</f>
        <v>Суши</v>
      </c>
      <c r="F219">
        <f>VLOOKUP(C219,Меню!A:E,5,0)</f>
        <v>220</v>
      </c>
    </row>
    <row r="220" spans="1:6" ht="15.75" hidden="1" customHeight="1" x14ac:dyDescent="0.35">
      <c r="A220" s="1">
        <v>219</v>
      </c>
      <c r="B220" s="1">
        <v>38</v>
      </c>
      <c r="C220" s="1">
        <v>35</v>
      </c>
      <c r="D220" t="str">
        <f>VLOOKUP(B220,Заказы!A:C,3,0)</f>
        <v>2023-03-22 21:29:00</v>
      </c>
      <c r="E220" t="str">
        <f>VLOOKUP(C220,Меню!A:E,4,0)</f>
        <v>Десерт</v>
      </c>
      <c r="F220">
        <f>VLOOKUP(C220,Меню!A:E,5,0)</f>
        <v>150</v>
      </c>
    </row>
    <row r="221" spans="1:6" ht="15.75" hidden="1" customHeight="1" x14ac:dyDescent="0.35">
      <c r="A221" s="1">
        <v>220</v>
      </c>
      <c r="B221" s="1">
        <v>38</v>
      </c>
      <c r="C221" s="1">
        <v>7</v>
      </c>
      <c r="D221" t="str">
        <f>VLOOKUP(B221,Заказы!A:C,3,0)</f>
        <v>2023-03-22 21:29:00</v>
      </c>
      <c r="E221" t="str">
        <f>VLOOKUP(C221,Меню!A:E,4,0)</f>
        <v>Завтрак</v>
      </c>
      <c r="F221">
        <f>VLOOKUP(C221,Меню!A:E,5,0)</f>
        <v>200</v>
      </c>
    </row>
    <row r="222" spans="1:6" ht="15.75" hidden="1" customHeight="1" x14ac:dyDescent="0.35">
      <c r="A222" s="1">
        <v>221</v>
      </c>
      <c r="B222" s="1">
        <v>38</v>
      </c>
      <c r="C222" s="1">
        <v>46</v>
      </c>
      <c r="D222" t="str">
        <f>VLOOKUP(B222,Заказы!A:C,3,0)</f>
        <v>2023-03-22 21:29:00</v>
      </c>
      <c r="E222" t="str">
        <f>VLOOKUP(C222,Меню!A:E,4,0)</f>
        <v>Суши</v>
      </c>
      <c r="F222">
        <f>VLOOKUP(C222,Меню!A:E,5,0)</f>
        <v>200</v>
      </c>
    </row>
    <row r="223" spans="1:6" ht="15.75" hidden="1" customHeight="1" x14ac:dyDescent="0.35">
      <c r="A223" s="1">
        <v>222</v>
      </c>
      <c r="B223" s="1">
        <v>38</v>
      </c>
      <c r="C223" s="1">
        <v>39</v>
      </c>
      <c r="D223" t="str">
        <f>VLOOKUP(B223,Заказы!A:C,3,0)</f>
        <v>2023-03-22 21:29:00</v>
      </c>
      <c r="E223" t="str">
        <f>VLOOKUP(C223,Меню!A:E,4,0)</f>
        <v>Десерт</v>
      </c>
      <c r="F223">
        <f>VLOOKUP(C223,Меню!A:E,5,0)</f>
        <v>150</v>
      </c>
    </row>
    <row r="224" spans="1:6" ht="15.75" hidden="1" customHeight="1" x14ac:dyDescent="0.35">
      <c r="A224" s="1">
        <v>223</v>
      </c>
      <c r="B224" s="1">
        <v>39</v>
      </c>
      <c r="C224" s="1">
        <v>39</v>
      </c>
      <c r="D224" t="str">
        <f>VLOOKUP(B224,Заказы!A:C,3,0)</f>
        <v>2023-03-23 15:45:00</v>
      </c>
      <c r="E224" t="str">
        <f>VLOOKUP(C224,Меню!A:E,4,0)</f>
        <v>Десерт</v>
      </c>
      <c r="F224">
        <f>VLOOKUP(C224,Меню!A:E,5,0)</f>
        <v>150</v>
      </c>
    </row>
    <row r="225" spans="1:6" ht="15.75" hidden="1" customHeight="1" x14ac:dyDescent="0.35">
      <c r="A225" s="1">
        <v>224</v>
      </c>
      <c r="B225" s="1">
        <v>39</v>
      </c>
      <c r="C225" s="1">
        <v>6</v>
      </c>
      <c r="D225" t="str">
        <f>VLOOKUP(B225,Заказы!A:C,3,0)</f>
        <v>2023-03-23 15:45:00</v>
      </c>
      <c r="E225" t="str">
        <f>VLOOKUP(C225,Меню!A:E,4,0)</f>
        <v>Завтрак</v>
      </c>
      <c r="F225">
        <f>VLOOKUP(C225,Меню!A:E,5,0)</f>
        <v>300</v>
      </c>
    </row>
    <row r="226" spans="1:6" ht="15.75" hidden="1" customHeight="1" x14ac:dyDescent="0.35">
      <c r="A226" s="1">
        <v>225</v>
      </c>
      <c r="B226" s="1">
        <v>39</v>
      </c>
      <c r="C226" s="1">
        <v>57</v>
      </c>
      <c r="D226" t="str">
        <f>VLOOKUP(B226,Заказы!A:C,3,0)</f>
        <v>2023-03-23 15:45:00</v>
      </c>
      <c r="E226" t="str">
        <f>VLOOKUP(C226,Меню!A:E,4,0)</f>
        <v>Суши</v>
      </c>
      <c r="F226">
        <f>VLOOKUP(C226,Меню!A:E,5,0)</f>
        <v>200</v>
      </c>
    </row>
    <row r="227" spans="1:6" ht="15.75" hidden="1" customHeight="1" x14ac:dyDescent="0.35">
      <c r="A227" s="1">
        <v>226</v>
      </c>
      <c r="B227" s="1">
        <v>40</v>
      </c>
      <c r="C227" s="1">
        <v>41</v>
      </c>
      <c r="D227" t="str">
        <f>VLOOKUP(B227,Заказы!A:C,3,0)</f>
        <v>2023-03-23 16:44:00</v>
      </c>
      <c r="E227" t="str">
        <f>VLOOKUP(C227,Меню!A:E,4,0)</f>
        <v>Суши</v>
      </c>
      <c r="F227">
        <f>VLOOKUP(C227,Меню!A:E,5,0)</f>
        <v>220</v>
      </c>
    </row>
    <row r="228" spans="1:6" ht="15.75" hidden="1" customHeight="1" x14ac:dyDescent="0.35">
      <c r="A228" s="1">
        <v>227</v>
      </c>
      <c r="B228" s="1">
        <v>40</v>
      </c>
      <c r="C228" s="1">
        <v>19</v>
      </c>
      <c r="D228" t="str">
        <f>VLOOKUP(B228,Заказы!A:C,3,0)</f>
        <v>2023-03-23 16:44:00</v>
      </c>
      <c r="E228" t="str">
        <f>VLOOKUP(C228,Меню!A:E,4,0)</f>
        <v>Первое</v>
      </c>
      <c r="F228">
        <f>VLOOKUP(C228,Меню!A:E,5,0)</f>
        <v>300</v>
      </c>
    </row>
    <row r="229" spans="1:6" ht="15.75" hidden="1" customHeight="1" x14ac:dyDescent="0.35">
      <c r="A229" s="1">
        <v>228</v>
      </c>
      <c r="B229" s="1">
        <v>40</v>
      </c>
      <c r="C229" s="1">
        <v>39</v>
      </c>
      <c r="D229" t="str">
        <f>VLOOKUP(B229,Заказы!A:C,3,0)</f>
        <v>2023-03-23 16:44:00</v>
      </c>
      <c r="E229" t="str">
        <f>VLOOKUP(C229,Меню!A:E,4,0)</f>
        <v>Десерт</v>
      </c>
      <c r="F229">
        <f>VLOOKUP(C229,Меню!A:E,5,0)</f>
        <v>150</v>
      </c>
    </row>
    <row r="230" spans="1:6" ht="15.75" hidden="1" customHeight="1" x14ac:dyDescent="0.35">
      <c r="A230" s="1">
        <v>229</v>
      </c>
      <c r="B230" s="1">
        <v>40</v>
      </c>
      <c r="C230" s="1">
        <v>53</v>
      </c>
      <c r="D230" t="str">
        <f>VLOOKUP(B230,Заказы!A:C,3,0)</f>
        <v>2023-03-23 16:44:00</v>
      </c>
      <c r="E230" t="str">
        <f>VLOOKUP(C230,Меню!A:E,4,0)</f>
        <v>Суши</v>
      </c>
      <c r="F230">
        <f>VLOOKUP(C230,Меню!A:E,5,0)</f>
        <v>100</v>
      </c>
    </row>
    <row r="231" spans="1:6" ht="15.75" hidden="1" customHeight="1" x14ac:dyDescent="0.35">
      <c r="A231" s="1">
        <v>230</v>
      </c>
      <c r="B231" s="1">
        <v>41</v>
      </c>
      <c r="C231" s="1">
        <v>17</v>
      </c>
      <c r="D231" t="str">
        <f>VLOOKUP(B231,Заказы!A:C,3,0)</f>
        <v>2023-03-23 18:02:00</v>
      </c>
      <c r="E231" t="str">
        <f>VLOOKUP(C231,Меню!A:E,4,0)</f>
        <v>Первое</v>
      </c>
      <c r="F231">
        <f>VLOOKUP(C231,Меню!A:E,5,0)</f>
        <v>250</v>
      </c>
    </row>
    <row r="232" spans="1:6" ht="15.75" hidden="1" customHeight="1" x14ac:dyDescent="0.35">
      <c r="A232" s="1">
        <v>231</v>
      </c>
      <c r="B232" s="1">
        <v>41</v>
      </c>
      <c r="C232" s="1">
        <v>45</v>
      </c>
      <c r="D232" t="str">
        <f>VLOOKUP(B232,Заказы!A:C,3,0)</f>
        <v>2023-03-23 18:02:00</v>
      </c>
      <c r="E232" t="str">
        <f>VLOOKUP(C232,Меню!A:E,4,0)</f>
        <v>Суши</v>
      </c>
      <c r="F232">
        <f>VLOOKUP(C232,Меню!A:E,5,0)</f>
        <v>200</v>
      </c>
    </row>
    <row r="233" spans="1:6" ht="15.75" hidden="1" customHeight="1" x14ac:dyDescent="0.35">
      <c r="A233" s="1">
        <v>232</v>
      </c>
      <c r="B233" s="1">
        <v>41</v>
      </c>
      <c r="C233" s="1">
        <v>53</v>
      </c>
      <c r="D233" t="str">
        <f>VLOOKUP(B233,Заказы!A:C,3,0)</f>
        <v>2023-03-23 18:02:00</v>
      </c>
      <c r="E233" t="str">
        <f>VLOOKUP(C233,Меню!A:E,4,0)</f>
        <v>Суши</v>
      </c>
      <c r="F233">
        <f>VLOOKUP(C233,Меню!A:E,5,0)</f>
        <v>100</v>
      </c>
    </row>
    <row r="234" spans="1:6" ht="15.75" hidden="1" customHeight="1" x14ac:dyDescent="0.35">
      <c r="A234" s="1">
        <v>233</v>
      </c>
      <c r="B234" s="1">
        <v>42</v>
      </c>
      <c r="C234" s="1">
        <v>38</v>
      </c>
      <c r="D234" t="str">
        <f>VLOOKUP(B234,Заказы!A:C,3,0)</f>
        <v>2023-03-23 18:48:00</v>
      </c>
      <c r="E234" t="str">
        <f>VLOOKUP(C234,Меню!A:E,4,0)</f>
        <v>Десерт</v>
      </c>
      <c r="F234">
        <f>VLOOKUP(C234,Меню!A:E,5,0)</f>
        <v>150</v>
      </c>
    </row>
    <row r="235" spans="1:6" ht="15.75" hidden="1" customHeight="1" x14ac:dyDescent="0.35">
      <c r="A235" s="1">
        <v>234</v>
      </c>
      <c r="B235" s="1">
        <v>42</v>
      </c>
      <c r="C235" s="1">
        <v>17</v>
      </c>
      <c r="D235" t="str">
        <f>VLOOKUP(B235,Заказы!A:C,3,0)</f>
        <v>2023-03-23 18:48:00</v>
      </c>
      <c r="E235" t="str">
        <f>VLOOKUP(C235,Меню!A:E,4,0)</f>
        <v>Первое</v>
      </c>
      <c r="F235">
        <f>VLOOKUP(C235,Меню!A:E,5,0)</f>
        <v>250</v>
      </c>
    </row>
    <row r="236" spans="1:6" ht="15.75" hidden="1" customHeight="1" x14ac:dyDescent="0.35">
      <c r="A236" s="1">
        <v>235</v>
      </c>
      <c r="B236" s="1">
        <v>42</v>
      </c>
      <c r="C236" s="1">
        <v>1</v>
      </c>
      <c r="D236" t="str">
        <f>VLOOKUP(B236,Заказы!A:C,3,0)</f>
        <v>2023-03-23 18:48:00</v>
      </c>
      <c r="E236" t="str">
        <f>VLOOKUP(C236,Меню!A:E,4,0)</f>
        <v>Завтрак</v>
      </c>
      <c r="F236">
        <f>VLOOKUP(C236,Меню!A:E,5,0)</f>
        <v>200</v>
      </c>
    </row>
    <row r="237" spans="1:6" ht="15.75" hidden="1" customHeight="1" x14ac:dyDescent="0.35">
      <c r="A237" s="1">
        <v>236</v>
      </c>
      <c r="B237" s="1">
        <v>42</v>
      </c>
      <c r="C237" s="1">
        <v>26</v>
      </c>
      <c r="D237" t="str">
        <f>VLOOKUP(B237,Заказы!A:C,3,0)</f>
        <v>2023-03-23 18:48:00</v>
      </c>
      <c r="E237" t="str">
        <f>VLOOKUP(C237,Меню!A:E,4,0)</f>
        <v>Салат</v>
      </c>
      <c r="F237">
        <f>VLOOKUP(C237,Меню!A:E,5,0)</f>
        <v>250</v>
      </c>
    </row>
    <row r="238" spans="1:6" ht="15.75" hidden="1" customHeight="1" x14ac:dyDescent="0.35">
      <c r="A238" s="1">
        <v>237</v>
      </c>
      <c r="B238" s="1">
        <v>43</v>
      </c>
      <c r="C238" s="1">
        <v>44</v>
      </c>
      <c r="D238" t="str">
        <f>VLOOKUP(B238,Заказы!A:C,3,0)</f>
        <v>2023-03-23 19:07:00</v>
      </c>
      <c r="E238" t="str">
        <f>VLOOKUP(C238,Меню!A:E,4,0)</f>
        <v>Суши</v>
      </c>
      <c r="F238">
        <f>VLOOKUP(C238,Меню!A:E,5,0)</f>
        <v>250</v>
      </c>
    </row>
    <row r="239" spans="1:6" ht="15.75" hidden="1" customHeight="1" x14ac:dyDescent="0.35">
      <c r="A239" s="1">
        <v>238</v>
      </c>
      <c r="B239" s="1">
        <v>43</v>
      </c>
      <c r="C239" s="1">
        <v>47</v>
      </c>
      <c r="D239" t="str">
        <f>VLOOKUP(B239,Заказы!A:C,3,0)</f>
        <v>2023-03-23 19:07:00</v>
      </c>
      <c r="E239" t="str">
        <f>VLOOKUP(C239,Меню!A:E,4,0)</f>
        <v>Суши</v>
      </c>
      <c r="F239">
        <f>VLOOKUP(C239,Меню!A:E,5,0)</f>
        <v>200</v>
      </c>
    </row>
    <row r="240" spans="1:6" ht="15.75" hidden="1" customHeight="1" x14ac:dyDescent="0.35">
      <c r="A240" s="1">
        <v>239</v>
      </c>
      <c r="B240" s="1">
        <v>43</v>
      </c>
      <c r="C240" s="1">
        <v>8</v>
      </c>
      <c r="D240" t="str">
        <f>VLOOKUP(B240,Заказы!A:C,3,0)</f>
        <v>2023-03-23 19:07:00</v>
      </c>
      <c r="E240" t="str">
        <f>VLOOKUP(C240,Меню!A:E,4,0)</f>
        <v>Завтрак</v>
      </c>
      <c r="F240">
        <f>VLOOKUP(C240,Меню!A:E,5,0)</f>
        <v>180</v>
      </c>
    </row>
    <row r="241" spans="1:6" ht="15.75" hidden="1" customHeight="1" x14ac:dyDescent="0.35">
      <c r="A241" s="1">
        <v>240</v>
      </c>
      <c r="B241" s="1">
        <v>43</v>
      </c>
      <c r="C241" s="1">
        <v>59</v>
      </c>
      <c r="D241" t="str">
        <f>VLOOKUP(B241,Заказы!A:C,3,0)</f>
        <v>2023-03-23 19:07:00</v>
      </c>
      <c r="E241" t="str">
        <f>VLOOKUP(C241,Меню!A:E,4,0)</f>
        <v>Суши</v>
      </c>
      <c r="F241">
        <f>VLOOKUP(C241,Меню!A:E,5,0)</f>
        <v>300</v>
      </c>
    </row>
    <row r="242" spans="1:6" ht="15.75" hidden="1" customHeight="1" x14ac:dyDescent="0.35">
      <c r="A242" s="1">
        <v>241</v>
      </c>
      <c r="B242" s="1">
        <v>44</v>
      </c>
      <c r="C242" s="1">
        <v>43</v>
      </c>
      <c r="D242" t="str">
        <f>VLOOKUP(B242,Заказы!A:C,3,0)</f>
        <v>2023-03-23 19:12:00</v>
      </c>
      <c r="E242" t="str">
        <f>VLOOKUP(C242,Меню!A:E,4,0)</f>
        <v>Суши</v>
      </c>
      <c r="F242">
        <f>VLOOKUP(C242,Меню!A:E,5,0)</f>
        <v>250</v>
      </c>
    </row>
    <row r="243" spans="1:6" ht="15.75" hidden="1" customHeight="1" x14ac:dyDescent="0.35">
      <c r="A243" s="1">
        <v>242</v>
      </c>
      <c r="B243" s="1">
        <v>44</v>
      </c>
      <c r="C243" s="1">
        <v>8</v>
      </c>
      <c r="D243" t="str">
        <f>VLOOKUP(B243,Заказы!A:C,3,0)</f>
        <v>2023-03-23 19:12:00</v>
      </c>
      <c r="E243" t="str">
        <f>VLOOKUP(C243,Меню!A:E,4,0)</f>
        <v>Завтрак</v>
      </c>
      <c r="F243">
        <f>VLOOKUP(C243,Меню!A:E,5,0)</f>
        <v>180</v>
      </c>
    </row>
    <row r="244" spans="1:6" ht="15.75" hidden="1" customHeight="1" x14ac:dyDescent="0.35">
      <c r="A244" s="1">
        <v>243</v>
      </c>
      <c r="B244" s="1">
        <v>44</v>
      </c>
      <c r="C244" s="1">
        <v>25</v>
      </c>
      <c r="D244" t="str">
        <f>VLOOKUP(B244,Заказы!A:C,3,0)</f>
        <v>2023-03-23 19:12:00</v>
      </c>
      <c r="E244" t="str">
        <f>VLOOKUP(C244,Меню!A:E,4,0)</f>
        <v>Салат</v>
      </c>
      <c r="F244">
        <f>VLOOKUP(C244,Меню!A:E,5,0)</f>
        <v>250</v>
      </c>
    </row>
    <row r="245" spans="1:6" ht="15.75" hidden="1" customHeight="1" x14ac:dyDescent="0.35">
      <c r="A245" s="1">
        <v>244</v>
      </c>
      <c r="B245" s="1">
        <v>44</v>
      </c>
      <c r="C245" s="1">
        <v>40</v>
      </c>
      <c r="D245" t="str">
        <f>VLOOKUP(B245,Заказы!A:C,3,0)</f>
        <v>2023-03-23 19:12:00</v>
      </c>
      <c r="E245" t="str">
        <f>VLOOKUP(C245,Меню!A:E,4,0)</f>
        <v>Десерт</v>
      </c>
      <c r="F245">
        <f>VLOOKUP(C245,Меню!A:E,5,0)</f>
        <v>150</v>
      </c>
    </row>
    <row r="246" spans="1:6" ht="15.75" hidden="1" customHeight="1" x14ac:dyDescent="0.35">
      <c r="A246" s="1">
        <v>245</v>
      </c>
      <c r="B246" s="1">
        <v>44</v>
      </c>
      <c r="C246" s="1">
        <v>21</v>
      </c>
      <c r="D246" t="str">
        <f>VLOOKUP(B246,Заказы!A:C,3,0)</f>
        <v>2023-03-23 19:12:00</v>
      </c>
      <c r="E246" t="str">
        <f>VLOOKUP(C246,Меню!A:E,4,0)</f>
        <v>Салат</v>
      </c>
      <c r="F246">
        <f>VLOOKUP(C246,Меню!A:E,5,0)</f>
        <v>250</v>
      </c>
    </row>
    <row r="247" spans="1:6" ht="15.75" hidden="1" customHeight="1" x14ac:dyDescent="0.35">
      <c r="A247" s="1">
        <v>246</v>
      </c>
      <c r="B247" s="1">
        <v>44</v>
      </c>
      <c r="C247" s="1">
        <v>59</v>
      </c>
      <c r="D247" t="str">
        <f>VLOOKUP(B247,Заказы!A:C,3,0)</f>
        <v>2023-03-23 19:12:00</v>
      </c>
      <c r="E247" t="str">
        <f>VLOOKUP(C247,Меню!A:E,4,0)</f>
        <v>Суши</v>
      </c>
      <c r="F247">
        <f>VLOOKUP(C247,Меню!A:E,5,0)</f>
        <v>300</v>
      </c>
    </row>
    <row r="248" spans="1:6" ht="15.75" hidden="1" customHeight="1" x14ac:dyDescent="0.35">
      <c r="A248" s="1">
        <v>247</v>
      </c>
      <c r="B248" s="1">
        <v>45</v>
      </c>
      <c r="C248" s="1">
        <v>4</v>
      </c>
      <c r="D248" t="str">
        <f>VLOOKUP(B248,Заказы!A:C,3,0)</f>
        <v>2023-03-23 20:06:00</v>
      </c>
      <c r="E248" t="str">
        <f>VLOOKUP(C248,Меню!A:E,4,0)</f>
        <v>Завтрак</v>
      </c>
      <c r="F248">
        <f>VLOOKUP(C248,Меню!A:E,5,0)</f>
        <v>180</v>
      </c>
    </row>
    <row r="249" spans="1:6" ht="15.75" hidden="1" customHeight="1" x14ac:dyDescent="0.35">
      <c r="A249" s="1">
        <v>248</v>
      </c>
      <c r="B249" s="1">
        <v>45</v>
      </c>
      <c r="C249" s="1">
        <v>17</v>
      </c>
      <c r="D249" t="str">
        <f>VLOOKUP(B249,Заказы!A:C,3,0)</f>
        <v>2023-03-23 20:06:00</v>
      </c>
      <c r="E249" t="str">
        <f>VLOOKUP(C249,Меню!A:E,4,0)</f>
        <v>Первое</v>
      </c>
      <c r="F249">
        <f>VLOOKUP(C249,Меню!A:E,5,0)</f>
        <v>250</v>
      </c>
    </row>
    <row r="250" spans="1:6" ht="15.75" hidden="1" customHeight="1" x14ac:dyDescent="0.35">
      <c r="A250" s="1">
        <v>249</v>
      </c>
      <c r="B250" s="1">
        <v>45</v>
      </c>
      <c r="C250" s="1">
        <v>14</v>
      </c>
      <c r="D250" t="str">
        <f>VLOOKUP(B250,Заказы!A:C,3,0)</f>
        <v>2023-03-23 20:06:00</v>
      </c>
      <c r="E250" t="str">
        <f>VLOOKUP(C250,Меню!A:E,4,0)</f>
        <v>Первое</v>
      </c>
      <c r="F250">
        <f>VLOOKUP(C250,Меню!A:E,5,0)</f>
        <v>350</v>
      </c>
    </row>
    <row r="251" spans="1:6" ht="15.75" hidden="1" customHeight="1" x14ac:dyDescent="0.35">
      <c r="A251" s="1">
        <v>250</v>
      </c>
      <c r="B251" s="1">
        <v>45</v>
      </c>
      <c r="C251" s="1">
        <v>57</v>
      </c>
      <c r="D251" t="str">
        <f>VLOOKUP(B251,Заказы!A:C,3,0)</f>
        <v>2023-03-23 20:06:00</v>
      </c>
      <c r="E251" t="str">
        <f>VLOOKUP(C251,Меню!A:E,4,0)</f>
        <v>Суши</v>
      </c>
      <c r="F251">
        <f>VLOOKUP(C251,Меню!A:E,5,0)</f>
        <v>200</v>
      </c>
    </row>
    <row r="252" spans="1:6" ht="15.75" hidden="1" customHeight="1" x14ac:dyDescent="0.35">
      <c r="A252" s="1">
        <v>251</v>
      </c>
      <c r="B252" s="1">
        <v>45</v>
      </c>
      <c r="C252" s="1">
        <v>57</v>
      </c>
      <c r="D252" t="str">
        <f>VLOOKUP(B252,Заказы!A:C,3,0)</f>
        <v>2023-03-23 20:06:00</v>
      </c>
      <c r="E252" t="str">
        <f>VLOOKUP(C252,Меню!A:E,4,0)</f>
        <v>Суши</v>
      </c>
      <c r="F252">
        <f>VLOOKUP(C252,Меню!A:E,5,0)</f>
        <v>200</v>
      </c>
    </row>
    <row r="253" spans="1:6" ht="15.75" hidden="1" customHeight="1" x14ac:dyDescent="0.35">
      <c r="A253" s="1">
        <v>252</v>
      </c>
      <c r="B253" s="1">
        <v>45</v>
      </c>
      <c r="C253" s="1">
        <v>16</v>
      </c>
      <c r="D253" t="str">
        <f>VLOOKUP(B253,Заказы!A:C,3,0)</f>
        <v>2023-03-23 20:06:00</v>
      </c>
      <c r="E253" t="str">
        <f>VLOOKUP(C253,Меню!A:E,4,0)</f>
        <v>Первое</v>
      </c>
      <c r="F253">
        <f>VLOOKUP(C253,Меню!A:E,5,0)</f>
        <v>250</v>
      </c>
    </row>
    <row r="254" spans="1:6" ht="15.75" hidden="1" customHeight="1" x14ac:dyDescent="0.35">
      <c r="A254" s="1">
        <v>253</v>
      </c>
      <c r="B254" s="1">
        <v>45</v>
      </c>
      <c r="C254" s="1">
        <v>52</v>
      </c>
      <c r="D254" t="str">
        <f>VLOOKUP(B254,Заказы!A:C,3,0)</f>
        <v>2023-03-23 20:06:00</v>
      </c>
      <c r="E254" t="str">
        <f>VLOOKUP(C254,Меню!A:E,4,0)</f>
        <v>Суши</v>
      </c>
      <c r="F254">
        <f>VLOOKUP(C254,Меню!A:E,5,0)</f>
        <v>100</v>
      </c>
    </row>
    <row r="255" spans="1:6" ht="15.75" hidden="1" customHeight="1" x14ac:dyDescent="0.35">
      <c r="A255" s="1">
        <v>254</v>
      </c>
      <c r="B255" s="1">
        <v>46</v>
      </c>
      <c r="C255" s="1">
        <v>7</v>
      </c>
      <c r="D255" t="str">
        <f>VLOOKUP(B255,Заказы!A:C,3,0)</f>
        <v>2023-03-23 20:27:00</v>
      </c>
      <c r="E255" t="str">
        <f>VLOOKUP(C255,Меню!A:E,4,0)</f>
        <v>Завтрак</v>
      </c>
      <c r="F255">
        <f>VLOOKUP(C255,Меню!A:E,5,0)</f>
        <v>200</v>
      </c>
    </row>
    <row r="256" spans="1:6" ht="15.75" hidden="1" customHeight="1" x14ac:dyDescent="0.35">
      <c r="A256" s="1">
        <v>255</v>
      </c>
      <c r="B256" s="1">
        <v>46</v>
      </c>
      <c r="C256" s="1">
        <v>3</v>
      </c>
      <c r="D256" t="str">
        <f>VLOOKUP(B256,Заказы!A:C,3,0)</f>
        <v>2023-03-23 20:27:00</v>
      </c>
      <c r="E256" t="str">
        <f>VLOOKUP(C256,Меню!A:E,4,0)</f>
        <v>Завтрак</v>
      </c>
      <c r="F256">
        <f>VLOOKUP(C256,Меню!A:E,5,0)</f>
        <v>150</v>
      </c>
    </row>
    <row r="257" spans="1:6" ht="15.75" hidden="1" customHeight="1" x14ac:dyDescent="0.35">
      <c r="A257" s="1">
        <v>256</v>
      </c>
      <c r="B257" s="1">
        <v>46</v>
      </c>
      <c r="C257" s="1">
        <v>18</v>
      </c>
      <c r="D257" t="str">
        <f>VLOOKUP(B257,Заказы!A:C,3,0)</f>
        <v>2023-03-23 20:27:00</v>
      </c>
      <c r="E257" t="str">
        <f>VLOOKUP(C257,Меню!A:E,4,0)</f>
        <v>Первое</v>
      </c>
      <c r="F257">
        <f>VLOOKUP(C257,Меню!A:E,5,0)</f>
        <v>300</v>
      </c>
    </row>
    <row r="258" spans="1:6" ht="15.75" hidden="1" customHeight="1" x14ac:dyDescent="0.35">
      <c r="A258" s="1">
        <v>257</v>
      </c>
      <c r="B258" s="1">
        <v>46</v>
      </c>
      <c r="C258" s="1">
        <v>5</v>
      </c>
      <c r="D258" t="str">
        <f>VLOOKUP(B258,Заказы!A:C,3,0)</f>
        <v>2023-03-23 20:27:00</v>
      </c>
      <c r="E258" t="str">
        <f>VLOOKUP(C258,Меню!A:E,4,0)</f>
        <v>Завтрак</v>
      </c>
      <c r="F258">
        <f>VLOOKUP(C258,Меню!A:E,5,0)</f>
        <v>220</v>
      </c>
    </row>
    <row r="259" spans="1:6" ht="15.75" hidden="1" customHeight="1" x14ac:dyDescent="0.35">
      <c r="A259" s="1">
        <v>258</v>
      </c>
      <c r="B259" s="1">
        <v>46</v>
      </c>
      <c r="C259" s="1">
        <v>59</v>
      </c>
      <c r="D259" t="str">
        <f>VLOOKUP(B259,Заказы!A:C,3,0)</f>
        <v>2023-03-23 20:27:00</v>
      </c>
      <c r="E259" t="str">
        <f>VLOOKUP(C259,Меню!A:E,4,0)</f>
        <v>Суши</v>
      </c>
      <c r="F259">
        <f>VLOOKUP(C259,Меню!A:E,5,0)</f>
        <v>300</v>
      </c>
    </row>
    <row r="260" spans="1:6" ht="15.75" hidden="1" customHeight="1" x14ac:dyDescent="0.35">
      <c r="A260" s="1">
        <v>259</v>
      </c>
      <c r="B260" s="1">
        <v>47</v>
      </c>
      <c r="C260" s="1">
        <v>9</v>
      </c>
      <c r="D260" t="str">
        <f>VLOOKUP(B260,Заказы!A:C,3,0)</f>
        <v>2023-03-23 21:20:00</v>
      </c>
      <c r="E260" t="str">
        <f>VLOOKUP(C260,Меню!A:E,4,0)</f>
        <v>Завтрак</v>
      </c>
      <c r="F260">
        <f>VLOOKUP(C260,Меню!A:E,5,0)</f>
        <v>220</v>
      </c>
    </row>
    <row r="261" spans="1:6" ht="15.75" hidden="1" customHeight="1" x14ac:dyDescent="0.35">
      <c r="A261" s="1">
        <v>260</v>
      </c>
      <c r="B261" s="1">
        <v>47</v>
      </c>
      <c r="C261" s="1">
        <v>57</v>
      </c>
      <c r="D261" t="str">
        <f>VLOOKUP(B261,Заказы!A:C,3,0)</f>
        <v>2023-03-23 21:20:00</v>
      </c>
      <c r="E261" t="str">
        <f>VLOOKUP(C261,Меню!A:E,4,0)</f>
        <v>Суши</v>
      </c>
      <c r="F261">
        <f>VLOOKUP(C261,Меню!A:E,5,0)</f>
        <v>200</v>
      </c>
    </row>
    <row r="262" spans="1:6" ht="15.75" hidden="1" customHeight="1" x14ac:dyDescent="0.35">
      <c r="A262" s="1">
        <v>261</v>
      </c>
      <c r="B262" s="1">
        <v>47</v>
      </c>
      <c r="C262" s="1">
        <v>11</v>
      </c>
      <c r="D262" t="str">
        <f>VLOOKUP(B262,Заказы!A:C,3,0)</f>
        <v>2023-03-23 21:20:00</v>
      </c>
      <c r="E262" t="str">
        <f>VLOOKUP(C262,Меню!A:E,4,0)</f>
        <v>Первое</v>
      </c>
      <c r="F262">
        <f>VLOOKUP(C262,Меню!A:E,5,0)</f>
        <v>300</v>
      </c>
    </row>
    <row r="263" spans="1:6" ht="15.75" hidden="1" customHeight="1" x14ac:dyDescent="0.35">
      <c r="A263" s="1">
        <v>262</v>
      </c>
      <c r="B263" s="1">
        <v>47</v>
      </c>
      <c r="C263" s="1">
        <v>35</v>
      </c>
      <c r="D263" t="str">
        <f>VLOOKUP(B263,Заказы!A:C,3,0)</f>
        <v>2023-03-23 21:20:00</v>
      </c>
      <c r="E263" t="str">
        <f>VLOOKUP(C263,Меню!A:E,4,0)</f>
        <v>Десерт</v>
      </c>
      <c r="F263">
        <f>VLOOKUP(C263,Меню!A:E,5,0)</f>
        <v>150</v>
      </c>
    </row>
    <row r="264" spans="1:6" ht="15.75" hidden="1" customHeight="1" x14ac:dyDescent="0.35">
      <c r="A264" s="1">
        <v>263</v>
      </c>
      <c r="B264" s="1">
        <v>47</v>
      </c>
      <c r="C264" s="1">
        <v>31</v>
      </c>
      <c r="D264" t="str">
        <f>VLOOKUP(B264,Заказы!A:C,3,0)</f>
        <v>2023-03-23 21:20:00</v>
      </c>
      <c r="E264" t="str">
        <f>VLOOKUP(C264,Меню!A:E,4,0)</f>
        <v>Десерт</v>
      </c>
      <c r="F264">
        <f>VLOOKUP(C264,Меню!A:E,5,0)</f>
        <v>150</v>
      </c>
    </row>
    <row r="265" spans="1:6" ht="15.75" hidden="1" customHeight="1" x14ac:dyDescent="0.35">
      <c r="A265" s="1">
        <v>264</v>
      </c>
      <c r="B265" s="1">
        <v>47</v>
      </c>
      <c r="C265" s="1">
        <v>51</v>
      </c>
      <c r="D265" t="str">
        <f>VLOOKUP(B265,Заказы!A:C,3,0)</f>
        <v>2023-03-23 21:20:00</v>
      </c>
      <c r="E265" t="str">
        <f>VLOOKUP(C265,Меню!A:E,4,0)</f>
        <v>Суши</v>
      </c>
      <c r="F265">
        <f>VLOOKUP(C265,Меню!A:E,5,0)</f>
        <v>100</v>
      </c>
    </row>
    <row r="266" spans="1:6" ht="15.75" hidden="1" customHeight="1" x14ac:dyDescent="0.35">
      <c r="A266" s="1">
        <v>265</v>
      </c>
      <c r="B266" s="1">
        <v>47</v>
      </c>
      <c r="C266" s="1">
        <v>14</v>
      </c>
      <c r="D266" t="str">
        <f>VLOOKUP(B266,Заказы!A:C,3,0)</f>
        <v>2023-03-23 21:20:00</v>
      </c>
      <c r="E266" t="str">
        <f>VLOOKUP(C266,Меню!A:E,4,0)</f>
        <v>Первое</v>
      </c>
      <c r="F266">
        <f>VLOOKUP(C266,Меню!A:E,5,0)</f>
        <v>350</v>
      </c>
    </row>
    <row r="267" spans="1:6" ht="15.75" hidden="1" customHeight="1" x14ac:dyDescent="0.35">
      <c r="A267" s="1">
        <v>266</v>
      </c>
      <c r="B267" s="1">
        <v>47</v>
      </c>
      <c r="C267" s="1">
        <v>53</v>
      </c>
      <c r="D267" t="str">
        <f>VLOOKUP(B267,Заказы!A:C,3,0)</f>
        <v>2023-03-23 21:20:00</v>
      </c>
      <c r="E267" t="str">
        <f>VLOOKUP(C267,Меню!A:E,4,0)</f>
        <v>Суши</v>
      </c>
      <c r="F267">
        <f>VLOOKUP(C267,Меню!A:E,5,0)</f>
        <v>100</v>
      </c>
    </row>
    <row r="268" spans="1:6" ht="15.75" hidden="1" customHeight="1" x14ac:dyDescent="0.35">
      <c r="A268" s="1">
        <v>267</v>
      </c>
      <c r="B268" s="1">
        <v>47</v>
      </c>
      <c r="C268" s="1">
        <v>1</v>
      </c>
      <c r="D268" t="str">
        <f>VLOOKUP(B268,Заказы!A:C,3,0)</f>
        <v>2023-03-23 21:20:00</v>
      </c>
      <c r="E268" t="str">
        <f>VLOOKUP(C268,Меню!A:E,4,0)</f>
        <v>Завтрак</v>
      </c>
      <c r="F268">
        <f>VLOOKUP(C268,Меню!A:E,5,0)</f>
        <v>200</v>
      </c>
    </row>
    <row r="269" spans="1:6" ht="15.75" hidden="1" customHeight="1" x14ac:dyDescent="0.35">
      <c r="A269" s="1">
        <v>268</v>
      </c>
      <c r="B269" s="1">
        <v>47</v>
      </c>
      <c r="C269" s="1">
        <v>53</v>
      </c>
      <c r="D269" t="str">
        <f>VLOOKUP(B269,Заказы!A:C,3,0)</f>
        <v>2023-03-23 21:20:00</v>
      </c>
      <c r="E269" t="str">
        <f>VLOOKUP(C269,Меню!A:E,4,0)</f>
        <v>Суши</v>
      </c>
      <c r="F269">
        <f>VLOOKUP(C269,Меню!A:E,5,0)</f>
        <v>100</v>
      </c>
    </row>
    <row r="270" spans="1:6" ht="15.75" hidden="1" customHeight="1" x14ac:dyDescent="0.35">
      <c r="A270" s="1">
        <v>269</v>
      </c>
      <c r="B270" s="1">
        <v>48</v>
      </c>
      <c r="C270" s="1">
        <v>35</v>
      </c>
      <c r="D270" t="str">
        <f>VLOOKUP(B270,Заказы!A:C,3,0)</f>
        <v>2023-03-23 22:09:00</v>
      </c>
      <c r="E270" t="str">
        <f>VLOOKUP(C270,Меню!A:E,4,0)</f>
        <v>Десерт</v>
      </c>
      <c r="F270">
        <f>VLOOKUP(C270,Меню!A:E,5,0)</f>
        <v>150</v>
      </c>
    </row>
    <row r="271" spans="1:6" ht="15.75" hidden="1" customHeight="1" x14ac:dyDescent="0.35">
      <c r="A271" s="1">
        <v>270</v>
      </c>
      <c r="B271" s="1">
        <v>48</v>
      </c>
      <c r="C271" s="1">
        <v>31</v>
      </c>
      <c r="D271" t="str">
        <f>VLOOKUP(B271,Заказы!A:C,3,0)</f>
        <v>2023-03-23 22:09:00</v>
      </c>
      <c r="E271" t="str">
        <f>VLOOKUP(C271,Меню!A:E,4,0)</f>
        <v>Десерт</v>
      </c>
      <c r="F271">
        <f>VLOOKUP(C271,Меню!A:E,5,0)</f>
        <v>150</v>
      </c>
    </row>
    <row r="272" spans="1:6" ht="15.75" hidden="1" customHeight="1" x14ac:dyDescent="0.35">
      <c r="A272" s="1">
        <v>271</v>
      </c>
      <c r="B272" s="1">
        <v>48</v>
      </c>
      <c r="C272" s="1">
        <v>10</v>
      </c>
      <c r="D272" t="str">
        <f>VLOOKUP(B272,Заказы!A:C,3,0)</f>
        <v>2023-03-23 22:09:00</v>
      </c>
      <c r="E272" t="str">
        <f>VLOOKUP(C272,Меню!A:E,4,0)</f>
        <v>Завтрак</v>
      </c>
      <c r="F272">
        <f>VLOOKUP(C272,Меню!A:E,5,0)</f>
        <v>200</v>
      </c>
    </row>
    <row r="273" spans="1:6" ht="15.75" hidden="1" customHeight="1" x14ac:dyDescent="0.35">
      <c r="A273" s="1">
        <v>272</v>
      </c>
      <c r="B273" s="1">
        <v>48</v>
      </c>
      <c r="C273" s="1">
        <v>57</v>
      </c>
      <c r="D273" t="str">
        <f>VLOOKUP(B273,Заказы!A:C,3,0)</f>
        <v>2023-03-23 22:09:00</v>
      </c>
      <c r="E273" t="str">
        <f>VLOOKUP(C273,Меню!A:E,4,0)</f>
        <v>Суши</v>
      </c>
      <c r="F273">
        <f>VLOOKUP(C273,Меню!A:E,5,0)</f>
        <v>200</v>
      </c>
    </row>
    <row r="274" spans="1:6" ht="15.75" hidden="1" customHeight="1" x14ac:dyDescent="0.35">
      <c r="A274" s="1">
        <v>273</v>
      </c>
      <c r="B274" s="1">
        <v>48</v>
      </c>
      <c r="C274" s="1">
        <v>55</v>
      </c>
      <c r="D274" t="str">
        <f>VLOOKUP(B274,Заказы!A:C,3,0)</f>
        <v>2023-03-23 22:09:00</v>
      </c>
      <c r="E274" t="str">
        <f>VLOOKUP(C274,Меню!A:E,4,0)</f>
        <v>Суши</v>
      </c>
      <c r="F274">
        <f>VLOOKUP(C274,Меню!A:E,5,0)</f>
        <v>100</v>
      </c>
    </row>
    <row r="275" spans="1:6" ht="15.75" hidden="1" customHeight="1" x14ac:dyDescent="0.35">
      <c r="A275" s="1">
        <v>274</v>
      </c>
      <c r="B275" s="1">
        <v>49</v>
      </c>
      <c r="C275" s="1">
        <v>8</v>
      </c>
      <c r="D275" t="str">
        <f>VLOOKUP(B275,Заказы!A:C,3,0)</f>
        <v>2023-03-24 17:58:00</v>
      </c>
      <c r="E275" t="str">
        <f>VLOOKUP(C275,Меню!A:E,4,0)</f>
        <v>Завтрак</v>
      </c>
      <c r="F275">
        <f>VLOOKUP(C275,Меню!A:E,5,0)</f>
        <v>180</v>
      </c>
    </row>
    <row r="276" spans="1:6" ht="15.75" hidden="1" customHeight="1" x14ac:dyDescent="0.35">
      <c r="A276" s="1">
        <v>275</v>
      </c>
      <c r="B276" s="1">
        <v>50</v>
      </c>
      <c r="C276" s="1">
        <v>24</v>
      </c>
      <c r="D276" t="str">
        <f>VLOOKUP(B276,Заказы!A:C,3,0)</f>
        <v>2023-03-24 18:23:00</v>
      </c>
      <c r="E276" t="str">
        <f>VLOOKUP(C276,Меню!A:E,4,0)</f>
        <v>Салат</v>
      </c>
      <c r="F276">
        <f>VLOOKUP(C276,Меню!A:E,5,0)</f>
        <v>250</v>
      </c>
    </row>
    <row r="277" spans="1:6" ht="15.75" hidden="1" customHeight="1" x14ac:dyDescent="0.35">
      <c r="A277" s="1">
        <v>276</v>
      </c>
      <c r="B277" s="1">
        <v>50</v>
      </c>
      <c r="C277" s="1">
        <v>29</v>
      </c>
      <c r="D277" t="str">
        <f>VLOOKUP(B277,Заказы!A:C,3,0)</f>
        <v>2023-03-24 18:23:00</v>
      </c>
      <c r="E277" t="str">
        <f>VLOOKUP(C277,Меню!A:E,4,0)</f>
        <v>Салат</v>
      </c>
      <c r="F277">
        <f>VLOOKUP(C277,Меню!A:E,5,0)</f>
        <v>250</v>
      </c>
    </row>
    <row r="278" spans="1:6" ht="15.75" hidden="1" customHeight="1" x14ac:dyDescent="0.35">
      <c r="A278" s="1">
        <v>277</v>
      </c>
      <c r="B278" s="1">
        <v>50</v>
      </c>
      <c r="C278" s="1">
        <v>58</v>
      </c>
      <c r="D278" t="str">
        <f>VLOOKUP(B278,Заказы!A:C,3,0)</f>
        <v>2023-03-24 18:23:00</v>
      </c>
      <c r="E278" t="str">
        <f>VLOOKUP(C278,Меню!A:E,4,0)</f>
        <v>Суши</v>
      </c>
      <c r="F278">
        <f>VLOOKUP(C278,Меню!A:E,5,0)</f>
        <v>200</v>
      </c>
    </row>
    <row r="279" spans="1:6" ht="15.75" hidden="1" customHeight="1" x14ac:dyDescent="0.35">
      <c r="A279" s="1">
        <v>278</v>
      </c>
      <c r="B279" s="1">
        <v>50</v>
      </c>
      <c r="C279" s="1">
        <v>52</v>
      </c>
      <c r="D279" t="str">
        <f>VLOOKUP(B279,Заказы!A:C,3,0)</f>
        <v>2023-03-24 18:23:00</v>
      </c>
      <c r="E279" t="str">
        <f>VLOOKUP(C279,Меню!A:E,4,0)</f>
        <v>Суши</v>
      </c>
      <c r="F279">
        <f>VLOOKUP(C279,Меню!A:E,5,0)</f>
        <v>100</v>
      </c>
    </row>
    <row r="280" spans="1:6" ht="15.75" hidden="1" customHeight="1" x14ac:dyDescent="0.35">
      <c r="A280" s="1">
        <v>279</v>
      </c>
      <c r="B280" s="1">
        <v>51</v>
      </c>
      <c r="C280" s="1">
        <v>37</v>
      </c>
      <c r="D280" t="str">
        <f>VLOOKUP(B280,Заказы!A:C,3,0)</f>
        <v>2023-03-24 18:28:00</v>
      </c>
      <c r="E280" t="str">
        <f>VLOOKUP(C280,Меню!A:E,4,0)</f>
        <v>Десерт</v>
      </c>
      <c r="F280">
        <f>VLOOKUP(C280,Меню!A:E,5,0)</f>
        <v>100</v>
      </c>
    </row>
    <row r="281" spans="1:6" ht="15.75" hidden="1" customHeight="1" x14ac:dyDescent="0.35">
      <c r="A281" s="1">
        <v>280</v>
      </c>
      <c r="B281" s="1">
        <v>51</v>
      </c>
      <c r="C281" s="1">
        <v>58</v>
      </c>
      <c r="D281" t="str">
        <f>VLOOKUP(B281,Заказы!A:C,3,0)</f>
        <v>2023-03-24 18:28:00</v>
      </c>
      <c r="E281" t="str">
        <f>VLOOKUP(C281,Меню!A:E,4,0)</f>
        <v>Суши</v>
      </c>
      <c r="F281">
        <f>VLOOKUP(C281,Меню!A:E,5,0)</f>
        <v>200</v>
      </c>
    </row>
    <row r="282" spans="1:6" ht="15.75" hidden="1" customHeight="1" x14ac:dyDescent="0.35">
      <c r="A282" s="1">
        <v>281</v>
      </c>
      <c r="B282" s="1">
        <v>51</v>
      </c>
      <c r="C282" s="1">
        <v>34</v>
      </c>
      <c r="D282" t="str">
        <f>VLOOKUP(B282,Заказы!A:C,3,0)</f>
        <v>2023-03-24 18:28:00</v>
      </c>
      <c r="E282" t="str">
        <f>VLOOKUP(C282,Меню!A:E,4,0)</f>
        <v>Десерт</v>
      </c>
      <c r="F282">
        <f>VLOOKUP(C282,Меню!A:E,5,0)</f>
        <v>150</v>
      </c>
    </row>
    <row r="283" spans="1:6" ht="15.75" hidden="1" customHeight="1" x14ac:dyDescent="0.35">
      <c r="A283" s="1">
        <v>282</v>
      </c>
      <c r="B283" s="1">
        <v>51</v>
      </c>
      <c r="C283" s="1">
        <v>38</v>
      </c>
      <c r="D283" t="str">
        <f>VLOOKUP(B283,Заказы!A:C,3,0)</f>
        <v>2023-03-24 18:28:00</v>
      </c>
      <c r="E283" t="str">
        <f>VLOOKUP(C283,Меню!A:E,4,0)</f>
        <v>Десерт</v>
      </c>
      <c r="F283">
        <f>VLOOKUP(C283,Меню!A:E,5,0)</f>
        <v>150</v>
      </c>
    </row>
    <row r="284" spans="1:6" ht="15.75" hidden="1" customHeight="1" x14ac:dyDescent="0.35">
      <c r="A284" s="1">
        <v>283</v>
      </c>
      <c r="B284" s="1">
        <v>51</v>
      </c>
      <c r="C284" s="1">
        <v>54</v>
      </c>
      <c r="D284" t="str">
        <f>VLOOKUP(B284,Заказы!A:C,3,0)</f>
        <v>2023-03-24 18:28:00</v>
      </c>
      <c r="E284" t="str">
        <f>VLOOKUP(C284,Меню!A:E,4,0)</f>
        <v>Суши</v>
      </c>
      <c r="F284">
        <f>VLOOKUP(C284,Меню!A:E,5,0)</f>
        <v>100</v>
      </c>
    </row>
    <row r="285" spans="1:6" ht="15.75" hidden="1" customHeight="1" x14ac:dyDescent="0.35">
      <c r="A285" s="1">
        <v>284</v>
      </c>
      <c r="B285" s="1">
        <v>52</v>
      </c>
      <c r="C285" s="1">
        <v>16</v>
      </c>
      <c r="D285" t="str">
        <f>VLOOKUP(B285,Заказы!A:C,3,0)</f>
        <v>2023-03-24 20:54:00</v>
      </c>
      <c r="E285" t="str">
        <f>VLOOKUP(C285,Меню!A:E,4,0)</f>
        <v>Первое</v>
      </c>
      <c r="F285">
        <f>VLOOKUP(C285,Меню!A:E,5,0)</f>
        <v>250</v>
      </c>
    </row>
    <row r="286" spans="1:6" ht="15.75" hidden="1" customHeight="1" x14ac:dyDescent="0.35">
      <c r="A286" s="1">
        <v>285</v>
      </c>
      <c r="B286" s="1">
        <v>52</v>
      </c>
      <c r="C286" s="1">
        <v>57</v>
      </c>
      <c r="D286" t="str">
        <f>VLOOKUP(B286,Заказы!A:C,3,0)</f>
        <v>2023-03-24 20:54:00</v>
      </c>
      <c r="E286" t="str">
        <f>VLOOKUP(C286,Меню!A:E,4,0)</f>
        <v>Суши</v>
      </c>
      <c r="F286">
        <f>VLOOKUP(C286,Меню!A:E,5,0)</f>
        <v>200</v>
      </c>
    </row>
    <row r="287" spans="1:6" ht="15.75" hidden="1" customHeight="1" x14ac:dyDescent="0.35">
      <c r="A287" s="1">
        <v>286</v>
      </c>
      <c r="B287" s="1">
        <v>52</v>
      </c>
      <c r="C287" s="1">
        <v>5</v>
      </c>
      <c r="D287" t="str">
        <f>VLOOKUP(B287,Заказы!A:C,3,0)</f>
        <v>2023-03-24 20:54:00</v>
      </c>
      <c r="E287" t="str">
        <f>VLOOKUP(C287,Меню!A:E,4,0)</f>
        <v>Завтрак</v>
      </c>
      <c r="F287">
        <f>VLOOKUP(C287,Меню!A:E,5,0)</f>
        <v>220</v>
      </c>
    </row>
    <row r="288" spans="1:6" ht="15.75" hidden="1" customHeight="1" x14ac:dyDescent="0.35">
      <c r="A288" s="1">
        <v>287</v>
      </c>
      <c r="B288" s="1">
        <v>52</v>
      </c>
      <c r="C288" s="1">
        <v>48</v>
      </c>
      <c r="D288" t="str">
        <f>VLOOKUP(B288,Заказы!A:C,3,0)</f>
        <v>2023-03-24 20:54:00</v>
      </c>
      <c r="E288" t="str">
        <f>VLOOKUP(C288,Меню!A:E,4,0)</f>
        <v>Суши</v>
      </c>
      <c r="F288">
        <f>VLOOKUP(C288,Меню!A:E,5,0)</f>
        <v>200</v>
      </c>
    </row>
    <row r="289" spans="1:6" ht="15.75" hidden="1" customHeight="1" x14ac:dyDescent="0.35">
      <c r="A289" s="1">
        <v>288</v>
      </c>
      <c r="B289" s="1">
        <v>52</v>
      </c>
      <c r="C289" s="1">
        <v>60</v>
      </c>
      <c r="D289" t="str">
        <f>VLOOKUP(B289,Заказы!A:C,3,0)</f>
        <v>2023-03-24 20:54:00</v>
      </c>
      <c r="E289" t="str">
        <f>VLOOKUP(C289,Меню!A:E,4,0)</f>
        <v>Суши</v>
      </c>
      <c r="F289">
        <f>VLOOKUP(C289,Меню!A:E,5,0)</f>
        <v>250</v>
      </c>
    </row>
    <row r="290" spans="1:6" ht="15.75" hidden="1" customHeight="1" x14ac:dyDescent="0.35">
      <c r="A290" s="1">
        <v>289</v>
      </c>
      <c r="B290" s="1">
        <v>52</v>
      </c>
      <c r="C290" s="1">
        <v>17</v>
      </c>
      <c r="D290" t="str">
        <f>VLOOKUP(B290,Заказы!A:C,3,0)</f>
        <v>2023-03-24 20:54:00</v>
      </c>
      <c r="E290" t="str">
        <f>VLOOKUP(C290,Меню!A:E,4,0)</f>
        <v>Первое</v>
      </c>
      <c r="F290">
        <f>VLOOKUP(C290,Меню!A:E,5,0)</f>
        <v>250</v>
      </c>
    </row>
    <row r="291" spans="1:6" ht="15.75" hidden="1" customHeight="1" x14ac:dyDescent="0.35">
      <c r="A291" s="1">
        <v>290</v>
      </c>
      <c r="B291" s="1">
        <v>53</v>
      </c>
      <c r="C291" s="1">
        <v>4</v>
      </c>
      <c r="D291" t="str">
        <f>VLOOKUP(B291,Заказы!A:C,3,0)</f>
        <v>2023-03-24 20:55:00</v>
      </c>
      <c r="E291" t="str">
        <f>VLOOKUP(C291,Меню!A:E,4,0)</f>
        <v>Завтрак</v>
      </c>
      <c r="F291">
        <f>VLOOKUP(C291,Меню!A:E,5,0)</f>
        <v>180</v>
      </c>
    </row>
    <row r="292" spans="1:6" ht="15.75" hidden="1" customHeight="1" x14ac:dyDescent="0.35">
      <c r="A292" s="1">
        <v>291</v>
      </c>
      <c r="B292" s="1">
        <v>53</v>
      </c>
      <c r="C292" s="1">
        <v>33</v>
      </c>
      <c r="D292" t="str">
        <f>VLOOKUP(B292,Заказы!A:C,3,0)</f>
        <v>2023-03-24 20:55:00</v>
      </c>
      <c r="E292" t="str">
        <f>VLOOKUP(C292,Меню!A:E,4,0)</f>
        <v>Десерт</v>
      </c>
      <c r="F292">
        <f>VLOOKUP(C292,Меню!A:E,5,0)</f>
        <v>150</v>
      </c>
    </row>
    <row r="293" spans="1:6" ht="15.75" hidden="1" customHeight="1" x14ac:dyDescent="0.35">
      <c r="A293" s="1">
        <v>292</v>
      </c>
      <c r="B293" s="1">
        <v>53</v>
      </c>
      <c r="C293" s="1">
        <v>40</v>
      </c>
      <c r="D293" t="str">
        <f>VLOOKUP(B293,Заказы!A:C,3,0)</f>
        <v>2023-03-24 20:55:00</v>
      </c>
      <c r="E293" t="str">
        <f>VLOOKUP(C293,Меню!A:E,4,0)</f>
        <v>Десерт</v>
      </c>
      <c r="F293">
        <f>VLOOKUP(C293,Меню!A:E,5,0)</f>
        <v>150</v>
      </c>
    </row>
    <row r="294" spans="1:6" ht="15.75" hidden="1" customHeight="1" x14ac:dyDescent="0.35">
      <c r="A294" s="1">
        <v>293</v>
      </c>
      <c r="B294" s="1">
        <v>53</v>
      </c>
      <c r="C294" s="1">
        <v>53</v>
      </c>
      <c r="D294" t="str">
        <f>VLOOKUP(B294,Заказы!A:C,3,0)</f>
        <v>2023-03-24 20:55:00</v>
      </c>
      <c r="E294" t="str">
        <f>VLOOKUP(C294,Меню!A:E,4,0)</f>
        <v>Суши</v>
      </c>
      <c r="F294">
        <f>VLOOKUP(C294,Меню!A:E,5,0)</f>
        <v>100</v>
      </c>
    </row>
    <row r="295" spans="1:6" ht="15.75" hidden="1" customHeight="1" x14ac:dyDescent="0.35">
      <c r="A295" s="1">
        <v>294</v>
      </c>
      <c r="B295" s="1">
        <v>53</v>
      </c>
      <c r="C295" s="1">
        <v>53</v>
      </c>
      <c r="D295" t="str">
        <f>VLOOKUP(B295,Заказы!A:C,3,0)</f>
        <v>2023-03-24 20:55:00</v>
      </c>
      <c r="E295" t="str">
        <f>VLOOKUP(C295,Меню!A:E,4,0)</f>
        <v>Суши</v>
      </c>
      <c r="F295">
        <f>VLOOKUP(C295,Меню!A:E,5,0)</f>
        <v>100</v>
      </c>
    </row>
    <row r="296" spans="1:6" ht="15.75" hidden="1" customHeight="1" x14ac:dyDescent="0.35">
      <c r="A296" s="1">
        <v>295</v>
      </c>
      <c r="B296" s="1">
        <v>53</v>
      </c>
      <c r="C296" s="1">
        <v>59</v>
      </c>
      <c r="D296" t="str">
        <f>VLOOKUP(B296,Заказы!A:C,3,0)</f>
        <v>2023-03-24 20:55:00</v>
      </c>
      <c r="E296" t="str">
        <f>VLOOKUP(C296,Меню!A:E,4,0)</f>
        <v>Суши</v>
      </c>
      <c r="F296">
        <f>VLOOKUP(C296,Меню!A:E,5,0)</f>
        <v>300</v>
      </c>
    </row>
    <row r="297" spans="1:6" ht="15.75" hidden="1" customHeight="1" x14ac:dyDescent="0.35">
      <c r="A297" s="1">
        <v>296</v>
      </c>
      <c r="B297" s="1">
        <v>53</v>
      </c>
      <c r="C297" s="1">
        <v>17</v>
      </c>
      <c r="D297" t="str">
        <f>VLOOKUP(B297,Заказы!A:C,3,0)</f>
        <v>2023-03-24 20:55:00</v>
      </c>
      <c r="E297" t="str">
        <f>VLOOKUP(C297,Меню!A:E,4,0)</f>
        <v>Первое</v>
      </c>
      <c r="F297">
        <f>VLOOKUP(C297,Меню!A:E,5,0)</f>
        <v>250</v>
      </c>
    </row>
    <row r="298" spans="1:6" ht="15.75" hidden="1" customHeight="1" x14ac:dyDescent="0.35">
      <c r="A298" s="1">
        <v>297</v>
      </c>
      <c r="B298" s="1">
        <v>54</v>
      </c>
      <c r="C298" s="1">
        <v>33</v>
      </c>
      <c r="D298" t="str">
        <f>VLOOKUP(B298,Заказы!A:C,3,0)</f>
        <v>2023-03-25 18:09:00</v>
      </c>
      <c r="E298" t="str">
        <f>VLOOKUP(C298,Меню!A:E,4,0)</f>
        <v>Десерт</v>
      </c>
      <c r="F298">
        <f>VLOOKUP(C298,Меню!A:E,5,0)</f>
        <v>150</v>
      </c>
    </row>
    <row r="299" spans="1:6" ht="15.75" hidden="1" customHeight="1" x14ac:dyDescent="0.35">
      <c r="A299" s="1">
        <v>298</v>
      </c>
      <c r="B299" s="1">
        <v>54</v>
      </c>
      <c r="C299" s="1">
        <v>3</v>
      </c>
      <c r="D299" t="str">
        <f>VLOOKUP(B299,Заказы!A:C,3,0)</f>
        <v>2023-03-25 18:09:00</v>
      </c>
      <c r="E299" t="str">
        <f>VLOOKUP(C299,Меню!A:E,4,0)</f>
        <v>Завтрак</v>
      </c>
      <c r="F299">
        <f>VLOOKUP(C299,Меню!A:E,5,0)</f>
        <v>150</v>
      </c>
    </row>
    <row r="300" spans="1:6" ht="15.75" hidden="1" customHeight="1" x14ac:dyDescent="0.35">
      <c r="A300" s="1">
        <v>299</v>
      </c>
      <c r="B300" s="1">
        <v>54</v>
      </c>
      <c r="C300" s="1">
        <v>19</v>
      </c>
      <c r="D300" t="str">
        <f>VLOOKUP(B300,Заказы!A:C,3,0)</f>
        <v>2023-03-25 18:09:00</v>
      </c>
      <c r="E300" t="str">
        <f>VLOOKUP(C300,Меню!A:E,4,0)</f>
        <v>Первое</v>
      </c>
      <c r="F300">
        <f>VLOOKUP(C300,Меню!A:E,5,0)</f>
        <v>300</v>
      </c>
    </row>
    <row r="301" spans="1:6" ht="15.75" hidden="1" customHeight="1" x14ac:dyDescent="0.35">
      <c r="A301" s="1">
        <v>300</v>
      </c>
      <c r="B301" s="1">
        <v>54</v>
      </c>
      <c r="C301" s="1">
        <v>59</v>
      </c>
      <c r="D301" t="str">
        <f>VLOOKUP(B301,Заказы!A:C,3,0)</f>
        <v>2023-03-25 18:09:00</v>
      </c>
      <c r="E301" t="str">
        <f>VLOOKUP(C301,Меню!A:E,4,0)</f>
        <v>Суши</v>
      </c>
      <c r="F301">
        <f>VLOOKUP(C301,Меню!A:E,5,0)</f>
        <v>300</v>
      </c>
    </row>
    <row r="302" spans="1:6" ht="15.75" hidden="1" customHeight="1" x14ac:dyDescent="0.35">
      <c r="A302" s="1">
        <v>301</v>
      </c>
      <c r="B302" s="1">
        <v>54</v>
      </c>
      <c r="C302" s="1">
        <v>32</v>
      </c>
      <c r="D302" t="str">
        <f>VLOOKUP(B302,Заказы!A:C,3,0)</f>
        <v>2023-03-25 18:09:00</v>
      </c>
      <c r="E302" t="str">
        <f>VLOOKUP(C302,Меню!A:E,4,0)</f>
        <v>Десерт</v>
      </c>
      <c r="F302">
        <f>VLOOKUP(C302,Меню!A:E,5,0)</f>
        <v>150</v>
      </c>
    </row>
    <row r="303" spans="1:6" ht="15.75" hidden="1" customHeight="1" x14ac:dyDescent="0.35">
      <c r="A303" s="1">
        <v>302</v>
      </c>
      <c r="B303" s="1">
        <v>54</v>
      </c>
      <c r="C303" s="1">
        <v>9</v>
      </c>
      <c r="D303" t="str">
        <f>VLOOKUP(B303,Заказы!A:C,3,0)</f>
        <v>2023-03-25 18:09:00</v>
      </c>
      <c r="E303" t="str">
        <f>VLOOKUP(C303,Меню!A:E,4,0)</f>
        <v>Завтрак</v>
      </c>
      <c r="F303">
        <f>VLOOKUP(C303,Меню!A:E,5,0)</f>
        <v>220</v>
      </c>
    </row>
    <row r="304" spans="1:6" ht="15.75" hidden="1" customHeight="1" x14ac:dyDescent="0.35">
      <c r="A304" s="1">
        <v>303</v>
      </c>
      <c r="B304" s="1">
        <v>55</v>
      </c>
      <c r="C304" s="1">
        <v>31</v>
      </c>
      <c r="D304" t="str">
        <f>VLOOKUP(B304,Заказы!A:C,3,0)</f>
        <v>2023-03-25 18:44:00</v>
      </c>
      <c r="E304" t="str">
        <f>VLOOKUP(C304,Меню!A:E,4,0)</f>
        <v>Десерт</v>
      </c>
      <c r="F304">
        <f>VLOOKUP(C304,Меню!A:E,5,0)</f>
        <v>150</v>
      </c>
    </row>
    <row r="305" spans="1:6" ht="15.75" hidden="1" customHeight="1" x14ac:dyDescent="0.35">
      <c r="A305" s="1">
        <v>304</v>
      </c>
      <c r="B305" s="1">
        <v>55</v>
      </c>
      <c r="C305" s="1">
        <v>33</v>
      </c>
      <c r="D305" t="str">
        <f>VLOOKUP(B305,Заказы!A:C,3,0)</f>
        <v>2023-03-25 18:44:00</v>
      </c>
      <c r="E305" t="str">
        <f>VLOOKUP(C305,Меню!A:E,4,0)</f>
        <v>Десерт</v>
      </c>
      <c r="F305">
        <f>VLOOKUP(C305,Меню!A:E,5,0)</f>
        <v>150</v>
      </c>
    </row>
    <row r="306" spans="1:6" ht="15.75" hidden="1" customHeight="1" x14ac:dyDescent="0.35">
      <c r="A306" s="1">
        <v>305</v>
      </c>
      <c r="B306" s="1">
        <v>55</v>
      </c>
      <c r="C306" s="1">
        <v>7</v>
      </c>
      <c r="D306" t="str">
        <f>VLOOKUP(B306,Заказы!A:C,3,0)</f>
        <v>2023-03-25 18:44:00</v>
      </c>
      <c r="E306" t="str">
        <f>VLOOKUP(C306,Меню!A:E,4,0)</f>
        <v>Завтрак</v>
      </c>
      <c r="F306">
        <f>VLOOKUP(C306,Меню!A:E,5,0)</f>
        <v>200</v>
      </c>
    </row>
    <row r="307" spans="1:6" ht="15.75" hidden="1" customHeight="1" x14ac:dyDescent="0.35">
      <c r="A307" s="1">
        <v>306</v>
      </c>
      <c r="B307" s="1">
        <v>55</v>
      </c>
      <c r="C307" s="1">
        <v>18</v>
      </c>
      <c r="D307" t="str">
        <f>VLOOKUP(B307,Заказы!A:C,3,0)</f>
        <v>2023-03-25 18:44:00</v>
      </c>
      <c r="E307" t="str">
        <f>VLOOKUP(C307,Меню!A:E,4,0)</f>
        <v>Первое</v>
      </c>
      <c r="F307">
        <f>VLOOKUP(C307,Меню!A:E,5,0)</f>
        <v>300</v>
      </c>
    </row>
    <row r="308" spans="1:6" ht="15.75" hidden="1" customHeight="1" x14ac:dyDescent="0.35">
      <c r="A308" s="1">
        <v>307</v>
      </c>
      <c r="B308" s="1">
        <v>55</v>
      </c>
      <c r="C308" s="1">
        <v>32</v>
      </c>
      <c r="D308" t="str">
        <f>VLOOKUP(B308,Заказы!A:C,3,0)</f>
        <v>2023-03-25 18:44:00</v>
      </c>
      <c r="E308" t="str">
        <f>VLOOKUP(C308,Меню!A:E,4,0)</f>
        <v>Десерт</v>
      </c>
      <c r="F308">
        <f>VLOOKUP(C308,Меню!A:E,5,0)</f>
        <v>150</v>
      </c>
    </row>
    <row r="309" spans="1:6" ht="15.75" hidden="1" customHeight="1" x14ac:dyDescent="0.35">
      <c r="A309" s="1">
        <v>308</v>
      </c>
      <c r="B309" s="1">
        <v>55</v>
      </c>
      <c r="C309" s="1">
        <v>25</v>
      </c>
      <c r="D309" t="str">
        <f>VLOOKUP(B309,Заказы!A:C,3,0)</f>
        <v>2023-03-25 18:44:00</v>
      </c>
      <c r="E309" t="str">
        <f>VLOOKUP(C309,Меню!A:E,4,0)</f>
        <v>Салат</v>
      </c>
      <c r="F309">
        <f>VLOOKUP(C309,Меню!A:E,5,0)</f>
        <v>250</v>
      </c>
    </row>
    <row r="310" spans="1:6" ht="15.75" hidden="1" customHeight="1" x14ac:dyDescent="0.35">
      <c r="A310" s="1">
        <v>309</v>
      </c>
      <c r="B310" s="1">
        <v>55</v>
      </c>
      <c r="C310" s="1">
        <v>19</v>
      </c>
      <c r="D310" t="str">
        <f>VLOOKUP(B310,Заказы!A:C,3,0)</f>
        <v>2023-03-25 18:44:00</v>
      </c>
      <c r="E310" t="str">
        <f>VLOOKUP(C310,Меню!A:E,4,0)</f>
        <v>Первое</v>
      </c>
      <c r="F310">
        <f>VLOOKUP(C310,Меню!A:E,5,0)</f>
        <v>300</v>
      </c>
    </row>
    <row r="311" spans="1:6" ht="15.75" hidden="1" customHeight="1" x14ac:dyDescent="0.35">
      <c r="A311" s="1">
        <v>310</v>
      </c>
      <c r="B311" s="1">
        <v>55</v>
      </c>
      <c r="C311" s="1">
        <v>33</v>
      </c>
      <c r="D311" t="str">
        <f>VLOOKUP(B311,Заказы!A:C,3,0)</f>
        <v>2023-03-25 18:44:00</v>
      </c>
      <c r="E311" t="str">
        <f>VLOOKUP(C311,Меню!A:E,4,0)</f>
        <v>Десерт</v>
      </c>
      <c r="F311">
        <f>VLOOKUP(C311,Меню!A:E,5,0)</f>
        <v>150</v>
      </c>
    </row>
    <row r="312" spans="1:6" ht="15.75" hidden="1" customHeight="1" x14ac:dyDescent="0.35">
      <c r="A312" s="1">
        <v>311</v>
      </c>
      <c r="B312" s="1">
        <v>56</v>
      </c>
      <c r="C312" s="1">
        <v>22</v>
      </c>
      <c r="D312" t="str">
        <f>VLOOKUP(B312,Заказы!A:C,3,0)</f>
        <v>2023-03-25 18:49:00</v>
      </c>
      <c r="E312" t="str">
        <f>VLOOKUP(C312,Меню!A:E,4,0)</f>
        <v>Салат</v>
      </c>
      <c r="F312">
        <f>VLOOKUP(C312,Меню!A:E,5,0)</f>
        <v>250</v>
      </c>
    </row>
    <row r="313" spans="1:6" ht="15.75" hidden="1" customHeight="1" x14ac:dyDescent="0.35">
      <c r="A313" s="1">
        <v>312</v>
      </c>
      <c r="B313" s="1">
        <v>56</v>
      </c>
      <c r="C313" s="1">
        <v>35</v>
      </c>
      <c r="D313" t="str">
        <f>VLOOKUP(B313,Заказы!A:C,3,0)</f>
        <v>2023-03-25 18:49:00</v>
      </c>
      <c r="E313" t="str">
        <f>VLOOKUP(C313,Меню!A:E,4,0)</f>
        <v>Десерт</v>
      </c>
      <c r="F313">
        <f>VLOOKUP(C313,Меню!A:E,5,0)</f>
        <v>150</v>
      </c>
    </row>
    <row r="314" spans="1:6" ht="15.75" hidden="1" customHeight="1" x14ac:dyDescent="0.35">
      <c r="A314" s="1">
        <v>313</v>
      </c>
      <c r="B314" s="1">
        <v>56</v>
      </c>
      <c r="C314" s="1">
        <v>15</v>
      </c>
      <c r="D314" t="str">
        <f>VLOOKUP(B314,Заказы!A:C,3,0)</f>
        <v>2023-03-25 18:49:00</v>
      </c>
      <c r="E314" t="str">
        <f>VLOOKUP(C314,Меню!A:E,4,0)</f>
        <v>Первое</v>
      </c>
      <c r="F314">
        <f>VLOOKUP(C314,Меню!A:E,5,0)</f>
        <v>250</v>
      </c>
    </row>
    <row r="315" spans="1:6" ht="15.75" hidden="1" customHeight="1" x14ac:dyDescent="0.35">
      <c r="A315" s="1">
        <v>314</v>
      </c>
      <c r="B315" s="1">
        <v>56</v>
      </c>
      <c r="C315" s="1">
        <v>14</v>
      </c>
      <c r="D315" t="str">
        <f>VLOOKUP(B315,Заказы!A:C,3,0)</f>
        <v>2023-03-25 18:49:00</v>
      </c>
      <c r="E315" t="str">
        <f>VLOOKUP(C315,Меню!A:E,4,0)</f>
        <v>Первое</v>
      </c>
      <c r="F315">
        <f>VLOOKUP(C315,Меню!A:E,5,0)</f>
        <v>350</v>
      </c>
    </row>
    <row r="316" spans="1:6" ht="15.75" hidden="1" customHeight="1" x14ac:dyDescent="0.35">
      <c r="A316" s="1">
        <v>315</v>
      </c>
      <c r="B316" s="1">
        <v>56</v>
      </c>
      <c r="C316" s="1">
        <v>35</v>
      </c>
      <c r="D316" t="str">
        <f>VLOOKUP(B316,Заказы!A:C,3,0)</f>
        <v>2023-03-25 18:49:00</v>
      </c>
      <c r="E316" t="str">
        <f>VLOOKUP(C316,Меню!A:E,4,0)</f>
        <v>Десерт</v>
      </c>
      <c r="F316">
        <f>VLOOKUP(C316,Меню!A:E,5,0)</f>
        <v>150</v>
      </c>
    </row>
    <row r="317" spans="1:6" ht="15.75" hidden="1" customHeight="1" x14ac:dyDescent="0.35">
      <c r="A317" s="1">
        <v>316</v>
      </c>
      <c r="B317" s="1">
        <v>56</v>
      </c>
      <c r="C317" s="1">
        <v>32</v>
      </c>
      <c r="D317" t="str">
        <f>VLOOKUP(B317,Заказы!A:C,3,0)</f>
        <v>2023-03-25 18:49:00</v>
      </c>
      <c r="E317" t="str">
        <f>VLOOKUP(C317,Меню!A:E,4,0)</f>
        <v>Десерт</v>
      </c>
      <c r="F317">
        <f>VLOOKUP(C317,Меню!A:E,5,0)</f>
        <v>150</v>
      </c>
    </row>
    <row r="318" spans="1:6" ht="15.75" hidden="1" customHeight="1" x14ac:dyDescent="0.35">
      <c r="A318" s="1">
        <v>317</v>
      </c>
      <c r="B318" s="1">
        <v>56</v>
      </c>
      <c r="C318" s="1">
        <v>16</v>
      </c>
      <c r="D318" t="str">
        <f>VLOOKUP(B318,Заказы!A:C,3,0)</f>
        <v>2023-03-25 18:49:00</v>
      </c>
      <c r="E318" t="str">
        <f>VLOOKUP(C318,Меню!A:E,4,0)</f>
        <v>Первое</v>
      </c>
      <c r="F318">
        <f>VLOOKUP(C318,Меню!A:E,5,0)</f>
        <v>250</v>
      </c>
    </row>
    <row r="319" spans="1:6" ht="15.75" hidden="1" customHeight="1" x14ac:dyDescent="0.35">
      <c r="A319" s="1">
        <v>318</v>
      </c>
      <c r="B319" s="1">
        <v>56</v>
      </c>
      <c r="C319" s="1">
        <v>26</v>
      </c>
      <c r="D319" t="str">
        <f>VLOOKUP(B319,Заказы!A:C,3,0)</f>
        <v>2023-03-25 18:49:00</v>
      </c>
      <c r="E319" t="str">
        <f>VLOOKUP(C319,Меню!A:E,4,0)</f>
        <v>Салат</v>
      </c>
      <c r="F319">
        <f>VLOOKUP(C319,Меню!A:E,5,0)</f>
        <v>250</v>
      </c>
    </row>
    <row r="320" spans="1:6" ht="15.75" hidden="1" customHeight="1" x14ac:dyDescent="0.35">
      <c r="A320" s="1">
        <v>319</v>
      </c>
      <c r="B320" s="1">
        <v>57</v>
      </c>
      <c r="C320" s="1">
        <v>51</v>
      </c>
      <c r="D320" t="str">
        <f>VLOOKUP(B320,Заказы!A:C,3,0)</f>
        <v>2023-03-25 19:38:00</v>
      </c>
      <c r="E320" t="str">
        <f>VLOOKUP(C320,Меню!A:E,4,0)</f>
        <v>Суши</v>
      </c>
      <c r="F320">
        <f>VLOOKUP(C320,Меню!A:E,5,0)</f>
        <v>100</v>
      </c>
    </row>
    <row r="321" spans="1:6" ht="15.75" hidden="1" customHeight="1" x14ac:dyDescent="0.35">
      <c r="A321" s="1">
        <v>320</v>
      </c>
      <c r="B321" s="1">
        <v>57</v>
      </c>
      <c r="C321" s="1">
        <v>36</v>
      </c>
      <c r="D321" t="str">
        <f>VLOOKUP(B321,Заказы!A:C,3,0)</f>
        <v>2023-03-25 19:38:00</v>
      </c>
      <c r="E321" t="str">
        <f>VLOOKUP(C321,Меню!A:E,4,0)</f>
        <v>Десерт</v>
      </c>
      <c r="F321">
        <f>VLOOKUP(C321,Меню!A:E,5,0)</f>
        <v>150</v>
      </c>
    </row>
    <row r="322" spans="1:6" ht="15.75" hidden="1" customHeight="1" x14ac:dyDescent="0.35">
      <c r="A322" s="1">
        <v>321</v>
      </c>
      <c r="B322" s="1">
        <v>57</v>
      </c>
      <c r="C322" s="1">
        <v>33</v>
      </c>
      <c r="D322" t="str">
        <f>VLOOKUP(B322,Заказы!A:C,3,0)</f>
        <v>2023-03-25 19:38:00</v>
      </c>
      <c r="E322" t="str">
        <f>VLOOKUP(C322,Меню!A:E,4,0)</f>
        <v>Десерт</v>
      </c>
      <c r="F322">
        <f>VLOOKUP(C322,Меню!A:E,5,0)</f>
        <v>150</v>
      </c>
    </row>
    <row r="323" spans="1:6" ht="15.75" hidden="1" customHeight="1" x14ac:dyDescent="0.35">
      <c r="A323" s="1">
        <v>322</v>
      </c>
      <c r="B323" s="1">
        <v>58</v>
      </c>
      <c r="C323" s="1">
        <v>44</v>
      </c>
      <c r="D323" t="str">
        <f>VLOOKUP(B323,Заказы!A:C,3,0)</f>
        <v>2023-03-25 20:51:00</v>
      </c>
      <c r="E323" t="str">
        <f>VLOOKUP(C323,Меню!A:E,4,0)</f>
        <v>Суши</v>
      </c>
      <c r="F323">
        <f>VLOOKUP(C323,Меню!A:E,5,0)</f>
        <v>250</v>
      </c>
    </row>
    <row r="324" spans="1:6" ht="15.75" hidden="1" customHeight="1" x14ac:dyDescent="0.35">
      <c r="A324" s="1">
        <v>323</v>
      </c>
      <c r="B324" s="1">
        <v>58</v>
      </c>
      <c r="C324" s="1">
        <v>10</v>
      </c>
      <c r="D324" t="str">
        <f>VLOOKUP(B324,Заказы!A:C,3,0)</f>
        <v>2023-03-25 20:51:00</v>
      </c>
      <c r="E324" t="str">
        <f>VLOOKUP(C324,Меню!A:E,4,0)</f>
        <v>Завтрак</v>
      </c>
      <c r="F324">
        <f>VLOOKUP(C324,Меню!A:E,5,0)</f>
        <v>200</v>
      </c>
    </row>
    <row r="325" spans="1:6" ht="15.75" hidden="1" customHeight="1" x14ac:dyDescent="0.35">
      <c r="A325" s="1">
        <v>324</v>
      </c>
      <c r="B325" s="1">
        <v>59</v>
      </c>
      <c r="C325" s="1">
        <v>47</v>
      </c>
      <c r="D325" t="str">
        <f>VLOOKUP(B325,Заказы!A:C,3,0)</f>
        <v>2023-03-25 21:35:00</v>
      </c>
      <c r="E325" t="str">
        <f>VLOOKUP(C325,Меню!A:E,4,0)</f>
        <v>Суши</v>
      </c>
      <c r="F325">
        <f>VLOOKUP(C325,Меню!A:E,5,0)</f>
        <v>200</v>
      </c>
    </row>
    <row r="326" spans="1:6" ht="15.75" hidden="1" customHeight="1" x14ac:dyDescent="0.35">
      <c r="A326" s="1">
        <v>325</v>
      </c>
      <c r="B326" s="1">
        <v>59</v>
      </c>
      <c r="C326" s="1">
        <v>28</v>
      </c>
      <c r="D326" t="str">
        <f>VLOOKUP(B326,Заказы!A:C,3,0)</f>
        <v>2023-03-25 21:35:00</v>
      </c>
      <c r="E326" t="str">
        <f>VLOOKUP(C326,Меню!A:E,4,0)</f>
        <v>Салат</v>
      </c>
      <c r="F326">
        <f>VLOOKUP(C326,Меню!A:E,5,0)</f>
        <v>250</v>
      </c>
    </row>
    <row r="327" spans="1:6" ht="15.75" hidden="1" customHeight="1" x14ac:dyDescent="0.35">
      <c r="A327" s="1">
        <v>326</v>
      </c>
      <c r="B327" s="1">
        <v>59</v>
      </c>
      <c r="C327" s="1">
        <v>54</v>
      </c>
      <c r="D327" t="str">
        <f>VLOOKUP(B327,Заказы!A:C,3,0)</f>
        <v>2023-03-25 21:35:00</v>
      </c>
      <c r="E327" t="str">
        <f>VLOOKUP(C327,Меню!A:E,4,0)</f>
        <v>Суши</v>
      </c>
      <c r="F327">
        <f>VLOOKUP(C327,Меню!A:E,5,0)</f>
        <v>100</v>
      </c>
    </row>
    <row r="328" spans="1:6" ht="15.75" hidden="1" customHeight="1" x14ac:dyDescent="0.35">
      <c r="A328" s="1">
        <v>327</v>
      </c>
      <c r="B328" s="1">
        <v>59</v>
      </c>
      <c r="C328" s="1">
        <v>23</v>
      </c>
      <c r="D328" t="str">
        <f>VLOOKUP(B328,Заказы!A:C,3,0)</f>
        <v>2023-03-25 21:35:00</v>
      </c>
      <c r="E328" t="str">
        <f>VLOOKUP(C328,Меню!A:E,4,0)</f>
        <v>Салат</v>
      </c>
      <c r="F328">
        <f>VLOOKUP(C328,Меню!A:E,5,0)</f>
        <v>250</v>
      </c>
    </row>
    <row r="329" spans="1:6" ht="15.75" hidden="1" customHeight="1" x14ac:dyDescent="0.35">
      <c r="A329" s="1">
        <v>328</v>
      </c>
      <c r="B329" s="1">
        <v>60</v>
      </c>
      <c r="C329" s="1">
        <v>46</v>
      </c>
      <c r="D329" t="str">
        <f>VLOOKUP(B329,Заказы!A:C,3,0)</f>
        <v>2023-03-25 21:37:00</v>
      </c>
      <c r="E329" t="str">
        <f>VLOOKUP(C329,Меню!A:E,4,0)</f>
        <v>Суши</v>
      </c>
      <c r="F329">
        <f>VLOOKUP(C329,Меню!A:E,5,0)</f>
        <v>200</v>
      </c>
    </row>
    <row r="330" spans="1:6" ht="15.75" hidden="1" customHeight="1" x14ac:dyDescent="0.35">
      <c r="A330" s="1">
        <v>329</v>
      </c>
      <c r="B330" s="1">
        <v>60</v>
      </c>
      <c r="C330" s="1">
        <v>18</v>
      </c>
      <c r="D330" t="str">
        <f>VLOOKUP(B330,Заказы!A:C,3,0)</f>
        <v>2023-03-25 21:37:00</v>
      </c>
      <c r="E330" t="str">
        <f>VLOOKUP(C330,Меню!A:E,4,0)</f>
        <v>Первое</v>
      </c>
      <c r="F330">
        <f>VLOOKUP(C330,Меню!A:E,5,0)</f>
        <v>300</v>
      </c>
    </row>
    <row r="331" spans="1:6" ht="15.75" hidden="1" customHeight="1" x14ac:dyDescent="0.35">
      <c r="A331" s="1">
        <v>330</v>
      </c>
      <c r="B331" s="1">
        <v>60</v>
      </c>
      <c r="C331" s="1">
        <v>38</v>
      </c>
      <c r="D331" t="str">
        <f>VLOOKUP(B331,Заказы!A:C,3,0)</f>
        <v>2023-03-25 21:37:00</v>
      </c>
      <c r="E331" t="str">
        <f>VLOOKUP(C331,Меню!A:E,4,0)</f>
        <v>Десерт</v>
      </c>
      <c r="F331">
        <f>VLOOKUP(C331,Меню!A:E,5,0)</f>
        <v>150</v>
      </c>
    </row>
    <row r="332" spans="1:6" ht="15.75" hidden="1" customHeight="1" x14ac:dyDescent="0.35">
      <c r="A332" s="1">
        <v>331</v>
      </c>
      <c r="B332" s="1">
        <v>60</v>
      </c>
      <c r="C332" s="1">
        <v>43</v>
      </c>
      <c r="D332" t="str">
        <f>VLOOKUP(B332,Заказы!A:C,3,0)</f>
        <v>2023-03-25 21:37:00</v>
      </c>
      <c r="E332" t="str">
        <f>VLOOKUP(C332,Меню!A:E,4,0)</f>
        <v>Суши</v>
      </c>
      <c r="F332">
        <f>VLOOKUP(C332,Меню!A:E,5,0)</f>
        <v>250</v>
      </c>
    </row>
    <row r="333" spans="1:6" ht="15.75" hidden="1" customHeight="1" x14ac:dyDescent="0.35">
      <c r="A333" s="1">
        <v>332</v>
      </c>
      <c r="B333" s="1">
        <v>60</v>
      </c>
      <c r="C333" s="1">
        <v>49</v>
      </c>
      <c r="D333" t="str">
        <f>VLOOKUP(B333,Заказы!A:C,3,0)</f>
        <v>2023-03-25 21:37:00</v>
      </c>
      <c r="E333" t="str">
        <f>VLOOKUP(C333,Меню!A:E,4,0)</f>
        <v>Суши</v>
      </c>
      <c r="F333">
        <f>VLOOKUP(C333,Меню!A:E,5,0)</f>
        <v>200</v>
      </c>
    </row>
    <row r="334" spans="1:6" ht="15.75" hidden="1" customHeight="1" x14ac:dyDescent="0.35">
      <c r="A334" s="1">
        <v>333</v>
      </c>
      <c r="B334" s="1">
        <v>60</v>
      </c>
      <c r="C334" s="1">
        <v>28</v>
      </c>
      <c r="D334" t="str">
        <f>VLOOKUP(B334,Заказы!A:C,3,0)</f>
        <v>2023-03-25 21:37:00</v>
      </c>
      <c r="E334" t="str">
        <f>VLOOKUP(C334,Меню!A:E,4,0)</f>
        <v>Салат</v>
      </c>
      <c r="F334">
        <f>VLOOKUP(C334,Меню!A:E,5,0)</f>
        <v>250</v>
      </c>
    </row>
    <row r="335" spans="1:6" ht="15.75" hidden="1" customHeight="1" x14ac:dyDescent="0.35">
      <c r="A335" s="1">
        <v>334</v>
      </c>
      <c r="B335" s="1">
        <v>60</v>
      </c>
      <c r="C335" s="1">
        <v>42</v>
      </c>
      <c r="D335" t="str">
        <f>VLOOKUP(B335,Заказы!A:C,3,0)</f>
        <v>2023-03-25 21:37:00</v>
      </c>
      <c r="E335" t="str">
        <f>VLOOKUP(C335,Меню!A:E,4,0)</f>
        <v>Суши</v>
      </c>
      <c r="F335">
        <f>VLOOKUP(C335,Меню!A:E,5,0)</f>
        <v>250</v>
      </c>
    </row>
    <row r="336" spans="1:6" ht="15.75" hidden="1" customHeight="1" x14ac:dyDescent="0.35">
      <c r="A336" s="1">
        <v>335</v>
      </c>
      <c r="B336" s="1">
        <v>60</v>
      </c>
      <c r="C336" s="1">
        <v>46</v>
      </c>
      <c r="D336" t="str">
        <f>VLOOKUP(B336,Заказы!A:C,3,0)</f>
        <v>2023-03-25 21:37:00</v>
      </c>
      <c r="E336" t="str">
        <f>VLOOKUP(C336,Меню!A:E,4,0)</f>
        <v>Суши</v>
      </c>
      <c r="F336">
        <f>VLOOKUP(C336,Меню!A:E,5,0)</f>
        <v>200</v>
      </c>
    </row>
    <row r="337" spans="1:6" ht="15.75" hidden="1" customHeight="1" x14ac:dyDescent="0.35">
      <c r="A337" s="1">
        <v>336</v>
      </c>
      <c r="B337" s="1">
        <v>60</v>
      </c>
      <c r="C337" s="1">
        <v>11</v>
      </c>
      <c r="D337" t="str">
        <f>VLOOKUP(B337,Заказы!A:C,3,0)</f>
        <v>2023-03-25 21:37:00</v>
      </c>
      <c r="E337" t="str">
        <f>VLOOKUP(C337,Меню!A:E,4,0)</f>
        <v>Первое</v>
      </c>
      <c r="F337">
        <f>VLOOKUP(C337,Меню!A:E,5,0)</f>
        <v>300</v>
      </c>
    </row>
    <row r="338" spans="1:6" ht="15.75" hidden="1" customHeight="1" x14ac:dyDescent="0.35">
      <c r="A338" s="1">
        <v>337</v>
      </c>
      <c r="B338" s="1">
        <v>60</v>
      </c>
      <c r="C338" s="1">
        <v>34</v>
      </c>
      <c r="D338" t="str">
        <f>VLOOKUP(B338,Заказы!A:C,3,0)</f>
        <v>2023-03-25 21:37:00</v>
      </c>
      <c r="E338" t="str">
        <f>VLOOKUP(C338,Меню!A:E,4,0)</f>
        <v>Десерт</v>
      </c>
      <c r="F338">
        <f>VLOOKUP(C338,Меню!A:E,5,0)</f>
        <v>150</v>
      </c>
    </row>
    <row r="339" spans="1:6" ht="15.75" hidden="1" customHeight="1" x14ac:dyDescent="0.35">
      <c r="A339" s="1">
        <v>338</v>
      </c>
      <c r="B339" s="1">
        <v>61</v>
      </c>
      <c r="C339" s="1">
        <v>58</v>
      </c>
      <c r="D339" t="str">
        <f>VLOOKUP(B339,Заказы!A:C,3,0)</f>
        <v>2023-03-26 16:41:00</v>
      </c>
      <c r="E339" t="str">
        <f>VLOOKUP(C339,Меню!A:E,4,0)</f>
        <v>Суши</v>
      </c>
      <c r="F339">
        <f>VLOOKUP(C339,Меню!A:E,5,0)</f>
        <v>200</v>
      </c>
    </row>
    <row r="340" spans="1:6" ht="15.75" hidden="1" customHeight="1" x14ac:dyDescent="0.35">
      <c r="A340" s="1">
        <v>339</v>
      </c>
      <c r="B340" s="1">
        <v>61</v>
      </c>
      <c r="C340" s="1">
        <v>46</v>
      </c>
      <c r="D340" t="str">
        <f>VLOOKUP(B340,Заказы!A:C,3,0)</f>
        <v>2023-03-26 16:41:00</v>
      </c>
      <c r="E340" t="str">
        <f>VLOOKUP(C340,Меню!A:E,4,0)</f>
        <v>Суши</v>
      </c>
      <c r="F340">
        <f>VLOOKUP(C340,Меню!A:E,5,0)</f>
        <v>200</v>
      </c>
    </row>
    <row r="341" spans="1:6" ht="15.75" hidden="1" customHeight="1" x14ac:dyDescent="0.35">
      <c r="A341" s="1">
        <v>340</v>
      </c>
      <c r="B341" s="1">
        <v>61</v>
      </c>
      <c r="C341" s="1">
        <v>53</v>
      </c>
      <c r="D341" t="str">
        <f>VLOOKUP(B341,Заказы!A:C,3,0)</f>
        <v>2023-03-26 16:41:00</v>
      </c>
      <c r="E341" t="str">
        <f>VLOOKUP(C341,Меню!A:E,4,0)</f>
        <v>Суши</v>
      </c>
      <c r="F341">
        <f>VLOOKUP(C341,Меню!A:E,5,0)</f>
        <v>100</v>
      </c>
    </row>
    <row r="342" spans="1:6" ht="15.75" hidden="1" customHeight="1" x14ac:dyDescent="0.35">
      <c r="A342" s="1">
        <v>341</v>
      </c>
      <c r="B342" s="1">
        <v>61</v>
      </c>
      <c r="C342" s="1">
        <v>34</v>
      </c>
      <c r="D342" t="str">
        <f>VLOOKUP(B342,Заказы!A:C,3,0)</f>
        <v>2023-03-26 16:41:00</v>
      </c>
      <c r="E342" t="str">
        <f>VLOOKUP(C342,Меню!A:E,4,0)</f>
        <v>Десерт</v>
      </c>
      <c r="F342">
        <f>VLOOKUP(C342,Меню!A:E,5,0)</f>
        <v>150</v>
      </c>
    </row>
    <row r="343" spans="1:6" ht="15.75" hidden="1" customHeight="1" x14ac:dyDescent="0.35">
      <c r="A343" s="1">
        <v>342</v>
      </c>
      <c r="B343" s="1">
        <v>61</v>
      </c>
      <c r="C343" s="1">
        <v>59</v>
      </c>
      <c r="D343" t="str">
        <f>VLOOKUP(B343,Заказы!A:C,3,0)</f>
        <v>2023-03-26 16:41:00</v>
      </c>
      <c r="E343" t="str">
        <f>VLOOKUP(C343,Меню!A:E,4,0)</f>
        <v>Суши</v>
      </c>
      <c r="F343">
        <f>VLOOKUP(C343,Меню!A:E,5,0)</f>
        <v>300</v>
      </c>
    </row>
    <row r="344" spans="1:6" ht="15.75" hidden="1" customHeight="1" x14ac:dyDescent="0.35">
      <c r="A344" s="1">
        <v>343</v>
      </c>
      <c r="B344" s="1">
        <v>61</v>
      </c>
      <c r="C344" s="1">
        <v>45</v>
      </c>
      <c r="D344" t="str">
        <f>VLOOKUP(B344,Заказы!A:C,3,0)</f>
        <v>2023-03-26 16:41:00</v>
      </c>
      <c r="E344" t="str">
        <f>VLOOKUP(C344,Меню!A:E,4,0)</f>
        <v>Суши</v>
      </c>
      <c r="F344">
        <f>VLOOKUP(C344,Меню!A:E,5,0)</f>
        <v>200</v>
      </c>
    </row>
    <row r="345" spans="1:6" ht="15.75" hidden="1" customHeight="1" x14ac:dyDescent="0.35">
      <c r="A345" s="1">
        <v>344</v>
      </c>
      <c r="B345" s="1">
        <v>61</v>
      </c>
      <c r="C345" s="1">
        <v>57</v>
      </c>
      <c r="D345" t="str">
        <f>VLOOKUP(B345,Заказы!A:C,3,0)</f>
        <v>2023-03-26 16:41:00</v>
      </c>
      <c r="E345" t="str">
        <f>VLOOKUP(C345,Меню!A:E,4,0)</f>
        <v>Суши</v>
      </c>
      <c r="F345">
        <f>VLOOKUP(C345,Меню!A:E,5,0)</f>
        <v>200</v>
      </c>
    </row>
    <row r="346" spans="1:6" ht="15.75" hidden="1" customHeight="1" x14ac:dyDescent="0.35">
      <c r="A346" s="1">
        <v>345</v>
      </c>
      <c r="B346" s="1">
        <v>61</v>
      </c>
      <c r="C346" s="1">
        <v>37</v>
      </c>
      <c r="D346" t="str">
        <f>VLOOKUP(B346,Заказы!A:C,3,0)</f>
        <v>2023-03-26 16:41:00</v>
      </c>
      <c r="E346" t="str">
        <f>VLOOKUP(C346,Меню!A:E,4,0)</f>
        <v>Десерт</v>
      </c>
      <c r="F346">
        <f>VLOOKUP(C346,Меню!A:E,5,0)</f>
        <v>100</v>
      </c>
    </row>
    <row r="347" spans="1:6" ht="15.75" hidden="1" customHeight="1" x14ac:dyDescent="0.35">
      <c r="A347" s="1">
        <v>346</v>
      </c>
      <c r="B347" s="1">
        <v>61</v>
      </c>
      <c r="C347" s="1">
        <v>13</v>
      </c>
      <c r="D347" t="str">
        <f>VLOOKUP(B347,Заказы!A:C,3,0)</f>
        <v>2023-03-26 16:41:00</v>
      </c>
      <c r="E347" t="str">
        <f>VLOOKUP(C347,Меню!A:E,4,0)</f>
        <v>Первое</v>
      </c>
      <c r="F347">
        <f>VLOOKUP(C347,Меню!A:E,5,0)</f>
        <v>280</v>
      </c>
    </row>
    <row r="348" spans="1:6" ht="15.75" hidden="1" customHeight="1" x14ac:dyDescent="0.35">
      <c r="A348" s="1">
        <v>347</v>
      </c>
      <c r="B348" s="1">
        <v>62</v>
      </c>
      <c r="C348" s="1">
        <v>44</v>
      </c>
      <c r="D348" t="str">
        <f>VLOOKUP(B348,Заказы!A:C,3,0)</f>
        <v>2023-03-26 18:54:00</v>
      </c>
      <c r="E348" t="str">
        <f>VLOOKUP(C348,Меню!A:E,4,0)</f>
        <v>Суши</v>
      </c>
      <c r="F348">
        <f>VLOOKUP(C348,Меню!A:E,5,0)</f>
        <v>250</v>
      </c>
    </row>
    <row r="349" spans="1:6" ht="15.75" hidden="1" customHeight="1" x14ac:dyDescent="0.35">
      <c r="A349" s="1">
        <v>348</v>
      </c>
      <c r="B349" s="1">
        <v>62</v>
      </c>
      <c r="C349" s="1">
        <v>47</v>
      </c>
      <c r="D349" t="str">
        <f>VLOOKUP(B349,Заказы!A:C,3,0)</f>
        <v>2023-03-26 18:54:00</v>
      </c>
      <c r="E349" t="str">
        <f>VLOOKUP(C349,Меню!A:E,4,0)</f>
        <v>Суши</v>
      </c>
      <c r="F349">
        <f>VLOOKUP(C349,Меню!A:E,5,0)</f>
        <v>200</v>
      </c>
    </row>
    <row r="350" spans="1:6" ht="15.75" hidden="1" customHeight="1" x14ac:dyDescent="0.35">
      <c r="A350" s="1">
        <v>349</v>
      </c>
      <c r="B350" s="1">
        <v>62</v>
      </c>
      <c r="C350" s="1">
        <v>26</v>
      </c>
      <c r="D350" t="str">
        <f>VLOOKUP(B350,Заказы!A:C,3,0)</f>
        <v>2023-03-26 18:54:00</v>
      </c>
      <c r="E350" t="str">
        <f>VLOOKUP(C350,Меню!A:E,4,0)</f>
        <v>Салат</v>
      </c>
      <c r="F350">
        <f>VLOOKUP(C350,Меню!A:E,5,0)</f>
        <v>250</v>
      </c>
    </row>
    <row r="351" spans="1:6" ht="15.75" hidden="1" customHeight="1" x14ac:dyDescent="0.35">
      <c r="A351" s="1">
        <v>350</v>
      </c>
      <c r="B351" s="1">
        <v>62</v>
      </c>
      <c r="C351" s="1">
        <v>40</v>
      </c>
      <c r="D351" t="str">
        <f>VLOOKUP(B351,Заказы!A:C,3,0)</f>
        <v>2023-03-26 18:54:00</v>
      </c>
      <c r="E351" t="str">
        <f>VLOOKUP(C351,Меню!A:E,4,0)</f>
        <v>Десерт</v>
      </c>
      <c r="F351">
        <f>VLOOKUP(C351,Меню!A:E,5,0)</f>
        <v>150</v>
      </c>
    </row>
    <row r="352" spans="1:6" ht="15.75" hidden="1" customHeight="1" x14ac:dyDescent="0.35">
      <c r="A352" s="1">
        <v>351</v>
      </c>
      <c r="B352" s="1">
        <v>62</v>
      </c>
      <c r="C352" s="1">
        <v>50</v>
      </c>
      <c r="D352" t="str">
        <f>VLOOKUP(B352,Заказы!A:C,3,0)</f>
        <v>2023-03-26 18:54:00</v>
      </c>
      <c r="E352" t="str">
        <f>VLOOKUP(C352,Меню!A:E,4,0)</f>
        <v>Суши</v>
      </c>
      <c r="F352">
        <f>VLOOKUP(C352,Меню!A:E,5,0)</f>
        <v>200</v>
      </c>
    </row>
    <row r="353" spans="1:6" ht="15.75" hidden="1" customHeight="1" x14ac:dyDescent="0.35">
      <c r="A353" s="1">
        <v>352</v>
      </c>
      <c r="B353" s="1">
        <v>62</v>
      </c>
      <c r="C353" s="1">
        <v>5</v>
      </c>
      <c r="D353" t="str">
        <f>VLOOKUP(B353,Заказы!A:C,3,0)</f>
        <v>2023-03-26 18:54:00</v>
      </c>
      <c r="E353" t="str">
        <f>VLOOKUP(C353,Меню!A:E,4,0)</f>
        <v>Завтрак</v>
      </c>
      <c r="F353">
        <f>VLOOKUP(C353,Меню!A:E,5,0)</f>
        <v>220</v>
      </c>
    </row>
    <row r="354" spans="1:6" ht="15.75" hidden="1" customHeight="1" x14ac:dyDescent="0.35">
      <c r="A354" s="1">
        <v>353</v>
      </c>
      <c r="B354" s="1">
        <v>63</v>
      </c>
      <c r="C354" s="1">
        <v>2</v>
      </c>
      <c r="D354" t="str">
        <f>VLOOKUP(B354,Заказы!A:C,3,0)</f>
        <v>2023-03-26 20:14:00</v>
      </c>
      <c r="E354" t="str">
        <f>VLOOKUP(C354,Меню!A:E,4,0)</f>
        <v>Завтрак</v>
      </c>
      <c r="F354">
        <f>VLOOKUP(C354,Меню!A:E,5,0)</f>
        <v>250</v>
      </c>
    </row>
    <row r="355" spans="1:6" ht="15.75" hidden="1" customHeight="1" x14ac:dyDescent="0.35">
      <c r="A355" s="1">
        <v>354</v>
      </c>
      <c r="B355" s="1">
        <v>63</v>
      </c>
      <c r="C355" s="1">
        <v>6</v>
      </c>
      <c r="D355" t="str">
        <f>VLOOKUP(B355,Заказы!A:C,3,0)</f>
        <v>2023-03-26 20:14:00</v>
      </c>
      <c r="E355" t="str">
        <f>VLOOKUP(C355,Меню!A:E,4,0)</f>
        <v>Завтрак</v>
      </c>
      <c r="F355">
        <f>VLOOKUP(C355,Меню!A:E,5,0)</f>
        <v>300</v>
      </c>
    </row>
    <row r="356" spans="1:6" ht="15.75" hidden="1" customHeight="1" x14ac:dyDescent="0.35">
      <c r="A356" s="1">
        <v>355</v>
      </c>
      <c r="B356" s="1">
        <v>63</v>
      </c>
      <c r="C356" s="1">
        <v>43</v>
      </c>
      <c r="D356" t="str">
        <f>VLOOKUP(B356,Заказы!A:C,3,0)</f>
        <v>2023-03-26 20:14:00</v>
      </c>
      <c r="E356" t="str">
        <f>VLOOKUP(C356,Меню!A:E,4,0)</f>
        <v>Суши</v>
      </c>
      <c r="F356">
        <f>VLOOKUP(C356,Меню!A:E,5,0)</f>
        <v>250</v>
      </c>
    </row>
    <row r="357" spans="1:6" ht="15.75" hidden="1" customHeight="1" x14ac:dyDescent="0.35">
      <c r="A357" s="1">
        <v>356</v>
      </c>
      <c r="B357" s="1">
        <v>63</v>
      </c>
      <c r="C357" s="1">
        <v>57</v>
      </c>
      <c r="D357" t="str">
        <f>VLOOKUP(B357,Заказы!A:C,3,0)</f>
        <v>2023-03-26 20:14:00</v>
      </c>
      <c r="E357" t="str">
        <f>VLOOKUP(C357,Меню!A:E,4,0)</f>
        <v>Суши</v>
      </c>
      <c r="F357">
        <f>VLOOKUP(C357,Меню!A:E,5,0)</f>
        <v>200</v>
      </c>
    </row>
    <row r="358" spans="1:6" ht="15.75" hidden="1" customHeight="1" x14ac:dyDescent="0.35">
      <c r="A358" s="1">
        <v>357</v>
      </c>
      <c r="B358" s="1">
        <v>64</v>
      </c>
      <c r="C358" s="1">
        <v>47</v>
      </c>
      <c r="D358" t="str">
        <f>VLOOKUP(B358,Заказы!A:C,3,0)</f>
        <v>2023-03-26 22:51:00</v>
      </c>
      <c r="E358" t="str">
        <f>VLOOKUP(C358,Меню!A:E,4,0)</f>
        <v>Суши</v>
      </c>
      <c r="F358">
        <f>VLOOKUP(C358,Меню!A:E,5,0)</f>
        <v>200</v>
      </c>
    </row>
    <row r="359" spans="1:6" ht="15.75" hidden="1" customHeight="1" x14ac:dyDescent="0.35">
      <c r="A359" s="1">
        <v>358</v>
      </c>
      <c r="B359" s="1">
        <v>64</v>
      </c>
      <c r="C359" s="1">
        <v>28</v>
      </c>
      <c r="D359" t="str">
        <f>VLOOKUP(B359,Заказы!A:C,3,0)</f>
        <v>2023-03-26 22:51:00</v>
      </c>
      <c r="E359" t="str">
        <f>VLOOKUP(C359,Меню!A:E,4,0)</f>
        <v>Салат</v>
      </c>
      <c r="F359">
        <f>VLOOKUP(C359,Меню!A:E,5,0)</f>
        <v>250</v>
      </c>
    </row>
    <row r="360" spans="1:6" ht="15.75" hidden="1" customHeight="1" x14ac:dyDescent="0.35">
      <c r="A360" s="1">
        <v>359</v>
      </c>
      <c r="B360" s="1">
        <v>64</v>
      </c>
      <c r="C360" s="1">
        <v>25</v>
      </c>
      <c r="D360" t="str">
        <f>VLOOKUP(B360,Заказы!A:C,3,0)</f>
        <v>2023-03-26 22:51:00</v>
      </c>
      <c r="E360" t="str">
        <f>VLOOKUP(C360,Меню!A:E,4,0)</f>
        <v>Салат</v>
      </c>
      <c r="F360">
        <f>VLOOKUP(C360,Меню!A:E,5,0)</f>
        <v>250</v>
      </c>
    </row>
    <row r="361" spans="1:6" ht="15.75" hidden="1" customHeight="1" x14ac:dyDescent="0.35">
      <c r="A361" s="1">
        <v>360</v>
      </c>
      <c r="B361" s="1">
        <v>64</v>
      </c>
      <c r="C361" s="1">
        <v>20</v>
      </c>
      <c r="D361" t="str">
        <f>VLOOKUP(B361,Заказы!A:C,3,0)</f>
        <v>2023-03-26 22:51:00</v>
      </c>
      <c r="E361" t="str">
        <f>VLOOKUP(C361,Меню!A:E,4,0)</f>
        <v>Первое</v>
      </c>
      <c r="F361">
        <f>VLOOKUP(C361,Меню!A:E,5,0)</f>
        <v>250</v>
      </c>
    </row>
    <row r="362" spans="1:6" ht="15.75" hidden="1" customHeight="1" x14ac:dyDescent="0.35">
      <c r="A362" s="1">
        <v>361</v>
      </c>
      <c r="B362" s="1">
        <v>64</v>
      </c>
      <c r="C362" s="1">
        <v>25</v>
      </c>
      <c r="D362" t="str">
        <f>VLOOKUP(B362,Заказы!A:C,3,0)</f>
        <v>2023-03-26 22:51:00</v>
      </c>
      <c r="E362" t="str">
        <f>VLOOKUP(C362,Меню!A:E,4,0)</f>
        <v>Салат</v>
      </c>
      <c r="F362">
        <f>VLOOKUP(C362,Меню!A:E,5,0)</f>
        <v>250</v>
      </c>
    </row>
    <row r="363" spans="1:6" ht="15.75" hidden="1" customHeight="1" x14ac:dyDescent="0.35">
      <c r="A363" s="1">
        <v>362</v>
      </c>
      <c r="B363" s="1">
        <v>65</v>
      </c>
      <c r="C363" s="1">
        <v>22</v>
      </c>
      <c r="D363" t="str">
        <f>VLOOKUP(B363,Заказы!A:C,3,0)</f>
        <v>2023-03-27 15:26:00</v>
      </c>
      <c r="E363" t="str">
        <f>VLOOKUP(C363,Меню!A:E,4,0)</f>
        <v>Салат</v>
      </c>
      <c r="F363">
        <f>VLOOKUP(C363,Меню!A:E,5,0)</f>
        <v>250</v>
      </c>
    </row>
    <row r="364" spans="1:6" ht="15.75" hidden="1" customHeight="1" x14ac:dyDescent="0.35">
      <c r="A364" s="1">
        <v>363</v>
      </c>
      <c r="B364" s="1">
        <v>65</v>
      </c>
      <c r="C364" s="1">
        <v>38</v>
      </c>
      <c r="D364" t="str">
        <f>VLOOKUP(B364,Заказы!A:C,3,0)</f>
        <v>2023-03-27 15:26:00</v>
      </c>
      <c r="E364" t="str">
        <f>VLOOKUP(C364,Меню!A:E,4,0)</f>
        <v>Десерт</v>
      </c>
      <c r="F364">
        <f>VLOOKUP(C364,Меню!A:E,5,0)</f>
        <v>150</v>
      </c>
    </row>
    <row r="365" spans="1:6" ht="15.75" hidden="1" customHeight="1" x14ac:dyDescent="0.35">
      <c r="A365" s="1">
        <v>364</v>
      </c>
      <c r="B365" s="1">
        <v>65</v>
      </c>
      <c r="C365" s="1">
        <v>8</v>
      </c>
      <c r="D365" t="str">
        <f>VLOOKUP(B365,Заказы!A:C,3,0)</f>
        <v>2023-03-27 15:26:00</v>
      </c>
      <c r="E365" t="str">
        <f>VLOOKUP(C365,Меню!A:E,4,0)</f>
        <v>Завтрак</v>
      </c>
      <c r="F365">
        <f>VLOOKUP(C365,Меню!A:E,5,0)</f>
        <v>180</v>
      </c>
    </row>
    <row r="366" spans="1:6" ht="15.75" hidden="1" customHeight="1" x14ac:dyDescent="0.35">
      <c r="A366" s="1">
        <v>365</v>
      </c>
      <c r="B366" s="1">
        <v>65</v>
      </c>
      <c r="C366" s="1">
        <v>56</v>
      </c>
      <c r="D366" t="str">
        <f>VLOOKUP(B366,Заказы!A:C,3,0)</f>
        <v>2023-03-27 15:26:00</v>
      </c>
      <c r="E366" t="str">
        <f>VLOOKUP(C366,Меню!A:E,4,0)</f>
        <v>Суши</v>
      </c>
      <c r="F366">
        <f>VLOOKUP(C366,Меню!A:E,5,0)</f>
        <v>200</v>
      </c>
    </row>
    <row r="367" spans="1:6" ht="15.75" hidden="1" customHeight="1" x14ac:dyDescent="0.35">
      <c r="A367" s="1">
        <v>366</v>
      </c>
      <c r="B367" s="1">
        <v>65</v>
      </c>
      <c r="C367" s="1">
        <v>38</v>
      </c>
      <c r="D367" t="str">
        <f>VLOOKUP(B367,Заказы!A:C,3,0)</f>
        <v>2023-03-27 15:26:00</v>
      </c>
      <c r="E367" t="str">
        <f>VLOOKUP(C367,Меню!A:E,4,0)</f>
        <v>Десерт</v>
      </c>
      <c r="F367">
        <f>VLOOKUP(C367,Меню!A:E,5,0)</f>
        <v>150</v>
      </c>
    </row>
    <row r="368" spans="1:6" ht="15.75" hidden="1" customHeight="1" x14ac:dyDescent="0.35">
      <c r="A368" s="1">
        <v>367</v>
      </c>
      <c r="B368" s="1">
        <v>65</v>
      </c>
      <c r="C368" s="1">
        <v>36</v>
      </c>
      <c r="D368" t="str">
        <f>VLOOKUP(B368,Заказы!A:C,3,0)</f>
        <v>2023-03-27 15:26:00</v>
      </c>
      <c r="E368" t="str">
        <f>VLOOKUP(C368,Меню!A:E,4,0)</f>
        <v>Десерт</v>
      </c>
      <c r="F368">
        <f>VLOOKUP(C368,Меню!A:E,5,0)</f>
        <v>150</v>
      </c>
    </row>
    <row r="369" spans="1:6" ht="15.75" hidden="1" customHeight="1" x14ac:dyDescent="0.35">
      <c r="A369" s="1">
        <v>368</v>
      </c>
      <c r="B369" s="1">
        <v>66</v>
      </c>
      <c r="C369" s="1">
        <v>54</v>
      </c>
      <c r="D369" t="str">
        <f>VLOOKUP(B369,Заказы!A:C,3,0)</f>
        <v>2023-03-27 18:15:00</v>
      </c>
      <c r="E369" t="str">
        <f>VLOOKUP(C369,Меню!A:E,4,0)</f>
        <v>Суши</v>
      </c>
      <c r="F369">
        <f>VLOOKUP(C369,Меню!A:E,5,0)</f>
        <v>100</v>
      </c>
    </row>
    <row r="370" spans="1:6" ht="15.75" hidden="1" customHeight="1" x14ac:dyDescent="0.35">
      <c r="A370" s="1">
        <v>369</v>
      </c>
      <c r="B370" s="1">
        <v>67</v>
      </c>
      <c r="C370" s="1">
        <v>5</v>
      </c>
      <c r="D370" t="str">
        <f>VLOOKUP(B370,Заказы!A:C,3,0)</f>
        <v>2023-03-27 19:40:00</v>
      </c>
      <c r="E370" t="str">
        <f>VLOOKUP(C370,Меню!A:E,4,0)</f>
        <v>Завтрак</v>
      </c>
      <c r="F370">
        <f>VLOOKUP(C370,Меню!A:E,5,0)</f>
        <v>220</v>
      </c>
    </row>
    <row r="371" spans="1:6" ht="15.75" hidden="1" customHeight="1" x14ac:dyDescent="0.35">
      <c r="A371" s="1">
        <v>370</v>
      </c>
      <c r="B371" s="1">
        <v>67</v>
      </c>
      <c r="C371" s="1">
        <v>36</v>
      </c>
      <c r="D371" t="str">
        <f>VLOOKUP(B371,Заказы!A:C,3,0)</f>
        <v>2023-03-27 19:40:00</v>
      </c>
      <c r="E371" t="str">
        <f>VLOOKUP(C371,Меню!A:E,4,0)</f>
        <v>Десерт</v>
      </c>
      <c r="F371">
        <f>VLOOKUP(C371,Меню!A:E,5,0)</f>
        <v>150</v>
      </c>
    </row>
    <row r="372" spans="1:6" ht="15.75" hidden="1" customHeight="1" x14ac:dyDescent="0.35">
      <c r="A372" s="1">
        <v>371</v>
      </c>
      <c r="B372" s="1">
        <v>67</v>
      </c>
      <c r="C372" s="1">
        <v>38</v>
      </c>
      <c r="D372" t="str">
        <f>VLOOKUP(B372,Заказы!A:C,3,0)</f>
        <v>2023-03-27 19:40:00</v>
      </c>
      <c r="E372" t="str">
        <f>VLOOKUP(C372,Меню!A:E,4,0)</f>
        <v>Десерт</v>
      </c>
      <c r="F372">
        <f>VLOOKUP(C372,Меню!A:E,5,0)</f>
        <v>150</v>
      </c>
    </row>
    <row r="373" spans="1:6" ht="15.75" hidden="1" customHeight="1" x14ac:dyDescent="0.35">
      <c r="A373" s="1">
        <v>372</v>
      </c>
      <c r="B373" s="1">
        <v>68</v>
      </c>
      <c r="C373" s="1">
        <v>13</v>
      </c>
      <c r="D373" t="str">
        <f>VLOOKUP(B373,Заказы!A:C,3,0)</f>
        <v>2023-03-28 16:19:00</v>
      </c>
      <c r="E373" t="str">
        <f>VLOOKUP(C373,Меню!A:E,4,0)</f>
        <v>Первое</v>
      </c>
      <c r="F373">
        <f>VLOOKUP(C373,Меню!A:E,5,0)</f>
        <v>280</v>
      </c>
    </row>
    <row r="374" spans="1:6" ht="15.75" hidden="1" customHeight="1" x14ac:dyDescent="0.35">
      <c r="A374" s="1">
        <v>373</v>
      </c>
      <c r="B374" s="1">
        <v>68</v>
      </c>
      <c r="C374" s="1">
        <v>17</v>
      </c>
      <c r="D374" t="str">
        <f>VLOOKUP(B374,Заказы!A:C,3,0)</f>
        <v>2023-03-28 16:19:00</v>
      </c>
      <c r="E374" t="str">
        <f>VLOOKUP(C374,Меню!A:E,4,0)</f>
        <v>Первое</v>
      </c>
      <c r="F374">
        <f>VLOOKUP(C374,Меню!A:E,5,0)</f>
        <v>250</v>
      </c>
    </row>
    <row r="375" spans="1:6" ht="15.75" hidden="1" customHeight="1" x14ac:dyDescent="0.35">
      <c r="A375" s="1">
        <v>374</v>
      </c>
      <c r="B375" s="1">
        <v>68</v>
      </c>
      <c r="C375" s="1">
        <v>38</v>
      </c>
      <c r="D375" t="str">
        <f>VLOOKUP(B375,Заказы!A:C,3,0)</f>
        <v>2023-03-28 16:19:00</v>
      </c>
      <c r="E375" t="str">
        <f>VLOOKUP(C375,Меню!A:E,4,0)</f>
        <v>Десерт</v>
      </c>
      <c r="F375">
        <f>VLOOKUP(C375,Меню!A:E,5,0)</f>
        <v>150</v>
      </c>
    </row>
    <row r="376" spans="1:6" ht="15.75" hidden="1" customHeight="1" x14ac:dyDescent="0.35">
      <c r="A376" s="1">
        <v>375</v>
      </c>
      <c r="B376" s="1">
        <v>68</v>
      </c>
      <c r="C376" s="1">
        <v>33</v>
      </c>
      <c r="D376" t="str">
        <f>VLOOKUP(B376,Заказы!A:C,3,0)</f>
        <v>2023-03-28 16:19:00</v>
      </c>
      <c r="E376" t="str">
        <f>VLOOKUP(C376,Меню!A:E,4,0)</f>
        <v>Десерт</v>
      </c>
      <c r="F376">
        <f>VLOOKUP(C376,Меню!A:E,5,0)</f>
        <v>150</v>
      </c>
    </row>
    <row r="377" spans="1:6" ht="15.75" hidden="1" customHeight="1" x14ac:dyDescent="0.35">
      <c r="A377" s="1">
        <v>376</v>
      </c>
      <c r="B377" s="1">
        <v>69</v>
      </c>
      <c r="C377" s="1">
        <v>29</v>
      </c>
      <c r="D377" t="str">
        <f>VLOOKUP(B377,Заказы!A:C,3,0)</f>
        <v>2023-03-28 20:28:00</v>
      </c>
      <c r="E377" t="str">
        <f>VLOOKUP(C377,Меню!A:E,4,0)</f>
        <v>Салат</v>
      </c>
      <c r="F377">
        <f>VLOOKUP(C377,Меню!A:E,5,0)</f>
        <v>250</v>
      </c>
    </row>
    <row r="378" spans="1:6" ht="15.75" hidden="1" customHeight="1" x14ac:dyDescent="0.35">
      <c r="A378" s="1">
        <v>377</v>
      </c>
      <c r="B378" s="1">
        <v>69</v>
      </c>
      <c r="C378" s="1">
        <v>10</v>
      </c>
      <c r="D378" t="str">
        <f>VLOOKUP(B378,Заказы!A:C,3,0)</f>
        <v>2023-03-28 20:28:00</v>
      </c>
      <c r="E378" t="str">
        <f>VLOOKUP(C378,Меню!A:E,4,0)</f>
        <v>Завтрак</v>
      </c>
      <c r="F378">
        <f>VLOOKUP(C378,Меню!A:E,5,0)</f>
        <v>200</v>
      </c>
    </row>
    <row r="379" spans="1:6" ht="15.75" hidden="1" customHeight="1" x14ac:dyDescent="0.35">
      <c r="A379" s="1">
        <v>378</v>
      </c>
      <c r="B379" s="1">
        <v>69</v>
      </c>
      <c r="C379" s="1">
        <v>60</v>
      </c>
      <c r="D379" t="str">
        <f>VLOOKUP(B379,Заказы!A:C,3,0)</f>
        <v>2023-03-28 20:28:00</v>
      </c>
      <c r="E379" t="str">
        <f>VLOOKUP(C379,Меню!A:E,4,0)</f>
        <v>Суши</v>
      </c>
      <c r="F379">
        <f>VLOOKUP(C379,Меню!A:E,5,0)</f>
        <v>250</v>
      </c>
    </row>
    <row r="380" spans="1:6" ht="15.75" hidden="1" customHeight="1" x14ac:dyDescent="0.35">
      <c r="A380" s="1">
        <v>379</v>
      </c>
      <c r="B380" s="1">
        <v>69</v>
      </c>
      <c r="C380" s="1">
        <v>16</v>
      </c>
      <c r="D380" t="str">
        <f>VLOOKUP(B380,Заказы!A:C,3,0)</f>
        <v>2023-03-28 20:28:00</v>
      </c>
      <c r="E380" t="str">
        <f>VLOOKUP(C380,Меню!A:E,4,0)</f>
        <v>Первое</v>
      </c>
      <c r="F380">
        <f>VLOOKUP(C380,Меню!A:E,5,0)</f>
        <v>250</v>
      </c>
    </row>
    <row r="381" spans="1:6" ht="15.75" hidden="1" customHeight="1" x14ac:dyDescent="0.35">
      <c r="A381" s="1">
        <v>380</v>
      </c>
      <c r="B381" s="1">
        <v>69</v>
      </c>
      <c r="C381" s="1">
        <v>5</v>
      </c>
      <c r="D381" t="str">
        <f>VLOOKUP(B381,Заказы!A:C,3,0)</f>
        <v>2023-03-28 20:28:00</v>
      </c>
      <c r="E381" t="str">
        <f>VLOOKUP(C381,Меню!A:E,4,0)</f>
        <v>Завтрак</v>
      </c>
      <c r="F381">
        <f>VLOOKUP(C381,Меню!A:E,5,0)</f>
        <v>220</v>
      </c>
    </row>
    <row r="382" spans="1:6" ht="15.75" hidden="1" customHeight="1" x14ac:dyDescent="0.35">
      <c r="A382" s="1">
        <v>381</v>
      </c>
      <c r="B382" s="1">
        <v>69</v>
      </c>
      <c r="C382" s="1">
        <v>6</v>
      </c>
      <c r="D382" t="str">
        <f>VLOOKUP(B382,Заказы!A:C,3,0)</f>
        <v>2023-03-28 20:28:00</v>
      </c>
      <c r="E382" t="str">
        <f>VLOOKUP(C382,Меню!A:E,4,0)</f>
        <v>Завтрак</v>
      </c>
      <c r="F382">
        <f>VLOOKUP(C382,Меню!A:E,5,0)</f>
        <v>300</v>
      </c>
    </row>
    <row r="383" spans="1:6" ht="15.75" hidden="1" customHeight="1" x14ac:dyDescent="0.35">
      <c r="A383" s="1">
        <v>382</v>
      </c>
      <c r="B383" s="1">
        <v>70</v>
      </c>
      <c r="C383" s="1">
        <v>20</v>
      </c>
      <c r="D383" t="str">
        <f>VLOOKUP(B383,Заказы!A:C,3,0)</f>
        <v>2023-03-28 21:02:00</v>
      </c>
      <c r="E383" t="str">
        <f>VLOOKUP(C383,Меню!A:E,4,0)</f>
        <v>Первое</v>
      </c>
      <c r="F383">
        <f>VLOOKUP(C383,Меню!A:E,5,0)</f>
        <v>250</v>
      </c>
    </row>
    <row r="384" spans="1:6" ht="15.75" hidden="1" customHeight="1" x14ac:dyDescent="0.35">
      <c r="A384" s="1">
        <v>383</v>
      </c>
      <c r="B384" s="1">
        <v>70</v>
      </c>
      <c r="C384" s="1">
        <v>33</v>
      </c>
      <c r="D384" t="str">
        <f>VLOOKUP(B384,Заказы!A:C,3,0)</f>
        <v>2023-03-28 21:02:00</v>
      </c>
      <c r="E384" t="str">
        <f>VLOOKUP(C384,Меню!A:E,4,0)</f>
        <v>Десерт</v>
      </c>
      <c r="F384">
        <f>VLOOKUP(C384,Меню!A:E,5,0)</f>
        <v>150</v>
      </c>
    </row>
    <row r="385" spans="1:6" ht="15.75" hidden="1" customHeight="1" x14ac:dyDescent="0.35">
      <c r="A385" s="1">
        <v>384</v>
      </c>
      <c r="B385" s="1">
        <v>71</v>
      </c>
      <c r="C385" s="1">
        <v>39</v>
      </c>
      <c r="D385" t="str">
        <f>VLOOKUP(B385,Заказы!A:C,3,0)</f>
        <v>2023-03-28 21:30:00</v>
      </c>
      <c r="E385" t="str">
        <f>VLOOKUP(C385,Меню!A:E,4,0)</f>
        <v>Десерт</v>
      </c>
      <c r="F385">
        <f>VLOOKUP(C385,Меню!A:E,5,0)</f>
        <v>150</v>
      </c>
    </row>
    <row r="386" spans="1:6" ht="15.75" hidden="1" customHeight="1" x14ac:dyDescent="0.35">
      <c r="A386" s="1">
        <v>385</v>
      </c>
      <c r="B386" s="1">
        <v>71</v>
      </c>
      <c r="C386" s="1">
        <v>20</v>
      </c>
      <c r="D386" t="str">
        <f>VLOOKUP(B386,Заказы!A:C,3,0)</f>
        <v>2023-03-28 21:30:00</v>
      </c>
      <c r="E386" t="str">
        <f>VLOOKUP(C386,Меню!A:E,4,0)</f>
        <v>Первое</v>
      </c>
      <c r="F386">
        <f>VLOOKUP(C386,Меню!A:E,5,0)</f>
        <v>250</v>
      </c>
    </row>
    <row r="387" spans="1:6" ht="15.75" hidden="1" customHeight="1" x14ac:dyDescent="0.35">
      <c r="A387" s="1">
        <v>386</v>
      </c>
      <c r="B387" s="1">
        <v>71</v>
      </c>
      <c r="C387" s="1">
        <v>11</v>
      </c>
      <c r="D387" t="str">
        <f>VLOOKUP(B387,Заказы!A:C,3,0)</f>
        <v>2023-03-28 21:30:00</v>
      </c>
      <c r="E387" t="str">
        <f>VLOOKUP(C387,Меню!A:E,4,0)</f>
        <v>Первое</v>
      </c>
      <c r="F387">
        <f>VLOOKUP(C387,Меню!A:E,5,0)</f>
        <v>300</v>
      </c>
    </row>
    <row r="388" spans="1:6" ht="15.75" hidden="1" customHeight="1" x14ac:dyDescent="0.35">
      <c r="A388" s="1">
        <v>387</v>
      </c>
      <c r="B388" s="1">
        <v>71</v>
      </c>
      <c r="C388" s="1">
        <v>13</v>
      </c>
      <c r="D388" t="str">
        <f>VLOOKUP(B388,Заказы!A:C,3,0)</f>
        <v>2023-03-28 21:30:00</v>
      </c>
      <c r="E388" t="str">
        <f>VLOOKUP(C388,Меню!A:E,4,0)</f>
        <v>Первое</v>
      </c>
      <c r="F388">
        <f>VLOOKUP(C388,Меню!A:E,5,0)</f>
        <v>280</v>
      </c>
    </row>
    <row r="389" spans="1:6" ht="15.75" hidden="1" customHeight="1" x14ac:dyDescent="0.35">
      <c r="A389" s="1">
        <v>388</v>
      </c>
      <c r="B389" s="1">
        <v>72</v>
      </c>
      <c r="C389" s="1">
        <v>23</v>
      </c>
      <c r="D389" t="str">
        <f>VLOOKUP(B389,Заказы!A:C,3,0)</f>
        <v>2023-03-28 22:01:00</v>
      </c>
      <c r="E389" t="str">
        <f>VLOOKUP(C389,Меню!A:E,4,0)</f>
        <v>Салат</v>
      </c>
      <c r="F389">
        <f>VLOOKUP(C389,Меню!A:E,5,0)</f>
        <v>250</v>
      </c>
    </row>
    <row r="390" spans="1:6" ht="15.75" hidden="1" customHeight="1" x14ac:dyDescent="0.35">
      <c r="A390" s="1">
        <v>389</v>
      </c>
      <c r="B390" s="1">
        <v>72</v>
      </c>
      <c r="C390" s="1">
        <v>29</v>
      </c>
      <c r="D390" t="str">
        <f>VLOOKUP(B390,Заказы!A:C,3,0)</f>
        <v>2023-03-28 22:01:00</v>
      </c>
      <c r="E390" t="str">
        <f>VLOOKUP(C390,Меню!A:E,4,0)</f>
        <v>Салат</v>
      </c>
      <c r="F390">
        <f>VLOOKUP(C390,Меню!A:E,5,0)</f>
        <v>250</v>
      </c>
    </row>
    <row r="391" spans="1:6" ht="15.75" hidden="1" customHeight="1" x14ac:dyDescent="0.35">
      <c r="A391" s="1">
        <v>390</v>
      </c>
      <c r="B391" s="1">
        <v>72</v>
      </c>
      <c r="C391" s="1">
        <v>22</v>
      </c>
      <c r="D391" t="str">
        <f>VLOOKUP(B391,Заказы!A:C,3,0)</f>
        <v>2023-03-28 22:01:00</v>
      </c>
      <c r="E391" t="str">
        <f>VLOOKUP(C391,Меню!A:E,4,0)</f>
        <v>Салат</v>
      </c>
      <c r="F391">
        <f>VLOOKUP(C391,Меню!A:E,5,0)</f>
        <v>250</v>
      </c>
    </row>
    <row r="392" spans="1:6" ht="15.75" hidden="1" customHeight="1" x14ac:dyDescent="0.35">
      <c r="A392" s="1">
        <v>391</v>
      </c>
      <c r="B392" s="1">
        <v>72</v>
      </c>
      <c r="C392" s="1">
        <v>29</v>
      </c>
      <c r="D392" t="str">
        <f>VLOOKUP(B392,Заказы!A:C,3,0)</f>
        <v>2023-03-28 22:01:00</v>
      </c>
      <c r="E392" t="str">
        <f>VLOOKUP(C392,Меню!A:E,4,0)</f>
        <v>Салат</v>
      </c>
      <c r="F392">
        <f>VLOOKUP(C392,Меню!A:E,5,0)</f>
        <v>250</v>
      </c>
    </row>
    <row r="393" spans="1:6" ht="15.75" hidden="1" customHeight="1" x14ac:dyDescent="0.35">
      <c r="A393" s="1">
        <v>392</v>
      </c>
      <c r="B393" s="1">
        <v>72</v>
      </c>
      <c r="C393" s="1">
        <v>43</v>
      </c>
      <c r="D393" t="str">
        <f>VLOOKUP(B393,Заказы!A:C,3,0)</f>
        <v>2023-03-28 22:01:00</v>
      </c>
      <c r="E393" t="str">
        <f>VLOOKUP(C393,Меню!A:E,4,0)</f>
        <v>Суши</v>
      </c>
      <c r="F393">
        <f>VLOOKUP(C393,Меню!A:E,5,0)</f>
        <v>250</v>
      </c>
    </row>
    <row r="394" spans="1:6" ht="15.75" hidden="1" customHeight="1" x14ac:dyDescent="0.35">
      <c r="A394" s="1">
        <v>393</v>
      </c>
      <c r="B394" s="1">
        <v>72</v>
      </c>
      <c r="C394" s="1">
        <v>6</v>
      </c>
      <c r="D394" t="str">
        <f>VLOOKUP(B394,Заказы!A:C,3,0)</f>
        <v>2023-03-28 22:01:00</v>
      </c>
      <c r="E394" t="str">
        <f>VLOOKUP(C394,Меню!A:E,4,0)</f>
        <v>Завтрак</v>
      </c>
      <c r="F394">
        <f>VLOOKUP(C394,Меню!A:E,5,0)</f>
        <v>300</v>
      </c>
    </row>
    <row r="395" spans="1:6" ht="15.75" hidden="1" customHeight="1" x14ac:dyDescent="0.35">
      <c r="A395" s="1">
        <v>394</v>
      </c>
      <c r="B395" s="1">
        <v>72</v>
      </c>
      <c r="C395" s="1">
        <v>54</v>
      </c>
      <c r="D395" t="str">
        <f>VLOOKUP(B395,Заказы!A:C,3,0)</f>
        <v>2023-03-28 22:01:00</v>
      </c>
      <c r="E395" t="str">
        <f>VLOOKUP(C395,Меню!A:E,4,0)</f>
        <v>Суши</v>
      </c>
      <c r="F395">
        <f>VLOOKUP(C395,Меню!A:E,5,0)</f>
        <v>100</v>
      </c>
    </row>
    <row r="396" spans="1:6" ht="15.75" hidden="1" customHeight="1" x14ac:dyDescent="0.35">
      <c r="A396" s="1">
        <v>395</v>
      </c>
      <c r="B396" s="1">
        <v>72</v>
      </c>
      <c r="C396" s="1">
        <v>41</v>
      </c>
      <c r="D396" t="str">
        <f>VLOOKUP(B396,Заказы!A:C,3,0)</f>
        <v>2023-03-28 22:01:00</v>
      </c>
      <c r="E396" t="str">
        <f>VLOOKUP(C396,Меню!A:E,4,0)</f>
        <v>Суши</v>
      </c>
      <c r="F396">
        <f>VLOOKUP(C396,Меню!A:E,5,0)</f>
        <v>220</v>
      </c>
    </row>
    <row r="397" spans="1:6" ht="15.75" hidden="1" customHeight="1" x14ac:dyDescent="0.35">
      <c r="A397" s="1">
        <v>396</v>
      </c>
      <c r="B397" s="1">
        <v>72</v>
      </c>
      <c r="C397" s="1">
        <v>8</v>
      </c>
      <c r="D397" t="str">
        <f>VLOOKUP(B397,Заказы!A:C,3,0)</f>
        <v>2023-03-28 22:01:00</v>
      </c>
      <c r="E397" t="str">
        <f>VLOOKUP(C397,Меню!A:E,4,0)</f>
        <v>Завтрак</v>
      </c>
      <c r="F397">
        <f>VLOOKUP(C397,Меню!A:E,5,0)</f>
        <v>180</v>
      </c>
    </row>
    <row r="398" spans="1:6" ht="15.75" hidden="1" customHeight="1" x14ac:dyDescent="0.35">
      <c r="A398" s="1">
        <v>397</v>
      </c>
      <c r="B398" s="1">
        <v>73</v>
      </c>
      <c r="C398" s="1">
        <v>13</v>
      </c>
      <c r="D398" t="str">
        <f>VLOOKUP(B398,Заказы!A:C,3,0)</f>
        <v>2023-03-28 22:22:00</v>
      </c>
      <c r="E398" t="str">
        <f>VLOOKUP(C398,Меню!A:E,4,0)</f>
        <v>Первое</v>
      </c>
      <c r="F398">
        <f>VLOOKUP(C398,Меню!A:E,5,0)</f>
        <v>280</v>
      </c>
    </row>
    <row r="399" spans="1:6" ht="15.75" hidden="1" customHeight="1" x14ac:dyDescent="0.35">
      <c r="A399" s="1">
        <v>398</v>
      </c>
      <c r="B399" s="1">
        <v>73</v>
      </c>
      <c r="C399" s="1">
        <v>27</v>
      </c>
      <c r="D399" t="str">
        <f>VLOOKUP(B399,Заказы!A:C,3,0)</f>
        <v>2023-03-28 22:22:00</v>
      </c>
      <c r="E399" t="str">
        <f>VLOOKUP(C399,Меню!A:E,4,0)</f>
        <v>Салат</v>
      </c>
      <c r="F399">
        <f>VLOOKUP(C399,Меню!A:E,5,0)</f>
        <v>250</v>
      </c>
    </row>
    <row r="400" spans="1:6" ht="15.75" hidden="1" customHeight="1" x14ac:dyDescent="0.35">
      <c r="A400" s="1">
        <v>399</v>
      </c>
      <c r="B400" s="1">
        <v>73</v>
      </c>
      <c r="C400" s="1">
        <v>1</v>
      </c>
      <c r="D400" t="str">
        <f>VLOOKUP(B400,Заказы!A:C,3,0)</f>
        <v>2023-03-28 22:22:00</v>
      </c>
      <c r="E400" t="str">
        <f>VLOOKUP(C400,Меню!A:E,4,0)</f>
        <v>Завтрак</v>
      </c>
      <c r="F400">
        <f>VLOOKUP(C400,Меню!A:E,5,0)</f>
        <v>200</v>
      </c>
    </row>
    <row r="401" spans="1:6" ht="15.75" hidden="1" customHeight="1" x14ac:dyDescent="0.35">
      <c r="A401" s="1">
        <v>400</v>
      </c>
      <c r="B401" s="1">
        <v>74</v>
      </c>
      <c r="C401" s="1">
        <v>33</v>
      </c>
      <c r="D401" t="str">
        <f>VLOOKUP(B401,Заказы!A:C,3,0)</f>
        <v>2023-03-28 22:56:00</v>
      </c>
      <c r="E401" t="str">
        <f>VLOOKUP(C401,Меню!A:E,4,0)</f>
        <v>Десерт</v>
      </c>
      <c r="F401">
        <f>VLOOKUP(C401,Меню!A:E,5,0)</f>
        <v>150</v>
      </c>
    </row>
    <row r="402" spans="1:6" ht="15.75" hidden="1" customHeight="1" x14ac:dyDescent="0.35">
      <c r="A402" s="1">
        <v>401</v>
      </c>
      <c r="B402" s="1">
        <v>74</v>
      </c>
      <c r="C402" s="1">
        <v>24</v>
      </c>
      <c r="D402" t="str">
        <f>VLOOKUP(B402,Заказы!A:C,3,0)</f>
        <v>2023-03-28 22:56:00</v>
      </c>
      <c r="E402" t="str">
        <f>VLOOKUP(C402,Меню!A:E,4,0)</f>
        <v>Салат</v>
      </c>
      <c r="F402">
        <f>VLOOKUP(C402,Меню!A:E,5,0)</f>
        <v>250</v>
      </c>
    </row>
    <row r="403" spans="1:6" ht="15.75" hidden="1" customHeight="1" x14ac:dyDescent="0.35">
      <c r="A403" s="1">
        <v>402</v>
      </c>
      <c r="B403" s="1">
        <v>74</v>
      </c>
      <c r="C403" s="1">
        <v>1</v>
      </c>
      <c r="D403" t="str">
        <f>VLOOKUP(B403,Заказы!A:C,3,0)</f>
        <v>2023-03-28 22:56:00</v>
      </c>
      <c r="E403" t="str">
        <f>VLOOKUP(C403,Меню!A:E,4,0)</f>
        <v>Завтрак</v>
      </c>
      <c r="F403">
        <f>VLOOKUP(C403,Меню!A:E,5,0)</f>
        <v>200</v>
      </c>
    </row>
    <row r="404" spans="1:6" ht="15.75" hidden="1" customHeight="1" x14ac:dyDescent="0.35">
      <c r="A404" s="1">
        <v>403</v>
      </c>
      <c r="B404" s="1">
        <v>74</v>
      </c>
      <c r="C404" s="1">
        <v>36</v>
      </c>
      <c r="D404" t="str">
        <f>VLOOKUP(B404,Заказы!A:C,3,0)</f>
        <v>2023-03-28 22:56:00</v>
      </c>
      <c r="E404" t="str">
        <f>VLOOKUP(C404,Меню!A:E,4,0)</f>
        <v>Десерт</v>
      </c>
      <c r="F404">
        <f>VLOOKUP(C404,Меню!A:E,5,0)</f>
        <v>150</v>
      </c>
    </row>
    <row r="405" spans="1:6" ht="15.75" hidden="1" customHeight="1" x14ac:dyDescent="0.35">
      <c r="A405" s="1">
        <v>404</v>
      </c>
      <c r="B405" s="1">
        <v>74</v>
      </c>
      <c r="C405" s="1">
        <v>15</v>
      </c>
      <c r="D405" t="str">
        <f>VLOOKUP(B405,Заказы!A:C,3,0)</f>
        <v>2023-03-28 22:56:00</v>
      </c>
      <c r="E405" t="str">
        <f>VLOOKUP(C405,Меню!A:E,4,0)</f>
        <v>Первое</v>
      </c>
      <c r="F405">
        <f>VLOOKUP(C405,Меню!A:E,5,0)</f>
        <v>250</v>
      </c>
    </row>
    <row r="406" spans="1:6" ht="15.75" hidden="1" customHeight="1" x14ac:dyDescent="0.35">
      <c r="A406" s="1">
        <v>405</v>
      </c>
      <c r="B406" s="1">
        <v>75</v>
      </c>
      <c r="C406" s="1">
        <v>4</v>
      </c>
      <c r="D406" t="str">
        <f>VLOOKUP(B406,Заказы!A:C,3,0)</f>
        <v>2023-03-29 17:54:00</v>
      </c>
      <c r="E406" t="str">
        <f>VLOOKUP(C406,Меню!A:E,4,0)</f>
        <v>Завтрак</v>
      </c>
      <c r="F406">
        <f>VLOOKUP(C406,Меню!A:E,5,0)</f>
        <v>180</v>
      </c>
    </row>
    <row r="407" spans="1:6" ht="15.75" hidden="1" customHeight="1" x14ac:dyDescent="0.35">
      <c r="A407" s="1">
        <v>406</v>
      </c>
      <c r="B407" s="1">
        <v>75</v>
      </c>
      <c r="C407" s="1">
        <v>59</v>
      </c>
      <c r="D407" t="str">
        <f>VLOOKUP(B407,Заказы!A:C,3,0)</f>
        <v>2023-03-29 17:54:00</v>
      </c>
      <c r="E407" t="str">
        <f>VLOOKUP(C407,Меню!A:E,4,0)</f>
        <v>Суши</v>
      </c>
      <c r="F407">
        <f>VLOOKUP(C407,Меню!A:E,5,0)</f>
        <v>300</v>
      </c>
    </row>
    <row r="408" spans="1:6" ht="15.75" hidden="1" customHeight="1" x14ac:dyDescent="0.35">
      <c r="A408" s="1">
        <v>407</v>
      </c>
      <c r="B408" s="1">
        <v>75</v>
      </c>
      <c r="C408" s="1">
        <v>47</v>
      </c>
      <c r="D408" t="str">
        <f>VLOOKUP(B408,Заказы!A:C,3,0)</f>
        <v>2023-03-29 17:54:00</v>
      </c>
      <c r="E408" t="str">
        <f>VLOOKUP(C408,Меню!A:E,4,0)</f>
        <v>Суши</v>
      </c>
      <c r="F408">
        <f>VLOOKUP(C408,Меню!A:E,5,0)</f>
        <v>200</v>
      </c>
    </row>
    <row r="409" spans="1:6" ht="15.75" hidden="1" customHeight="1" x14ac:dyDescent="0.35">
      <c r="A409" s="1">
        <v>408</v>
      </c>
      <c r="B409" s="1">
        <v>75</v>
      </c>
      <c r="C409" s="1">
        <v>4</v>
      </c>
      <c r="D409" t="str">
        <f>VLOOKUP(B409,Заказы!A:C,3,0)</f>
        <v>2023-03-29 17:54:00</v>
      </c>
      <c r="E409" t="str">
        <f>VLOOKUP(C409,Меню!A:E,4,0)</f>
        <v>Завтрак</v>
      </c>
      <c r="F409">
        <f>VLOOKUP(C409,Меню!A:E,5,0)</f>
        <v>180</v>
      </c>
    </row>
    <row r="410" spans="1:6" ht="15.75" hidden="1" customHeight="1" x14ac:dyDescent="0.35">
      <c r="A410" s="1">
        <v>409</v>
      </c>
      <c r="B410" s="1">
        <v>75</v>
      </c>
      <c r="C410" s="1">
        <v>32</v>
      </c>
      <c r="D410" t="str">
        <f>VLOOKUP(B410,Заказы!A:C,3,0)</f>
        <v>2023-03-29 17:54:00</v>
      </c>
      <c r="E410" t="str">
        <f>VLOOKUP(C410,Меню!A:E,4,0)</f>
        <v>Десерт</v>
      </c>
      <c r="F410">
        <f>VLOOKUP(C410,Меню!A:E,5,0)</f>
        <v>150</v>
      </c>
    </row>
    <row r="411" spans="1:6" ht="15.75" hidden="1" customHeight="1" x14ac:dyDescent="0.35">
      <c r="A411" s="1">
        <v>410</v>
      </c>
      <c r="B411" s="1">
        <v>75</v>
      </c>
      <c r="C411" s="1">
        <v>47</v>
      </c>
      <c r="D411" t="str">
        <f>VLOOKUP(B411,Заказы!A:C,3,0)</f>
        <v>2023-03-29 17:54:00</v>
      </c>
      <c r="E411" t="str">
        <f>VLOOKUP(C411,Меню!A:E,4,0)</f>
        <v>Суши</v>
      </c>
      <c r="F411">
        <f>VLOOKUP(C411,Меню!A:E,5,0)</f>
        <v>200</v>
      </c>
    </row>
    <row r="412" spans="1:6" ht="15.75" hidden="1" customHeight="1" x14ac:dyDescent="0.35">
      <c r="A412" s="1">
        <v>411</v>
      </c>
      <c r="B412" s="1">
        <v>76</v>
      </c>
      <c r="C412" s="1">
        <v>10</v>
      </c>
      <c r="D412" t="str">
        <f>VLOOKUP(B412,Заказы!A:C,3,0)</f>
        <v>2023-03-29 18:35:00</v>
      </c>
      <c r="E412" t="str">
        <f>VLOOKUP(C412,Меню!A:E,4,0)</f>
        <v>Завтрак</v>
      </c>
      <c r="F412">
        <f>VLOOKUP(C412,Меню!A:E,5,0)</f>
        <v>200</v>
      </c>
    </row>
    <row r="413" spans="1:6" ht="15.75" hidden="1" customHeight="1" x14ac:dyDescent="0.35">
      <c r="A413" s="1">
        <v>412</v>
      </c>
      <c r="B413" s="1">
        <v>76</v>
      </c>
      <c r="C413" s="1">
        <v>49</v>
      </c>
      <c r="D413" t="str">
        <f>VLOOKUP(B413,Заказы!A:C,3,0)</f>
        <v>2023-03-29 18:35:00</v>
      </c>
      <c r="E413" t="str">
        <f>VLOOKUP(C413,Меню!A:E,4,0)</f>
        <v>Суши</v>
      </c>
      <c r="F413">
        <f>VLOOKUP(C413,Меню!A:E,5,0)</f>
        <v>200</v>
      </c>
    </row>
    <row r="414" spans="1:6" ht="15.75" hidden="1" customHeight="1" x14ac:dyDescent="0.35">
      <c r="A414" s="1">
        <v>413</v>
      </c>
      <c r="B414" s="1">
        <v>76</v>
      </c>
      <c r="C414" s="1">
        <v>13</v>
      </c>
      <c r="D414" t="str">
        <f>VLOOKUP(B414,Заказы!A:C,3,0)</f>
        <v>2023-03-29 18:35:00</v>
      </c>
      <c r="E414" t="str">
        <f>VLOOKUP(C414,Меню!A:E,4,0)</f>
        <v>Первое</v>
      </c>
      <c r="F414">
        <f>VLOOKUP(C414,Меню!A:E,5,0)</f>
        <v>280</v>
      </c>
    </row>
    <row r="415" spans="1:6" ht="15.75" hidden="1" customHeight="1" x14ac:dyDescent="0.35">
      <c r="A415" s="1">
        <v>414</v>
      </c>
      <c r="B415" s="1">
        <v>76</v>
      </c>
      <c r="C415" s="1">
        <v>52</v>
      </c>
      <c r="D415" t="str">
        <f>VLOOKUP(B415,Заказы!A:C,3,0)</f>
        <v>2023-03-29 18:35:00</v>
      </c>
      <c r="E415" t="str">
        <f>VLOOKUP(C415,Меню!A:E,4,0)</f>
        <v>Суши</v>
      </c>
      <c r="F415">
        <f>VLOOKUP(C415,Меню!A:E,5,0)</f>
        <v>100</v>
      </c>
    </row>
    <row r="416" spans="1:6" ht="15.75" hidden="1" customHeight="1" x14ac:dyDescent="0.35">
      <c r="A416" s="1">
        <v>415</v>
      </c>
      <c r="B416" s="1">
        <v>76</v>
      </c>
      <c r="C416" s="1">
        <v>45</v>
      </c>
      <c r="D416" t="str">
        <f>VLOOKUP(B416,Заказы!A:C,3,0)</f>
        <v>2023-03-29 18:35:00</v>
      </c>
      <c r="E416" t="str">
        <f>VLOOKUP(C416,Меню!A:E,4,0)</f>
        <v>Суши</v>
      </c>
      <c r="F416">
        <f>VLOOKUP(C416,Меню!A:E,5,0)</f>
        <v>200</v>
      </c>
    </row>
    <row r="417" spans="1:6" ht="15.75" hidden="1" customHeight="1" x14ac:dyDescent="0.35">
      <c r="A417" s="1">
        <v>416</v>
      </c>
      <c r="B417" s="1">
        <v>76</v>
      </c>
      <c r="C417" s="1">
        <v>36</v>
      </c>
      <c r="D417" t="str">
        <f>VLOOKUP(B417,Заказы!A:C,3,0)</f>
        <v>2023-03-29 18:35:00</v>
      </c>
      <c r="E417" t="str">
        <f>VLOOKUP(C417,Меню!A:E,4,0)</f>
        <v>Десерт</v>
      </c>
      <c r="F417">
        <f>VLOOKUP(C417,Меню!A:E,5,0)</f>
        <v>150</v>
      </c>
    </row>
    <row r="418" spans="1:6" ht="15.75" hidden="1" customHeight="1" x14ac:dyDescent="0.35">
      <c r="A418" s="1">
        <v>417</v>
      </c>
      <c r="B418" s="1">
        <v>76</v>
      </c>
      <c r="C418" s="1">
        <v>39</v>
      </c>
      <c r="D418" t="str">
        <f>VLOOKUP(B418,Заказы!A:C,3,0)</f>
        <v>2023-03-29 18:35:00</v>
      </c>
      <c r="E418" t="str">
        <f>VLOOKUP(C418,Меню!A:E,4,0)</f>
        <v>Десерт</v>
      </c>
      <c r="F418">
        <f>VLOOKUP(C418,Меню!A:E,5,0)</f>
        <v>150</v>
      </c>
    </row>
    <row r="419" spans="1:6" ht="15.75" hidden="1" customHeight="1" x14ac:dyDescent="0.35">
      <c r="A419" s="1">
        <v>418</v>
      </c>
      <c r="B419" s="1">
        <v>76</v>
      </c>
      <c r="C419" s="1">
        <v>27</v>
      </c>
      <c r="D419" t="str">
        <f>VLOOKUP(B419,Заказы!A:C,3,0)</f>
        <v>2023-03-29 18:35:00</v>
      </c>
      <c r="E419" t="str">
        <f>VLOOKUP(C419,Меню!A:E,4,0)</f>
        <v>Салат</v>
      </c>
      <c r="F419">
        <f>VLOOKUP(C419,Меню!A:E,5,0)</f>
        <v>250</v>
      </c>
    </row>
    <row r="420" spans="1:6" ht="15.75" hidden="1" customHeight="1" x14ac:dyDescent="0.35">
      <c r="A420" s="1">
        <v>419</v>
      </c>
      <c r="B420" s="1">
        <v>76</v>
      </c>
      <c r="C420" s="1">
        <v>37</v>
      </c>
      <c r="D420" t="str">
        <f>VLOOKUP(B420,Заказы!A:C,3,0)</f>
        <v>2023-03-29 18:35:00</v>
      </c>
      <c r="E420" t="str">
        <f>VLOOKUP(C420,Меню!A:E,4,0)</f>
        <v>Десерт</v>
      </c>
      <c r="F420">
        <f>VLOOKUP(C420,Меню!A:E,5,0)</f>
        <v>100</v>
      </c>
    </row>
    <row r="421" spans="1:6" ht="15.75" hidden="1" customHeight="1" x14ac:dyDescent="0.35">
      <c r="A421" s="1">
        <v>420</v>
      </c>
      <c r="B421" s="1">
        <v>76</v>
      </c>
      <c r="C421" s="1">
        <v>11</v>
      </c>
      <c r="D421" t="str">
        <f>VLOOKUP(B421,Заказы!A:C,3,0)</f>
        <v>2023-03-29 18:35:00</v>
      </c>
      <c r="E421" t="str">
        <f>VLOOKUP(C421,Меню!A:E,4,0)</f>
        <v>Первое</v>
      </c>
      <c r="F421">
        <f>VLOOKUP(C421,Меню!A:E,5,0)</f>
        <v>300</v>
      </c>
    </row>
    <row r="422" spans="1:6" ht="15.75" hidden="1" customHeight="1" x14ac:dyDescent="0.35">
      <c r="A422" s="1">
        <v>421</v>
      </c>
      <c r="B422" s="1">
        <v>76</v>
      </c>
      <c r="C422" s="1">
        <v>8</v>
      </c>
      <c r="D422" t="str">
        <f>VLOOKUP(B422,Заказы!A:C,3,0)</f>
        <v>2023-03-29 18:35:00</v>
      </c>
      <c r="E422" t="str">
        <f>VLOOKUP(C422,Меню!A:E,4,0)</f>
        <v>Завтрак</v>
      </c>
      <c r="F422">
        <f>VLOOKUP(C422,Меню!A:E,5,0)</f>
        <v>180</v>
      </c>
    </row>
    <row r="423" spans="1:6" ht="15.75" hidden="1" customHeight="1" x14ac:dyDescent="0.35">
      <c r="A423" s="1">
        <v>422</v>
      </c>
      <c r="B423" s="1">
        <v>77</v>
      </c>
      <c r="C423" s="1">
        <v>29</v>
      </c>
      <c r="D423" t="str">
        <f>VLOOKUP(B423,Заказы!A:C,3,0)</f>
        <v>2023-03-29 19:01:00</v>
      </c>
      <c r="E423" t="str">
        <f>VLOOKUP(C423,Меню!A:E,4,0)</f>
        <v>Салат</v>
      </c>
      <c r="F423">
        <f>VLOOKUP(C423,Меню!A:E,5,0)</f>
        <v>250</v>
      </c>
    </row>
    <row r="424" spans="1:6" ht="15.75" hidden="1" customHeight="1" x14ac:dyDescent="0.35">
      <c r="A424" s="1">
        <v>423</v>
      </c>
      <c r="B424" s="1">
        <v>77</v>
      </c>
      <c r="C424" s="1">
        <v>43</v>
      </c>
      <c r="D424" t="str">
        <f>VLOOKUP(B424,Заказы!A:C,3,0)</f>
        <v>2023-03-29 19:01:00</v>
      </c>
      <c r="E424" t="str">
        <f>VLOOKUP(C424,Меню!A:E,4,0)</f>
        <v>Суши</v>
      </c>
      <c r="F424">
        <f>VLOOKUP(C424,Меню!A:E,5,0)</f>
        <v>250</v>
      </c>
    </row>
    <row r="425" spans="1:6" ht="15.75" hidden="1" customHeight="1" x14ac:dyDescent="0.35">
      <c r="A425" s="1">
        <v>424</v>
      </c>
      <c r="B425" s="1">
        <v>77</v>
      </c>
      <c r="C425" s="1">
        <v>51</v>
      </c>
      <c r="D425" t="str">
        <f>VLOOKUP(B425,Заказы!A:C,3,0)</f>
        <v>2023-03-29 19:01:00</v>
      </c>
      <c r="E425" t="str">
        <f>VLOOKUP(C425,Меню!A:E,4,0)</f>
        <v>Суши</v>
      </c>
      <c r="F425">
        <f>VLOOKUP(C425,Меню!A:E,5,0)</f>
        <v>100</v>
      </c>
    </row>
    <row r="426" spans="1:6" ht="15.75" hidden="1" customHeight="1" x14ac:dyDescent="0.35">
      <c r="A426" s="1">
        <v>425</v>
      </c>
      <c r="B426" s="1">
        <v>77</v>
      </c>
      <c r="C426" s="1">
        <v>57</v>
      </c>
      <c r="D426" t="str">
        <f>VLOOKUP(B426,Заказы!A:C,3,0)</f>
        <v>2023-03-29 19:01:00</v>
      </c>
      <c r="E426" t="str">
        <f>VLOOKUP(C426,Меню!A:E,4,0)</f>
        <v>Суши</v>
      </c>
      <c r="F426">
        <f>VLOOKUP(C426,Меню!A:E,5,0)</f>
        <v>200</v>
      </c>
    </row>
    <row r="427" spans="1:6" ht="15.75" hidden="1" customHeight="1" x14ac:dyDescent="0.35">
      <c r="A427" s="1">
        <v>426</v>
      </c>
      <c r="B427" s="1">
        <v>78</v>
      </c>
      <c r="C427" s="1">
        <v>21</v>
      </c>
      <c r="D427" t="str">
        <f>VLOOKUP(B427,Заказы!A:C,3,0)</f>
        <v>2023-03-29 19:19:00</v>
      </c>
      <c r="E427" t="str">
        <f>VLOOKUP(C427,Меню!A:E,4,0)</f>
        <v>Салат</v>
      </c>
      <c r="F427">
        <f>VLOOKUP(C427,Меню!A:E,5,0)</f>
        <v>250</v>
      </c>
    </row>
    <row r="428" spans="1:6" ht="15.75" hidden="1" customHeight="1" x14ac:dyDescent="0.35">
      <c r="A428" s="1">
        <v>427</v>
      </c>
      <c r="B428" s="1">
        <v>78</v>
      </c>
      <c r="C428" s="1">
        <v>50</v>
      </c>
      <c r="D428" t="str">
        <f>VLOOKUP(B428,Заказы!A:C,3,0)</f>
        <v>2023-03-29 19:19:00</v>
      </c>
      <c r="E428" t="str">
        <f>VLOOKUP(C428,Меню!A:E,4,0)</f>
        <v>Суши</v>
      </c>
      <c r="F428">
        <f>VLOOKUP(C428,Меню!A:E,5,0)</f>
        <v>200</v>
      </c>
    </row>
    <row r="429" spans="1:6" ht="15.75" hidden="1" customHeight="1" x14ac:dyDescent="0.35">
      <c r="A429" s="1">
        <v>428</v>
      </c>
      <c r="B429" s="1">
        <v>78</v>
      </c>
      <c r="C429" s="1">
        <v>22</v>
      </c>
      <c r="D429" t="str">
        <f>VLOOKUP(B429,Заказы!A:C,3,0)</f>
        <v>2023-03-29 19:19:00</v>
      </c>
      <c r="E429" t="str">
        <f>VLOOKUP(C429,Меню!A:E,4,0)</f>
        <v>Салат</v>
      </c>
      <c r="F429">
        <f>VLOOKUP(C429,Меню!A:E,5,0)</f>
        <v>250</v>
      </c>
    </row>
    <row r="430" spans="1:6" ht="15.75" hidden="1" customHeight="1" x14ac:dyDescent="0.35">
      <c r="A430" s="1">
        <v>429</v>
      </c>
      <c r="B430" s="1">
        <v>78</v>
      </c>
      <c r="C430" s="1">
        <v>20</v>
      </c>
      <c r="D430" t="str">
        <f>VLOOKUP(B430,Заказы!A:C,3,0)</f>
        <v>2023-03-29 19:19:00</v>
      </c>
      <c r="E430" t="str">
        <f>VLOOKUP(C430,Меню!A:E,4,0)</f>
        <v>Первое</v>
      </c>
      <c r="F430">
        <f>VLOOKUP(C430,Меню!A:E,5,0)</f>
        <v>250</v>
      </c>
    </row>
    <row r="431" spans="1:6" ht="15.75" hidden="1" customHeight="1" x14ac:dyDescent="0.35">
      <c r="A431" s="1">
        <v>430</v>
      </c>
      <c r="B431" s="1">
        <v>78</v>
      </c>
      <c r="C431" s="1">
        <v>43</v>
      </c>
      <c r="D431" t="str">
        <f>VLOOKUP(B431,Заказы!A:C,3,0)</f>
        <v>2023-03-29 19:19:00</v>
      </c>
      <c r="E431" t="str">
        <f>VLOOKUP(C431,Меню!A:E,4,0)</f>
        <v>Суши</v>
      </c>
      <c r="F431">
        <f>VLOOKUP(C431,Меню!A:E,5,0)</f>
        <v>250</v>
      </c>
    </row>
    <row r="432" spans="1:6" ht="15.75" hidden="1" customHeight="1" x14ac:dyDescent="0.35">
      <c r="A432" s="1">
        <v>431</v>
      </c>
      <c r="B432" s="1">
        <v>79</v>
      </c>
      <c r="C432" s="1">
        <v>20</v>
      </c>
      <c r="D432" t="str">
        <f>VLOOKUP(B432,Заказы!A:C,3,0)</f>
        <v>2023-03-29 21:14:00</v>
      </c>
      <c r="E432" t="str">
        <f>VLOOKUP(C432,Меню!A:E,4,0)</f>
        <v>Первое</v>
      </c>
      <c r="F432">
        <f>VLOOKUP(C432,Меню!A:E,5,0)</f>
        <v>250</v>
      </c>
    </row>
    <row r="433" spans="1:6" ht="15.75" hidden="1" customHeight="1" x14ac:dyDescent="0.35">
      <c r="A433" s="1">
        <v>432</v>
      </c>
      <c r="B433" s="1">
        <v>79</v>
      </c>
      <c r="C433" s="1">
        <v>26</v>
      </c>
      <c r="D433" t="str">
        <f>VLOOKUP(B433,Заказы!A:C,3,0)</f>
        <v>2023-03-29 21:14:00</v>
      </c>
      <c r="E433" t="str">
        <f>VLOOKUP(C433,Меню!A:E,4,0)</f>
        <v>Салат</v>
      </c>
      <c r="F433">
        <f>VLOOKUP(C433,Меню!A:E,5,0)</f>
        <v>250</v>
      </c>
    </row>
    <row r="434" spans="1:6" ht="15.75" hidden="1" customHeight="1" x14ac:dyDescent="0.35">
      <c r="A434" s="1">
        <v>433</v>
      </c>
      <c r="B434" s="1">
        <v>79</v>
      </c>
      <c r="C434" s="1">
        <v>35</v>
      </c>
      <c r="D434" t="str">
        <f>VLOOKUP(B434,Заказы!A:C,3,0)</f>
        <v>2023-03-29 21:14:00</v>
      </c>
      <c r="E434" t="str">
        <f>VLOOKUP(C434,Меню!A:E,4,0)</f>
        <v>Десерт</v>
      </c>
      <c r="F434">
        <f>VLOOKUP(C434,Меню!A:E,5,0)</f>
        <v>150</v>
      </c>
    </row>
    <row r="435" spans="1:6" ht="15.75" hidden="1" customHeight="1" x14ac:dyDescent="0.35">
      <c r="A435" s="1">
        <v>434</v>
      </c>
      <c r="B435" s="1">
        <v>79</v>
      </c>
      <c r="C435" s="1">
        <v>12</v>
      </c>
      <c r="D435" t="str">
        <f>VLOOKUP(B435,Заказы!A:C,3,0)</f>
        <v>2023-03-29 21:14:00</v>
      </c>
      <c r="E435" t="str">
        <f>VLOOKUP(C435,Меню!A:E,4,0)</f>
        <v>Первое</v>
      </c>
      <c r="F435">
        <f>VLOOKUP(C435,Меню!A:E,5,0)</f>
        <v>300</v>
      </c>
    </row>
    <row r="436" spans="1:6" ht="15.75" hidden="1" customHeight="1" x14ac:dyDescent="0.35">
      <c r="A436" s="1">
        <v>435</v>
      </c>
      <c r="B436" s="1">
        <v>79</v>
      </c>
      <c r="C436" s="1">
        <v>52</v>
      </c>
      <c r="D436" t="str">
        <f>VLOOKUP(B436,Заказы!A:C,3,0)</f>
        <v>2023-03-29 21:14:00</v>
      </c>
      <c r="E436" t="str">
        <f>VLOOKUP(C436,Меню!A:E,4,0)</f>
        <v>Суши</v>
      </c>
      <c r="F436">
        <f>VLOOKUP(C436,Меню!A:E,5,0)</f>
        <v>100</v>
      </c>
    </row>
    <row r="437" spans="1:6" ht="15.75" hidden="1" customHeight="1" x14ac:dyDescent="0.35">
      <c r="A437" s="1">
        <v>436</v>
      </c>
      <c r="B437" s="1">
        <v>79</v>
      </c>
      <c r="C437" s="1">
        <v>59</v>
      </c>
      <c r="D437" t="str">
        <f>VLOOKUP(B437,Заказы!A:C,3,0)</f>
        <v>2023-03-29 21:14:00</v>
      </c>
      <c r="E437" t="str">
        <f>VLOOKUP(C437,Меню!A:E,4,0)</f>
        <v>Суши</v>
      </c>
      <c r="F437">
        <f>VLOOKUP(C437,Меню!A:E,5,0)</f>
        <v>300</v>
      </c>
    </row>
    <row r="438" spans="1:6" ht="15.75" hidden="1" customHeight="1" x14ac:dyDescent="0.35">
      <c r="A438" s="1">
        <v>437</v>
      </c>
      <c r="B438" s="1">
        <v>79</v>
      </c>
      <c r="C438" s="1">
        <v>43</v>
      </c>
      <c r="D438" t="str">
        <f>VLOOKUP(B438,Заказы!A:C,3,0)</f>
        <v>2023-03-29 21:14:00</v>
      </c>
      <c r="E438" t="str">
        <f>VLOOKUP(C438,Меню!A:E,4,0)</f>
        <v>Суши</v>
      </c>
      <c r="F438">
        <f>VLOOKUP(C438,Меню!A:E,5,0)</f>
        <v>250</v>
      </c>
    </row>
    <row r="439" spans="1:6" ht="15.75" hidden="1" customHeight="1" x14ac:dyDescent="0.35">
      <c r="A439" s="1">
        <v>438</v>
      </c>
      <c r="B439" s="1">
        <v>80</v>
      </c>
      <c r="C439" s="1">
        <v>22</v>
      </c>
      <c r="D439" t="str">
        <f>VLOOKUP(B439,Заказы!A:C,3,0)</f>
        <v>2023-03-30 15:29:00</v>
      </c>
      <c r="E439" t="str">
        <f>VLOOKUP(C439,Меню!A:E,4,0)</f>
        <v>Салат</v>
      </c>
      <c r="F439">
        <f>VLOOKUP(C439,Меню!A:E,5,0)</f>
        <v>250</v>
      </c>
    </row>
    <row r="440" spans="1:6" ht="15.75" hidden="1" customHeight="1" x14ac:dyDescent="0.35">
      <c r="A440" s="1">
        <v>439</v>
      </c>
      <c r="B440" s="1">
        <v>80</v>
      </c>
      <c r="C440" s="1">
        <v>1</v>
      </c>
      <c r="D440" t="str">
        <f>VLOOKUP(B440,Заказы!A:C,3,0)</f>
        <v>2023-03-30 15:29:00</v>
      </c>
      <c r="E440" t="str">
        <f>VLOOKUP(C440,Меню!A:E,4,0)</f>
        <v>Завтрак</v>
      </c>
      <c r="F440">
        <f>VLOOKUP(C440,Меню!A:E,5,0)</f>
        <v>200</v>
      </c>
    </row>
    <row r="441" spans="1:6" ht="15.75" hidden="1" customHeight="1" x14ac:dyDescent="0.35">
      <c r="A441" s="1">
        <v>440</v>
      </c>
      <c r="B441" s="1">
        <v>80</v>
      </c>
      <c r="C441" s="1">
        <v>10</v>
      </c>
      <c r="D441" t="str">
        <f>VLOOKUP(B441,Заказы!A:C,3,0)</f>
        <v>2023-03-30 15:29:00</v>
      </c>
      <c r="E441" t="str">
        <f>VLOOKUP(C441,Меню!A:E,4,0)</f>
        <v>Завтрак</v>
      </c>
      <c r="F441">
        <f>VLOOKUP(C441,Меню!A:E,5,0)</f>
        <v>200</v>
      </c>
    </row>
    <row r="442" spans="1:6" ht="15.75" hidden="1" customHeight="1" x14ac:dyDescent="0.35">
      <c r="A442" s="1">
        <v>441</v>
      </c>
      <c r="B442" s="1">
        <v>81</v>
      </c>
      <c r="C442" s="1">
        <v>43</v>
      </c>
      <c r="D442" t="str">
        <f>VLOOKUP(B442,Заказы!A:C,3,0)</f>
        <v>2023-03-30 15:48:00</v>
      </c>
      <c r="E442" t="str">
        <f>VLOOKUP(C442,Меню!A:E,4,0)</f>
        <v>Суши</v>
      </c>
      <c r="F442">
        <f>VLOOKUP(C442,Меню!A:E,5,0)</f>
        <v>250</v>
      </c>
    </row>
    <row r="443" spans="1:6" ht="15.75" hidden="1" customHeight="1" x14ac:dyDescent="0.35">
      <c r="A443" s="1">
        <v>442</v>
      </c>
      <c r="B443" s="1">
        <v>81</v>
      </c>
      <c r="C443" s="1">
        <v>49</v>
      </c>
      <c r="D443" t="str">
        <f>VLOOKUP(B443,Заказы!A:C,3,0)</f>
        <v>2023-03-30 15:48:00</v>
      </c>
      <c r="E443" t="str">
        <f>VLOOKUP(C443,Меню!A:E,4,0)</f>
        <v>Суши</v>
      </c>
      <c r="F443">
        <f>VLOOKUP(C443,Меню!A:E,5,0)</f>
        <v>200</v>
      </c>
    </row>
    <row r="444" spans="1:6" ht="15.75" hidden="1" customHeight="1" x14ac:dyDescent="0.35">
      <c r="A444" s="1">
        <v>443</v>
      </c>
      <c r="B444" s="1">
        <v>81</v>
      </c>
      <c r="C444" s="1">
        <v>36</v>
      </c>
      <c r="D444" t="str">
        <f>VLOOKUP(B444,Заказы!A:C,3,0)</f>
        <v>2023-03-30 15:48:00</v>
      </c>
      <c r="E444" t="str">
        <f>VLOOKUP(C444,Меню!A:E,4,0)</f>
        <v>Десерт</v>
      </c>
      <c r="F444">
        <f>VLOOKUP(C444,Меню!A:E,5,0)</f>
        <v>150</v>
      </c>
    </row>
    <row r="445" spans="1:6" ht="15.75" hidden="1" customHeight="1" x14ac:dyDescent="0.35">
      <c r="A445" s="1">
        <v>444</v>
      </c>
      <c r="B445" s="1">
        <v>81</v>
      </c>
      <c r="C445" s="1">
        <v>2</v>
      </c>
      <c r="D445" t="str">
        <f>VLOOKUP(B445,Заказы!A:C,3,0)</f>
        <v>2023-03-30 15:48:00</v>
      </c>
      <c r="E445" t="str">
        <f>VLOOKUP(C445,Меню!A:E,4,0)</f>
        <v>Завтрак</v>
      </c>
      <c r="F445">
        <f>VLOOKUP(C445,Меню!A:E,5,0)</f>
        <v>250</v>
      </c>
    </row>
    <row r="446" spans="1:6" ht="15.75" hidden="1" customHeight="1" x14ac:dyDescent="0.35">
      <c r="A446" s="1">
        <v>445</v>
      </c>
      <c r="B446" s="1">
        <v>82</v>
      </c>
      <c r="C446" s="1">
        <v>7</v>
      </c>
      <c r="D446" t="str">
        <f>VLOOKUP(B446,Заказы!A:C,3,0)</f>
        <v>2023-03-30 17:28:00</v>
      </c>
      <c r="E446" t="str">
        <f>VLOOKUP(C446,Меню!A:E,4,0)</f>
        <v>Завтрак</v>
      </c>
      <c r="F446">
        <f>VLOOKUP(C446,Меню!A:E,5,0)</f>
        <v>200</v>
      </c>
    </row>
    <row r="447" spans="1:6" ht="15.75" hidden="1" customHeight="1" x14ac:dyDescent="0.35">
      <c r="A447" s="1">
        <v>446</v>
      </c>
      <c r="B447" s="1">
        <v>83</v>
      </c>
      <c r="C447" s="1">
        <v>27</v>
      </c>
      <c r="D447" t="str">
        <f>VLOOKUP(B447,Заказы!A:C,3,0)</f>
        <v>2023-03-30 17:39:00</v>
      </c>
      <c r="E447" t="str">
        <f>VLOOKUP(C447,Меню!A:E,4,0)</f>
        <v>Салат</v>
      </c>
      <c r="F447">
        <f>VLOOKUP(C447,Меню!A:E,5,0)</f>
        <v>250</v>
      </c>
    </row>
    <row r="448" spans="1:6" ht="15.75" hidden="1" customHeight="1" x14ac:dyDescent="0.35">
      <c r="A448" s="1">
        <v>447</v>
      </c>
      <c r="B448" s="1">
        <v>84</v>
      </c>
      <c r="C448" s="1">
        <v>28</v>
      </c>
      <c r="D448" t="str">
        <f>VLOOKUP(B448,Заказы!A:C,3,0)</f>
        <v>2023-03-30 18:57:00</v>
      </c>
      <c r="E448" t="str">
        <f>VLOOKUP(C448,Меню!A:E,4,0)</f>
        <v>Салат</v>
      </c>
      <c r="F448">
        <f>VLOOKUP(C448,Меню!A:E,5,0)</f>
        <v>250</v>
      </c>
    </row>
    <row r="449" spans="1:6" ht="15.75" hidden="1" customHeight="1" x14ac:dyDescent="0.35">
      <c r="A449" s="1">
        <v>448</v>
      </c>
      <c r="B449" s="1">
        <v>84</v>
      </c>
      <c r="C449" s="1">
        <v>21</v>
      </c>
      <c r="D449" t="str">
        <f>VLOOKUP(B449,Заказы!A:C,3,0)</f>
        <v>2023-03-30 18:57:00</v>
      </c>
      <c r="E449" t="str">
        <f>VLOOKUP(C449,Меню!A:E,4,0)</f>
        <v>Салат</v>
      </c>
      <c r="F449">
        <f>VLOOKUP(C449,Меню!A:E,5,0)</f>
        <v>250</v>
      </c>
    </row>
    <row r="450" spans="1:6" ht="15.75" hidden="1" customHeight="1" x14ac:dyDescent="0.35">
      <c r="A450" s="1">
        <v>449</v>
      </c>
      <c r="B450" s="1">
        <v>84</v>
      </c>
      <c r="C450" s="1">
        <v>55</v>
      </c>
      <c r="D450" t="str">
        <f>VLOOKUP(B450,Заказы!A:C,3,0)</f>
        <v>2023-03-30 18:57:00</v>
      </c>
      <c r="E450" t="str">
        <f>VLOOKUP(C450,Меню!A:E,4,0)</f>
        <v>Суши</v>
      </c>
      <c r="F450">
        <f>VLOOKUP(C450,Меню!A:E,5,0)</f>
        <v>100</v>
      </c>
    </row>
    <row r="451" spans="1:6" ht="15.75" hidden="1" customHeight="1" x14ac:dyDescent="0.35">
      <c r="A451" s="1">
        <v>450</v>
      </c>
      <c r="B451" s="1">
        <v>84</v>
      </c>
      <c r="C451" s="1">
        <v>23</v>
      </c>
      <c r="D451" t="str">
        <f>VLOOKUP(B451,Заказы!A:C,3,0)</f>
        <v>2023-03-30 18:57:00</v>
      </c>
      <c r="E451" t="str">
        <f>VLOOKUP(C451,Меню!A:E,4,0)</f>
        <v>Салат</v>
      </c>
      <c r="F451">
        <f>VLOOKUP(C451,Меню!A:E,5,0)</f>
        <v>250</v>
      </c>
    </row>
    <row r="452" spans="1:6" ht="15.75" hidden="1" customHeight="1" x14ac:dyDescent="0.35">
      <c r="A452" s="1">
        <v>451</v>
      </c>
      <c r="B452" s="1">
        <v>84</v>
      </c>
      <c r="C452" s="1">
        <v>6</v>
      </c>
      <c r="D452" t="str">
        <f>VLOOKUP(B452,Заказы!A:C,3,0)</f>
        <v>2023-03-30 18:57:00</v>
      </c>
      <c r="E452" t="str">
        <f>VLOOKUP(C452,Меню!A:E,4,0)</f>
        <v>Завтрак</v>
      </c>
      <c r="F452">
        <f>VLOOKUP(C452,Меню!A:E,5,0)</f>
        <v>300</v>
      </c>
    </row>
    <row r="453" spans="1:6" ht="15.75" hidden="1" customHeight="1" x14ac:dyDescent="0.35">
      <c r="A453" s="1">
        <v>452</v>
      </c>
      <c r="B453" s="1">
        <v>84</v>
      </c>
      <c r="C453" s="1">
        <v>50</v>
      </c>
      <c r="D453" t="str">
        <f>VLOOKUP(B453,Заказы!A:C,3,0)</f>
        <v>2023-03-30 18:57:00</v>
      </c>
      <c r="E453" t="str">
        <f>VLOOKUP(C453,Меню!A:E,4,0)</f>
        <v>Суши</v>
      </c>
      <c r="F453">
        <f>VLOOKUP(C453,Меню!A:E,5,0)</f>
        <v>200</v>
      </c>
    </row>
    <row r="454" spans="1:6" ht="15.75" hidden="1" customHeight="1" x14ac:dyDescent="0.35">
      <c r="A454" s="1">
        <v>453</v>
      </c>
      <c r="B454" s="1">
        <v>84</v>
      </c>
      <c r="C454" s="1">
        <v>22</v>
      </c>
      <c r="D454" t="str">
        <f>VLOOKUP(B454,Заказы!A:C,3,0)</f>
        <v>2023-03-30 18:57:00</v>
      </c>
      <c r="E454" t="str">
        <f>VLOOKUP(C454,Меню!A:E,4,0)</f>
        <v>Салат</v>
      </c>
      <c r="F454">
        <f>VLOOKUP(C454,Меню!A:E,5,0)</f>
        <v>250</v>
      </c>
    </row>
    <row r="455" spans="1:6" ht="15.75" hidden="1" customHeight="1" x14ac:dyDescent="0.35">
      <c r="A455" s="1">
        <v>454</v>
      </c>
      <c r="B455" s="1">
        <v>84</v>
      </c>
      <c r="C455" s="1">
        <v>36</v>
      </c>
      <c r="D455" t="str">
        <f>VLOOKUP(B455,Заказы!A:C,3,0)</f>
        <v>2023-03-30 18:57:00</v>
      </c>
      <c r="E455" t="str">
        <f>VLOOKUP(C455,Меню!A:E,4,0)</f>
        <v>Десерт</v>
      </c>
      <c r="F455">
        <f>VLOOKUP(C455,Меню!A:E,5,0)</f>
        <v>150</v>
      </c>
    </row>
    <row r="456" spans="1:6" ht="15.75" hidden="1" customHeight="1" x14ac:dyDescent="0.35">
      <c r="A456" s="1">
        <v>455</v>
      </c>
      <c r="B456" s="1">
        <v>85</v>
      </c>
      <c r="C456" s="1">
        <v>36</v>
      </c>
      <c r="D456" t="str">
        <f>VLOOKUP(B456,Заказы!A:C,3,0)</f>
        <v>2023-03-30 19:51:00</v>
      </c>
      <c r="E456" t="str">
        <f>VLOOKUP(C456,Меню!A:E,4,0)</f>
        <v>Десерт</v>
      </c>
      <c r="F456">
        <f>VLOOKUP(C456,Меню!A:E,5,0)</f>
        <v>150</v>
      </c>
    </row>
    <row r="457" spans="1:6" ht="15.75" hidden="1" customHeight="1" x14ac:dyDescent="0.35">
      <c r="A457" s="1">
        <v>456</v>
      </c>
      <c r="B457" s="1">
        <v>85</v>
      </c>
      <c r="C457" s="1">
        <v>53</v>
      </c>
      <c r="D457" t="str">
        <f>VLOOKUP(B457,Заказы!A:C,3,0)</f>
        <v>2023-03-30 19:51:00</v>
      </c>
      <c r="E457" t="str">
        <f>VLOOKUP(C457,Меню!A:E,4,0)</f>
        <v>Суши</v>
      </c>
      <c r="F457">
        <f>VLOOKUP(C457,Меню!A:E,5,0)</f>
        <v>100</v>
      </c>
    </row>
    <row r="458" spans="1:6" ht="15.75" hidden="1" customHeight="1" x14ac:dyDescent="0.35">
      <c r="A458" s="1">
        <v>457</v>
      </c>
      <c r="B458" s="1">
        <v>85</v>
      </c>
      <c r="C458" s="1">
        <v>53</v>
      </c>
      <c r="D458" t="str">
        <f>VLOOKUP(B458,Заказы!A:C,3,0)</f>
        <v>2023-03-30 19:51:00</v>
      </c>
      <c r="E458" t="str">
        <f>VLOOKUP(C458,Меню!A:E,4,0)</f>
        <v>Суши</v>
      </c>
      <c r="F458">
        <f>VLOOKUP(C458,Меню!A:E,5,0)</f>
        <v>100</v>
      </c>
    </row>
    <row r="459" spans="1:6" ht="15.75" hidden="1" customHeight="1" x14ac:dyDescent="0.35">
      <c r="A459" s="1">
        <v>458</v>
      </c>
      <c r="B459" s="1">
        <v>85</v>
      </c>
      <c r="C459" s="1">
        <v>51</v>
      </c>
      <c r="D459" t="str">
        <f>VLOOKUP(B459,Заказы!A:C,3,0)</f>
        <v>2023-03-30 19:51:00</v>
      </c>
      <c r="E459" t="str">
        <f>VLOOKUP(C459,Меню!A:E,4,0)</f>
        <v>Суши</v>
      </c>
      <c r="F459">
        <f>VLOOKUP(C459,Меню!A:E,5,0)</f>
        <v>100</v>
      </c>
    </row>
    <row r="460" spans="1:6" ht="15.75" hidden="1" customHeight="1" x14ac:dyDescent="0.35">
      <c r="A460" s="1">
        <v>459</v>
      </c>
      <c r="B460" s="1">
        <v>85</v>
      </c>
      <c r="C460" s="1">
        <v>14</v>
      </c>
      <c r="D460" t="str">
        <f>VLOOKUP(B460,Заказы!A:C,3,0)</f>
        <v>2023-03-30 19:51:00</v>
      </c>
      <c r="E460" t="str">
        <f>VLOOKUP(C460,Меню!A:E,4,0)</f>
        <v>Первое</v>
      </c>
      <c r="F460">
        <f>VLOOKUP(C460,Меню!A:E,5,0)</f>
        <v>350</v>
      </c>
    </row>
    <row r="461" spans="1:6" ht="15.75" hidden="1" customHeight="1" x14ac:dyDescent="0.35">
      <c r="A461" s="1">
        <v>460</v>
      </c>
      <c r="B461" s="1">
        <v>85</v>
      </c>
      <c r="C461" s="1">
        <v>14</v>
      </c>
      <c r="D461" t="str">
        <f>VLOOKUP(B461,Заказы!A:C,3,0)</f>
        <v>2023-03-30 19:51:00</v>
      </c>
      <c r="E461" t="str">
        <f>VLOOKUP(C461,Меню!A:E,4,0)</f>
        <v>Первое</v>
      </c>
      <c r="F461">
        <f>VLOOKUP(C461,Меню!A:E,5,0)</f>
        <v>350</v>
      </c>
    </row>
    <row r="462" spans="1:6" ht="15.75" hidden="1" customHeight="1" x14ac:dyDescent="0.35">
      <c r="A462" s="1">
        <v>461</v>
      </c>
      <c r="B462" s="1">
        <v>85</v>
      </c>
      <c r="C462" s="1">
        <v>35</v>
      </c>
      <c r="D462" t="str">
        <f>VLOOKUP(B462,Заказы!A:C,3,0)</f>
        <v>2023-03-30 19:51:00</v>
      </c>
      <c r="E462" t="str">
        <f>VLOOKUP(C462,Меню!A:E,4,0)</f>
        <v>Десерт</v>
      </c>
      <c r="F462">
        <f>VLOOKUP(C462,Меню!A:E,5,0)</f>
        <v>150</v>
      </c>
    </row>
    <row r="463" spans="1:6" ht="15.75" hidden="1" customHeight="1" x14ac:dyDescent="0.35">
      <c r="A463" s="1">
        <v>462</v>
      </c>
      <c r="B463" s="1">
        <v>86</v>
      </c>
      <c r="C463" s="1">
        <v>14</v>
      </c>
      <c r="D463" t="str">
        <f>VLOOKUP(B463,Заказы!A:C,3,0)</f>
        <v>2023-03-30 22:09:00</v>
      </c>
      <c r="E463" t="str">
        <f>VLOOKUP(C463,Меню!A:E,4,0)</f>
        <v>Первое</v>
      </c>
      <c r="F463">
        <f>VLOOKUP(C463,Меню!A:E,5,0)</f>
        <v>350</v>
      </c>
    </row>
    <row r="464" spans="1:6" ht="15.75" hidden="1" customHeight="1" x14ac:dyDescent="0.35">
      <c r="A464" s="1">
        <v>463</v>
      </c>
      <c r="B464" s="1">
        <v>86</v>
      </c>
      <c r="C464" s="1">
        <v>7</v>
      </c>
      <c r="D464" t="str">
        <f>VLOOKUP(B464,Заказы!A:C,3,0)</f>
        <v>2023-03-30 22:09:00</v>
      </c>
      <c r="E464" t="str">
        <f>VLOOKUP(C464,Меню!A:E,4,0)</f>
        <v>Завтрак</v>
      </c>
      <c r="F464">
        <f>VLOOKUP(C464,Меню!A:E,5,0)</f>
        <v>200</v>
      </c>
    </row>
    <row r="465" spans="1:6" ht="15.75" hidden="1" customHeight="1" x14ac:dyDescent="0.35">
      <c r="A465" s="1">
        <v>464</v>
      </c>
      <c r="B465" s="1">
        <v>86</v>
      </c>
      <c r="C465" s="1">
        <v>14</v>
      </c>
      <c r="D465" t="str">
        <f>VLOOKUP(B465,Заказы!A:C,3,0)</f>
        <v>2023-03-30 22:09:00</v>
      </c>
      <c r="E465" t="str">
        <f>VLOOKUP(C465,Меню!A:E,4,0)</f>
        <v>Первое</v>
      </c>
      <c r="F465">
        <f>VLOOKUP(C465,Меню!A:E,5,0)</f>
        <v>350</v>
      </c>
    </row>
    <row r="466" spans="1:6" ht="15.75" hidden="1" customHeight="1" x14ac:dyDescent="0.35">
      <c r="A466" s="1">
        <v>465</v>
      </c>
      <c r="B466" s="1">
        <v>86</v>
      </c>
      <c r="C466" s="1">
        <v>9</v>
      </c>
      <c r="D466" t="str">
        <f>VLOOKUP(B466,Заказы!A:C,3,0)</f>
        <v>2023-03-30 22:09:00</v>
      </c>
      <c r="E466" t="str">
        <f>VLOOKUP(C466,Меню!A:E,4,0)</f>
        <v>Завтрак</v>
      </c>
      <c r="F466">
        <f>VLOOKUP(C466,Меню!A:E,5,0)</f>
        <v>220</v>
      </c>
    </row>
    <row r="467" spans="1:6" ht="15.75" hidden="1" customHeight="1" x14ac:dyDescent="0.35">
      <c r="A467" s="1">
        <v>466</v>
      </c>
      <c r="B467" s="1">
        <v>86</v>
      </c>
      <c r="C467" s="1">
        <v>22</v>
      </c>
      <c r="D467" t="str">
        <f>VLOOKUP(B467,Заказы!A:C,3,0)</f>
        <v>2023-03-30 22:09:00</v>
      </c>
      <c r="E467" t="str">
        <f>VLOOKUP(C467,Меню!A:E,4,0)</f>
        <v>Салат</v>
      </c>
      <c r="F467">
        <f>VLOOKUP(C467,Меню!A:E,5,0)</f>
        <v>250</v>
      </c>
    </row>
    <row r="468" spans="1:6" ht="15.75" hidden="1" customHeight="1" x14ac:dyDescent="0.35">
      <c r="A468" s="1">
        <v>467</v>
      </c>
      <c r="B468" s="1">
        <v>86</v>
      </c>
      <c r="C468" s="1">
        <v>1</v>
      </c>
      <c r="D468" t="str">
        <f>VLOOKUP(B468,Заказы!A:C,3,0)</f>
        <v>2023-03-30 22:09:00</v>
      </c>
      <c r="E468" t="str">
        <f>VLOOKUP(C468,Меню!A:E,4,0)</f>
        <v>Завтрак</v>
      </c>
      <c r="F468">
        <f>VLOOKUP(C468,Меню!A:E,5,0)</f>
        <v>200</v>
      </c>
    </row>
    <row r="469" spans="1:6" ht="15.75" hidden="1" customHeight="1" x14ac:dyDescent="0.35">
      <c r="A469" s="1">
        <v>468</v>
      </c>
      <c r="B469" s="1">
        <v>86</v>
      </c>
      <c r="C469" s="1">
        <v>42</v>
      </c>
      <c r="D469" t="str">
        <f>VLOOKUP(B469,Заказы!A:C,3,0)</f>
        <v>2023-03-30 22:09:00</v>
      </c>
      <c r="E469" t="str">
        <f>VLOOKUP(C469,Меню!A:E,4,0)</f>
        <v>Суши</v>
      </c>
      <c r="F469">
        <f>VLOOKUP(C469,Меню!A:E,5,0)</f>
        <v>250</v>
      </c>
    </row>
    <row r="470" spans="1:6" ht="15.75" hidden="1" customHeight="1" x14ac:dyDescent="0.35">
      <c r="A470" s="1">
        <v>469</v>
      </c>
      <c r="B470" s="1">
        <v>86</v>
      </c>
      <c r="C470" s="1">
        <v>56</v>
      </c>
      <c r="D470" t="str">
        <f>VLOOKUP(B470,Заказы!A:C,3,0)</f>
        <v>2023-03-30 22:09:00</v>
      </c>
      <c r="E470" t="str">
        <f>VLOOKUP(C470,Меню!A:E,4,0)</f>
        <v>Суши</v>
      </c>
      <c r="F470">
        <f>VLOOKUP(C470,Меню!A:E,5,0)</f>
        <v>200</v>
      </c>
    </row>
    <row r="471" spans="1:6" ht="15.75" hidden="1" customHeight="1" x14ac:dyDescent="0.35">
      <c r="A471" s="1">
        <v>470</v>
      </c>
      <c r="B471" s="1">
        <v>87</v>
      </c>
      <c r="C471" s="1">
        <v>43</v>
      </c>
      <c r="D471" t="str">
        <f>VLOOKUP(B471,Заказы!A:C,3,0)</f>
        <v>2023-03-31 19:42:00</v>
      </c>
      <c r="E471" t="str">
        <f>VLOOKUP(C471,Меню!A:E,4,0)</f>
        <v>Суши</v>
      </c>
      <c r="F471">
        <f>VLOOKUP(C471,Меню!A:E,5,0)</f>
        <v>250</v>
      </c>
    </row>
    <row r="472" spans="1:6" ht="15.75" hidden="1" customHeight="1" x14ac:dyDescent="0.35">
      <c r="A472" s="1">
        <v>471</v>
      </c>
      <c r="B472" s="1">
        <v>88</v>
      </c>
      <c r="C472" s="1">
        <v>57</v>
      </c>
      <c r="D472" t="str">
        <f>VLOOKUP(B472,Заказы!A:C,3,0)</f>
        <v>2023-03-31 20:56:00</v>
      </c>
      <c r="E472" t="str">
        <f>VLOOKUP(C472,Меню!A:E,4,0)</f>
        <v>Суши</v>
      </c>
      <c r="F472">
        <f>VLOOKUP(C472,Меню!A:E,5,0)</f>
        <v>200</v>
      </c>
    </row>
    <row r="473" spans="1:6" ht="15.75" hidden="1" customHeight="1" x14ac:dyDescent="0.35">
      <c r="A473" s="1">
        <v>472</v>
      </c>
      <c r="B473" s="1">
        <v>88</v>
      </c>
      <c r="C473" s="1">
        <v>24</v>
      </c>
      <c r="D473" t="str">
        <f>VLOOKUP(B473,Заказы!A:C,3,0)</f>
        <v>2023-03-31 20:56:00</v>
      </c>
      <c r="E473" t="str">
        <f>VLOOKUP(C473,Меню!A:E,4,0)</f>
        <v>Салат</v>
      </c>
      <c r="F473">
        <f>VLOOKUP(C473,Меню!A:E,5,0)</f>
        <v>250</v>
      </c>
    </row>
    <row r="474" spans="1:6" ht="15.75" hidden="1" customHeight="1" x14ac:dyDescent="0.35">
      <c r="A474" s="1">
        <v>473</v>
      </c>
      <c r="B474" s="1">
        <v>88</v>
      </c>
      <c r="C474" s="1">
        <v>7</v>
      </c>
      <c r="D474" t="str">
        <f>VLOOKUP(B474,Заказы!A:C,3,0)</f>
        <v>2023-03-31 20:56:00</v>
      </c>
      <c r="E474" t="str">
        <f>VLOOKUP(C474,Меню!A:E,4,0)</f>
        <v>Завтрак</v>
      </c>
      <c r="F474">
        <f>VLOOKUP(C474,Меню!A:E,5,0)</f>
        <v>200</v>
      </c>
    </row>
    <row r="475" spans="1:6" ht="15.75" hidden="1" customHeight="1" x14ac:dyDescent="0.35">
      <c r="A475" s="1">
        <v>474</v>
      </c>
      <c r="B475" s="1">
        <v>89</v>
      </c>
      <c r="C475" s="1">
        <v>31</v>
      </c>
      <c r="D475" t="str">
        <f>VLOOKUP(B475,Заказы!A:C,3,0)</f>
        <v>2023-03-31 21:16:00</v>
      </c>
      <c r="E475" t="str">
        <f>VLOOKUP(C475,Меню!A:E,4,0)</f>
        <v>Десерт</v>
      </c>
      <c r="F475">
        <f>VLOOKUP(C475,Меню!A:E,5,0)</f>
        <v>150</v>
      </c>
    </row>
    <row r="476" spans="1:6" ht="15.75" hidden="1" customHeight="1" x14ac:dyDescent="0.35">
      <c r="A476" s="1">
        <v>475</v>
      </c>
      <c r="B476" s="1">
        <v>89</v>
      </c>
      <c r="C476" s="1">
        <v>37</v>
      </c>
      <c r="D476" t="str">
        <f>VLOOKUP(B476,Заказы!A:C,3,0)</f>
        <v>2023-03-31 21:16:00</v>
      </c>
      <c r="E476" t="str">
        <f>VLOOKUP(C476,Меню!A:E,4,0)</f>
        <v>Десерт</v>
      </c>
      <c r="F476">
        <f>VLOOKUP(C476,Меню!A:E,5,0)</f>
        <v>100</v>
      </c>
    </row>
    <row r="477" spans="1:6" ht="15.75" hidden="1" customHeight="1" x14ac:dyDescent="0.35">
      <c r="A477" s="1">
        <v>476</v>
      </c>
      <c r="B477" s="1">
        <v>89</v>
      </c>
      <c r="C477" s="1">
        <v>40</v>
      </c>
      <c r="D477" t="str">
        <f>VLOOKUP(B477,Заказы!A:C,3,0)</f>
        <v>2023-03-31 21:16:00</v>
      </c>
      <c r="E477" t="str">
        <f>VLOOKUP(C477,Меню!A:E,4,0)</f>
        <v>Десерт</v>
      </c>
      <c r="F477">
        <f>VLOOKUP(C477,Меню!A:E,5,0)</f>
        <v>150</v>
      </c>
    </row>
    <row r="478" spans="1:6" ht="15.75" hidden="1" customHeight="1" x14ac:dyDescent="0.35">
      <c r="A478" s="1">
        <v>477</v>
      </c>
      <c r="B478" s="1">
        <v>89</v>
      </c>
      <c r="C478" s="1">
        <v>42</v>
      </c>
      <c r="D478" t="str">
        <f>VLOOKUP(B478,Заказы!A:C,3,0)</f>
        <v>2023-03-31 21:16:00</v>
      </c>
      <c r="E478" t="str">
        <f>VLOOKUP(C478,Меню!A:E,4,0)</f>
        <v>Суши</v>
      </c>
      <c r="F478">
        <f>VLOOKUP(C478,Меню!A:E,5,0)</f>
        <v>250</v>
      </c>
    </row>
    <row r="479" spans="1:6" ht="15.75" hidden="1" customHeight="1" x14ac:dyDescent="0.35">
      <c r="A479" s="1">
        <v>478</v>
      </c>
      <c r="B479" s="1">
        <v>89</v>
      </c>
      <c r="C479" s="1">
        <v>3</v>
      </c>
      <c r="D479" t="str">
        <f>VLOOKUP(B479,Заказы!A:C,3,0)</f>
        <v>2023-03-31 21:16:00</v>
      </c>
      <c r="E479" t="str">
        <f>VLOOKUP(C479,Меню!A:E,4,0)</f>
        <v>Завтрак</v>
      </c>
      <c r="F479">
        <f>VLOOKUP(C479,Меню!A:E,5,0)</f>
        <v>150</v>
      </c>
    </row>
    <row r="480" spans="1:6" ht="15.75" hidden="1" customHeight="1" x14ac:dyDescent="0.35">
      <c r="A480" s="1">
        <v>479</v>
      </c>
      <c r="B480" s="1">
        <v>89</v>
      </c>
      <c r="C480" s="1">
        <v>11</v>
      </c>
      <c r="D480" t="str">
        <f>VLOOKUP(B480,Заказы!A:C,3,0)</f>
        <v>2023-03-31 21:16:00</v>
      </c>
      <c r="E480" t="str">
        <f>VLOOKUP(C480,Меню!A:E,4,0)</f>
        <v>Первое</v>
      </c>
      <c r="F480">
        <f>VLOOKUP(C480,Меню!A:E,5,0)</f>
        <v>300</v>
      </c>
    </row>
    <row r="481" spans="1:6" ht="15.75" hidden="1" customHeight="1" x14ac:dyDescent="0.35">
      <c r="A481" s="1">
        <v>480</v>
      </c>
      <c r="B481" s="1">
        <v>89</v>
      </c>
      <c r="C481" s="1">
        <v>46</v>
      </c>
      <c r="D481" t="str">
        <f>VLOOKUP(B481,Заказы!A:C,3,0)</f>
        <v>2023-03-31 21:16:00</v>
      </c>
      <c r="E481" t="str">
        <f>VLOOKUP(C481,Меню!A:E,4,0)</f>
        <v>Суши</v>
      </c>
      <c r="F481">
        <f>VLOOKUP(C481,Меню!A:E,5,0)</f>
        <v>200</v>
      </c>
    </row>
    <row r="482" spans="1:6" ht="15.75" hidden="1" customHeight="1" x14ac:dyDescent="0.35">
      <c r="A482" s="1">
        <v>481</v>
      </c>
      <c r="B482" s="1">
        <v>89</v>
      </c>
      <c r="C482" s="1">
        <v>21</v>
      </c>
      <c r="D482" t="str">
        <f>VLOOKUP(B482,Заказы!A:C,3,0)</f>
        <v>2023-03-31 21:16:00</v>
      </c>
      <c r="E482" t="str">
        <f>VLOOKUP(C482,Меню!A:E,4,0)</f>
        <v>Салат</v>
      </c>
      <c r="F482">
        <f>VLOOKUP(C482,Меню!A:E,5,0)</f>
        <v>250</v>
      </c>
    </row>
    <row r="483" spans="1:6" ht="15.75" hidden="1" customHeight="1" x14ac:dyDescent="0.35">
      <c r="A483" s="1">
        <v>482</v>
      </c>
      <c r="B483" s="1">
        <v>89</v>
      </c>
      <c r="C483" s="1">
        <v>25</v>
      </c>
      <c r="D483" t="str">
        <f>VLOOKUP(B483,Заказы!A:C,3,0)</f>
        <v>2023-03-31 21:16:00</v>
      </c>
      <c r="E483" t="str">
        <f>VLOOKUP(C483,Меню!A:E,4,0)</f>
        <v>Салат</v>
      </c>
      <c r="F483">
        <f>VLOOKUP(C483,Меню!A:E,5,0)</f>
        <v>250</v>
      </c>
    </row>
    <row r="484" spans="1:6" ht="15.75" hidden="1" customHeight="1" x14ac:dyDescent="0.35">
      <c r="A484" s="1">
        <v>483</v>
      </c>
      <c r="B484" s="1">
        <v>90</v>
      </c>
      <c r="C484" s="1">
        <v>45</v>
      </c>
      <c r="D484" t="str">
        <f>VLOOKUP(B484,Заказы!A:C,3,0)</f>
        <v>2023-03-31 21:25:00</v>
      </c>
      <c r="E484" t="str">
        <f>VLOOKUP(C484,Меню!A:E,4,0)</f>
        <v>Суши</v>
      </c>
      <c r="F484">
        <f>VLOOKUP(C484,Меню!A:E,5,0)</f>
        <v>200</v>
      </c>
    </row>
    <row r="485" spans="1:6" ht="15.75" hidden="1" customHeight="1" x14ac:dyDescent="0.35">
      <c r="A485" s="1">
        <v>484</v>
      </c>
      <c r="B485" s="1">
        <v>91</v>
      </c>
      <c r="C485" s="1">
        <v>56</v>
      </c>
      <c r="D485" t="str">
        <f>VLOOKUP(B485,Заказы!A:C,3,0)</f>
        <v>2023-04-01 15:14:00</v>
      </c>
      <c r="E485" t="str">
        <f>VLOOKUP(C485,Меню!A:E,4,0)</f>
        <v>Суши</v>
      </c>
      <c r="F485">
        <f>VLOOKUP(C485,Меню!A:E,5,0)</f>
        <v>200</v>
      </c>
    </row>
    <row r="486" spans="1:6" ht="15.75" hidden="1" customHeight="1" x14ac:dyDescent="0.35">
      <c r="A486" s="1">
        <v>485</v>
      </c>
      <c r="B486" s="1">
        <v>91</v>
      </c>
      <c r="C486" s="1">
        <v>45</v>
      </c>
      <c r="D486" t="str">
        <f>VLOOKUP(B486,Заказы!A:C,3,0)</f>
        <v>2023-04-01 15:14:00</v>
      </c>
      <c r="E486" t="str">
        <f>VLOOKUP(C486,Меню!A:E,4,0)</f>
        <v>Суши</v>
      </c>
      <c r="F486">
        <f>VLOOKUP(C486,Меню!A:E,5,0)</f>
        <v>200</v>
      </c>
    </row>
    <row r="487" spans="1:6" ht="15.75" hidden="1" customHeight="1" x14ac:dyDescent="0.35">
      <c r="A487" s="1">
        <v>486</v>
      </c>
      <c r="B487" s="1">
        <v>91</v>
      </c>
      <c r="C487" s="1">
        <v>28</v>
      </c>
      <c r="D487" t="str">
        <f>VLOOKUP(B487,Заказы!A:C,3,0)</f>
        <v>2023-04-01 15:14:00</v>
      </c>
      <c r="E487" t="str">
        <f>VLOOKUP(C487,Меню!A:E,4,0)</f>
        <v>Салат</v>
      </c>
      <c r="F487">
        <f>VLOOKUP(C487,Меню!A:E,5,0)</f>
        <v>250</v>
      </c>
    </row>
    <row r="488" spans="1:6" ht="15.75" hidden="1" customHeight="1" x14ac:dyDescent="0.35">
      <c r="A488" s="1">
        <v>487</v>
      </c>
      <c r="B488" s="1">
        <v>92</v>
      </c>
      <c r="C488" s="1">
        <v>53</v>
      </c>
      <c r="D488" t="str">
        <f>VLOOKUP(B488,Заказы!A:C,3,0)</f>
        <v>2023-04-01 15:27:00</v>
      </c>
      <c r="E488" t="str">
        <f>VLOOKUP(C488,Меню!A:E,4,0)</f>
        <v>Суши</v>
      </c>
      <c r="F488">
        <f>VLOOKUP(C488,Меню!A:E,5,0)</f>
        <v>100</v>
      </c>
    </row>
    <row r="489" spans="1:6" ht="15.75" hidden="1" customHeight="1" x14ac:dyDescent="0.35">
      <c r="A489" s="1">
        <v>488</v>
      </c>
      <c r="B489" s="1">
        <v>92</v>
      </c>
      <c r="C489" s="1">
        <v>51</v>
      </c>
      <c r="D489" t="str">
        <f>VLOOKUP(B489,Заказы!A:C,3,0)</f>
        <v>2023-04-01 15:27:00</v>
      </c>
      <c r="E489" t="str">
        <f>VLOOKUP(C489,Меню!A:E,4,0)</f>
        <v>Суши</v>
      </c>
      <c r="F489">
        <f>VLOOKUP(C489,Меню!A:E,5,0)</f>
        <v>100</v>
      </c>
    </row>
    <row r="490" spans="1:6" ht="15.75" hidden="1" customHeight="1" x14ac:dyDescent="0.35">
      <c r="A490" s="1">
        <v>489</v>
      </c>
      <c r="B490" s="1">
        <v>92</v>
      </c>
      <c r="C490" s="1">
        <v>25</v>
      </c>
      <c r="D490" t="str">
        <f>VLOOKUP(B490,Заказы!A:C,3,0)</f>
        <v>2023-04-01 15:27:00</v>
      </c>
      <c r="E490" t="str">
        <f>VLOOKUP(C490,Меню!A:E,4,0)</f>
        <v>Салат</v>
      </c>
      <c r="F490">
        <f>VLOOKUP(C490,Меню!A:E,5,0)</f>
        <v>250</v>
      </c>
    </row>
    <row r="491" spans="1:6" ht="15.75" hidden="1" customHeight="1" x14ac:dyDescent="0.35">
      <c r="A491" s="1">
        <v>490</v>
      </c>
      <c r="B491" s="1">
        <v>92</v>
      </c>
      <c r="C491" s="1">
        <v>25</v>
      </c>
      <c r="D491" t="str">
        <f>VLOOKUP(B491,Заказы!A:C,3,0)</f>
        <v>2023-04-01 15:27:00</v>
      </c>
      <c r="E491" t="str">
        <f>VLOOKUP(C491,Меню!A:E,4,0)</f>
        <v>Салат</v>
      </c>
      <c r="F491">
        <f>VLOOKUP(C491,Меню!A:E,5,0)</f>
        <v>250</v>
      </c>
    </row>
    <row r="492" spans="1:6" ht="15.75" hidden="1" customHeight="1" x14ac:dyDescent="0.35">
      <c r="A492" s="1">
        <v>491</v>
      </c>
      <c r="B492" s="1">
        <v>92</v>
      </c>
      <c r="C492" s="1">
        <v>50</v>
      </c>
      <c r="D492" t="str">
        <f>VLOOKUP(B492,Заказы!A:C,3,0)</f>
        <v>2023-04-01 15:27:00</v>
      </c>
      <c r="E492" t="str">
        <f>VLOOKUP(C492,Меню!A:E,4,0)</f>
        <v>Суши</v>
      </c>
      <c r="F492">
        <f>VLOOKUP(C492,Меню!A:E,5,0)</f>
        <v>200</v>
      </c>
    </row>
    <row r="493" spans="1:6" ht="15.75" hidden="1" customHeight="1" x14ac:dyDescent="0.35">
      <c r="A493" s="1">
        <v>492</v>
      </c>
      <c r="B493" s="1">
        <v>92</v>
      </c>
      <c r="C493" s="1">
        <v>26</v>
      </c>
      <c r="D493" t="str">
        <f>VLOOKUP(B493,Заказы!A:C,3,0)</f>
        <v>2023-04-01 15:27:00</v>
      </c>
      <c r="E493" t="str">
        <f>VLOOKUP(C493,Меню!A:E,4,0)</f>
        <v>Салат</v>
      </c>
      <c r="F493">
        <f>VLOOKUP(C493,Меню!A:E,5,0)</f>
        <v>250</v>
      </c>
    </row>
    <row r="494" spans="1:6" ht="15.75" hidden="1" customHeight="1" x14ac:dyDescent="0.35">
      <c r="A494" s="1">
        <v>493</v>
      </c>
      <c r="B494" s="1">
        <v>93</v>
      </c>
      <c r="C494" s="1">
        <v>8</v>
      </c>
      <c r="D494" t="str">
        <f>VLOOKUP(B494,Заказы!A:C,3,0)</f>
        <v>2023-04-01 15:43:00</v>
      </c>
      <c r="E494" t="str">
        <f>VLOOKUP(C494,Меню!A:E,4,0)</f>
        <v>Завтрак</v>
      </c>
      <c r="F494">
        <f>VLOOKUP(C494,Меню!A:E,5,0)</f>
        <v>180</v>
      </c>
    </row>
    <row r="495" spans="1:6" ht="15.75" hidden="1" customHeight="1" x14ac:dyDescent="0.35">
      <c r="A495" s="1">
        <v>494</v>
      </c>
      <c r="B495" s="1">
        <v>93</v>
      </c>
      <c r="C495" s="1">
        <v>3</v>
      </c>
      <c r="D495" t="str">
        <f>VLOOKUP(B495,Заказы!A:C,3,0)</f>
        <v>2023-04-01 15:43:00</v>
      </c>
      <c r="E495" t="str">
        <f>VLOOKUP(C495,Меню!A:E,4,0)</f>
        <v>Завтрак</v>
      </c>
      <c r="F495">
        <f>VLOOKUP(C495,Меню!A:E,5,0)</f>
        <v>150</v>
      </c>
    </row>
    <row r="496" spans="1:6" ht="15.75" hidden="1" customHeight="1" x14ac:dyDescent="0.35">
      <c r="A496" s="1">
        <v>495</v>
      </c>
      <c r="B496" s="1">
        <v>93</v>
      </c>
      <c r="C496" s="1">
        <v>49</v>
      </c>
      <c r="D496" t="str">
        <f>VLOOKUP(B496,Заказы!A:C,3,0)</f>
        <v>2023-04-01 15:43:00</v>
      </c>
      <c r="E496" t="str">
        <f>VLOOKUP(C496,Меню!A:E,4,0)</f>
        <v>Суши</v>
      </c>
      <c r="F496">
        <f>VLOOKUP(C496,Меню!A:E,5,0)</f>
        <v>200</v>
      </c>
    </row>
    <row r="497" spans="1:6" ht="15.75" hidden="1" customHeight="1" x14ac:dyDescent="0.35">
      <c r="A497" s="1">
        <v>496</v>
      </c>
      <c r="B497" s="1">
        <v>93</v>
      </c>
      <c r="C497" s="1">
        <v>45</v>
      </c>
      <c r="D497" t="str">
        <f>VLOOKUP(B497,Заказы!A:C,3,0)</f>
        <v>2023-04-01 15:43:00</v>
      </c>
      <c r="E497" t="str">
        <f>VLOOKUP(C497,Меню!A:E,4,0)</f>
        <v>Суши</v>
      </c>
      <c r="F497">
        <f>VLOOKUP(C497,Меню!A:E,5,0)</f>
        <v>200</v>
      </c>
    </row>
    <row r="498" spans="1:6" ht="15.75" hidden="1" customHeight="1" x14ac:dyDescent="0.35">
      <c r="A498" s="1">
        <v>497</v>
      </c>
      <c r="B498" s="1">
        <v>94</v>
      </c>
      <c r="C498" s="1">
        <v>16</v>
      </c>
      <c r="D498" t="str">
        <f>VLOOKUP(B498,Заказы!A:C,3,0)</f>
        <v>2023-04-01 19:27:00</v>
      </c>
      <c r="E498" t="str">
        <f>VLOOKUP(C498,Меню!A:E,4,0)</f>
        <v>Первое</v>
      </c>
      <c r="F498">
        <f>VLOOKUP(C498,Меню!A:E,5,0)</f>
        <v>250</v>
      </c>
    </row>
    <row r="499" spans="1:6" ht="15.75" hidden="1" customHeight="1" x14ac:dyDescent="0.35">
      <c r="A499" s="1">
        <v>498</v>
      </c>
      <c r="B499" s="1">
        <v>94</v>
      </c>
      <c r="C499" s="1">
        <v>19</v>
      </c>
      <c r="D499" t="str">
        <f>VLOOKUP(B499,Заказы!A:C,3,0)</f>
        <v>2023-04-01 19:27:00</v>
      </c>
      <c r="E499" t="str">
        <f>VLOOKUP(C499,Меню!A:E,4,0)</f>
        <v>Первое</v>
      </c>
      <c r="F499">
        <f>VLOOKUP(C499,Меню!A:E,5,0)</f>
        <v>300</v>
      </c>
    </row>
    <row r="500" spans="1:6" ht="15.75" hidden="1" customHeight="1" x14ac:dyDescent="0.35">
      <c r="A500" s="1">
        <v>499</v>
      </c>
      <c r="B500" s="1">
        <v>94</v>
      </c>
      <c r="C500" s="1">
        <v>12</v>
      </c>
      <c r="D500" t="str">
        <f>VLOOKUP(B500,Заказы!A:C,3,0)</f>
        <v>2023-04-01 19:27:00</v>
      </c>
      <c r="E500" t="str">
        <f>VLOOKUP(C500,Меню!A:E,4,0)</f>
        <v>Первое</v>
      </c>
      <c r="F500">
        <f>VLOOKUP(C500,Меню!A:E,5,0)</f>
        <v>300</v>
      </c>
    </row>
    <row r="501" spans="1:6" ht="15.75" hidden="1" customHeight="1" x14ac:dyDescent="0.35">
      <c r="A501" s="1">
        <v>500</v>
      </c>
      <c r="B501" s="1">
        <v>94</v>
      </c>
      <c r="C501" s="1">
        <v>58</v>
      </c>
      <c r="D501" t="str">
        <f>VLOOKUP(B501,Заказы!A:C,3,0)</f>
        <v>2023-04-01 19:27:00</v>
      </c>
      <c r="E501" t="str">
        <f>VLOOKUP(C501,Меню!A:E,4,0)</f>
        <v>Суши</v>
      </c>
      <c r="F501">
        <f>VLOOKUP(C501,Меню!A:E,5,0)</f>
        <v>200</v>
      </c>
    </row>
    <row r="502" spans="1:6" ht="15.75" hidden="1" customHeight="1" x14ac:dyDescent="0.35">
      <c r="A502" s="1">
        <v>501</v>
      </c>
      <c r="B502" s="1">
        <v>94</v>
      </c>
      <c r="C502" s="1">
        <v>10</v>
      </c>
      <c r="D502" t="str">
        <f>VLOOKUP(B502,Заказы!A:C,3,0)</f>
        <v>2023-04-01 19:27:00</v>
      </c>
      <c r="E502" t="str">
        <f>VLOOKUP(C502,Меню!A:E,4,0)</f>
        <v>Завтрак</v>
      </c>
      <c r="F502">
        <f>VLOOKUP(C502,Меню!A:E,5,0)</f>
        <v>200</v>
      </c>
    </row>
    <row r="503" spans="1:6" ht="15.75" hidden="1" customHeight="1" x14ac:dyDescent="0.35">
      <c r="A503" s="1">
        <v>502</v>
      </c>
      <c r="B503" s="1">
        <v>95</v>
      </c>
      <c r="C503" s="1">
        <v>44</v>
      </c>
      <c r="D503" t="str">
        <f>VLOOKUP(B503,Заказы!A:C,3,0)</f>
        <v>2023-04-01 19:40:00</v>
      </c>
      <c r="E503" t="str">
        <f>VLOOKUP(C503,Меню!A:E,4,0)</f>
        <v>Суши</v>
      </c>
      <c r="F503">
        <f>VLOOKUP(C503,Меню!A:E,5,0)</f>
        <v>250</v>
      </c>
    </row>
    <row r="504" spans="1:6" ht="15.75" hidden="1" customHeight="1" x14ac:dyDescent="0.35">
      <c r="A504" s="1">
        <v>503</v>
      </c>
      <c r="B504" s="1">
        <v>95</v>
      </c>
      <c r="C504" s="1">
        <v>6</v>
      </c>
      <c r="D504" t="str">
        <f>VLOOKUP(B504,Заказы!A:C,3,0)</f>
        <v>2023-04-01 19:40:00</v>
      </c>
      <c r="E504" t="str">
        <f>VLOOKUP(C504,Меню!A:E,4,0)</f>
        <v>Завтрак</v>
      </c>
      <c r="F504">
        <f>VLOOKUP(C504,Меню!A:E,5,0)</f>
        <v>300</v>
      </c>
    </row>
    <row r="505" spans="1:6" ht="15.75" hidden="1" customHeight="1" x14ac:dyDescent="0.35">
      <c r="A505" s="1">
        <v>504</v>
      </c>
      <c r="B505" s="1">
        <v>95</v>
      </c>
      <c r="C505" s="1">
        <v>15</v>
      </c>
      <c r="D505" t="str">
        <f>VLOOKUP(B505,Заказы!A:C,3,0)</f>
        <v>2023-04-01 19:40:00</v>
      </c>
      <c r="E505" t="str">
        <f>VLOOKUP(C505,Меню!A:E,4,0)</f>
        <v>Первое</v>
      </c>
      <c r="F505">
        <f>VLOOKUP(C505,Меню!A:E,5,0)</f>
        <v>250</v>
      </c>
    </row>
    <row r="506" spans="1:6" ht="15.75" hidden="1" customHeight="1" x14ac:dyDescent="0.35">
      <c r="A506" s="1">
        <v>505</v>
      </c>
      <c r="B506" s="1">
        <v>95</v>
      </c>
      <c r="C506" s="1">
        <v>14</v>
      </c>
      <c r="D506" t="str">
        <f>VLOOKUP(B506,Заказы!A:C,3,0)</f>
        <v>2023-04-01 19:40:00</v>
      </c>
      <c r="E506" t="str">
        <f>VLOOKUP(C506,Меню!A:E,4,0)</f>
        <v>Первое</v>
      </c>
      <c r="F506">
        <f>VLOOKUP(C506,Меню!A:E,5,0)</f>
        <v>350</v>
      </c>
    </row>
    <row r="507" spans="1:6" ht="15.75" hidden="1" customHeight="1" x14ac:dyDescent="0.35">
      <c r="A507" s="1">
        <v>506</v>
      </c>
      <c r="B507" s="1">
        <v>96</v>
      </c>
      <c r="C507" s="1">
        <v>43</v>
      </c>
      <c r="D507" t="str">
        <f>VLOOKUP(B507,Заказы!A:C,3,0)</f>
        <v>2023-04-01 20:14:00</v>
      </c>
      <c r="E507" t="str">
        <f>VLOOKUP(C507,Меню!A:E,4,0)</f>
        <v>Суши</v>
      </c>
      <c r="F507">
        <f>VLOOKUP(C507,Меню!A:E,5,0)</f>
        <v>250</v>
      </c>
    </row>
    <row r="508" spans="1:6" ht="15.75" hidden="1" customHeight="1" x14ac:dyDescent="0.35">
      <c r="A508" s="1">
        <v>507</v>
      </c>
      <c r="B508" s="1">
        <v>96</v>
      </c>
      <c r="C508" s="1">
        <v>2</v>
      </c>
      <c r="D508" t="str">
        <f>VLOOKUP(B508,Заказы!A:C,3,0)</f>
        <v>2023-04-01 20:14:00</v>
      </c>
      <c r="E508" t="str">
        <f>VLOOKUP(C508,Меню!A:E,4,0)</f>
        <v>Завтрак</v>
      </c>
      <c r="F508">
        <f>VLOOKUP(C508,Меню!A:E,5,0)</f>
        <v>250</v>
      </c>
    </row>
    <row r="509" spans="1:6" ht="15.75" hidden="1" customHeight="1" x14ac:dyDescent="0.35">
      <c r="A509" s="1">
        <v>508</v>
      </c>
      <c r="B509" s="1">
        <v>97</v>
      </c>
      <c r="C509" s="1">
        <v>14</v>
      </c>
      <c r="D509" t="str">
        <f>VLOOKUP(B509,Заказы!A:C,3,0)</f>
        <v>2023-04-01 21:15:00</v>
      </c>
      <c r="E509" t="str">
        <f>VLOOKUP(C509,Меню!A:E,4,0)</f>
        <v>Первое</v>
      </c>
      <c r="F509">
        <f>VLOOKUP(C509,Меню!A:E,5,0)</f>
        <v>350</v>
      </c>
    </row>
    <row r="510" spans="1:6" ht="15.75" hidden="1" customHeight="1" x14ac:dyDescent="0.35">
      <c r="A510" s="1">
        <v>509</v>
      </c>
      <c r="B510" s="1">
        <v>97</v>
      </c>
      <c r="C510" s="1">
        <v>43</v>
      </c>
      <c r="D510" t="str">
        <f>VLOOKUP(B510,Заказы!A:C,3,0)</f>
        <v>2023-04-01 21:15:00</v>
      </c>
      <c r="E510" t="str">
        <f>VLOOKUP(C510,Меню!A:E,4,0)</f>
        <v>Суши</v>
      </c>
      <c r="F510">
        <f>VLOOKUP(C510,Меню!A:E,5,0)</f>
        <v>250</v>
      </c>
    </row>
    <row r="511" spans="1:6" ht="15.75" hidden="1" customHeight="1" x14ac:dyDescent="0.35">
      <c r="A511" s="1">
        <v>510</v>
      </c>
      <c r="B511" s="1">
        <v>97</v>
      </c>
      <c r="C511" s="1">
        <v>58</v>
      </c>
      <c r="D511" t="str">
        <f>VLOOKUP(B511,Заказы!A:C,3,0)</f>
        <v>2023-04-01 21:15:00</v>
      </c>
      <c r="E511" t="str">
        <f>VLOOKUP(C511,Меню!A:E,4,0)</f>
        <v>Суши</v>
      </c>
      <c r="F511">
        <f>VLOOKUP(C511,Меню!A:E,5,0)</f>
        <v>200</v>
      </c>
    </row>
    <row r="512" spans="1:6" ht="15.75" hidden="1" customHeight="1" x14ac:dyDescent="0.35">
      <c r="A512" s="1">
        <v>511</v>
      </c>
      <c r="B512" s="1">
        <v>98</v>
      </c>
      <c r="C512" s="1">
        <v>29</v>
      </c>
      <c r="D512" t="str">
        <f>VLOOKUP(B512,Заказы!A:C,3,0)</f>
        <v>2023-04-02 15:02:00</v>
      </c>
      <c r="E512" t="str">
        <f>VLOOKUP(C512,Меню!A:E,4,0)</f>
        <v>Салат</v>
      </c>
      <c r="F512">
        <f>VLOOKUP(C512,Меню!A:E,5,0)</f>
        <v>250</v>
      </c>
    </row>
    <row r="513" spans="1:6" ht="15.75" hidden="1" customHeight="1" x14ac:dyDescent="0.35">
      <c r="A513" s="1">
        <v>512</v>
      </c>
      <c r="B513" s="1">
        <v>98</v>
      </c>
      <c r="C513" s="1">
        <v>9</v>
      </c>
      <c r="D513" t="str">
        <f>VLOOKUP(B513,Заказы!A:C,3,0)</f>
        <v>2023-04-02 15:02:00</v>
      </c>
      <c r="E513" t="str">
        <f>VLOOKUP(C513,Меню!A:E,4,0)</f>
        <v>Завтрак</v>
      </c>
      <c r="F513">
        <f>VLOOKUP(C513,Меню!A:E,5,0)</f>
        <v>220</v>
      </c>
    </row>
    <row r="514" spans="1:6" ht="15.75" hidden="1" customHeight="1" x14ac:dyDescent="0.35">
      <c r="A514" s="1">
        <v>513</v>
      </c>
      <c r="B514" s="1">
        <v>98</v>
      </c>
      <c r="C514" s="1">
        <v>15</v>
      </c>
      <c r="D514" t="str">
        <f>VLOOKUP(B514,Заказы!A:C,3,0)</f>
        <v>2023-04-02 15:02:00</v>
      </c>
      <c r="E514" t="str">
        <f>VLOOKUP(C514,Меню!A:E,4,0)</f>
        <v>Первое</v>
      </c>
      <c r="F514">
        <f>VLOOKUP(C514,Меню!A:E,5,0)</f>
        <v>250</v>
      </c>
    </row>
    <row r="515" spans="1:6" ht="15.75" hidden="1" customHeight="1" x14ac:dyDescent="0.35">
      <c r="A515" s="1">
        <v>514</v>
      </c>
      <c r="B515" s="1">
        <v>98</v>
      </c>
      <c r="C515" s="1">
        <v>7</v>
      </c>
      <c r="D515" t="str">
        <f>VLOOKUP(B515,Заказы!A:C,3,0)</f>
        <v>2023-04-02 15:02:00</v>
      </c>
      <c r="E515" t="str">
        <f>VLOOKUP(C515,Меню!A:E,4,0)</f>
        <v>Завтрак</v>
      </c>
      <c r="F515">
        <f>VLOOKUP(C515,Меню!A:E,5,0)</f>
        <v>200</v>
      </c>
    </row>
    <row r="516" spans="1:6" ht="15.75" hidden="1" customHeight="1" x14ac:dyDescent="0.35">
      <c r="A516" s="1">
        <v>515</v>
      </c>
      <c r="B516" s="1">
        <v>99</v>
      </c>
      <c r="C516" s="1">
        <v>54</v>
      </c>
      <c r="D516" t="str">
        <f>VLOOKUP(B516,Заказы!A:C,3,0)</f>
        <v>2023-04-02 16:02:00</v>
      </c>
      <c r="E516" t="str">
        <f>VLOOKUP(C516,Меню!A:E,4,0)</f>
        <v>Суши</v>
      </c>
      <c r="F516">
        <f>VLOOKUP(C516,Меню!A:E,5,0)</f>
        <v>100</v>
      </c>
    </row>
    <row r="517" spans="1:6" ht="15.75" hidden="1" customHeight="1" x14ac:dyDescent="0.35">
      <c r="A517" s="1">
        <v>516</v>
      </c>
      <c r="B517" s="1">
        <v>100</v>
      </c>
      <c r="C517" s="1">
        <v>26</v>
      </c>
      <c r="D517" t="str">
        <f>VLOOKUP(B517,Заказы!A:C,3,0)</f>
        <v>2023-04-02 17:05:00</v>
      </c>
      <c r="E517" t="str">
        <f>VLOOKUP(C517,Меню!A:E,4,0)</f>
        <v>Салат</v>
      </c>
      <c r="F517">
        <f>VLOOKUP(C517,Меню!A:E,5,0)</f>
        <v>250</v>
      </c>
    </row>
    <row r="518" spans="1:6" ht="15.75" hidden="1" customHeight="1" x14ac:dyDescent="0.35">
      <c r="A518" s="1">
        <v>517</v>
      </c>
      <c r="B518" s="1">
        <v>100</v>
      </c>
      <c r="C518" s="1">
        <v>16</v>
      </c>
      <c r="D518" t="str">
        <f>VLOOKUP(B518,Заказы!A:C,3,0)</f>
        <v>2023-04-02 17:05:00</v>
      </c>
      <c r="E518" t="str">
        <f>VLOOKUP(C518,Меню!A:E,4,0)</f>
        <v>Первое</v>
      </c>
      <c r="F518">
        <f>VLOOKUP(C518,Меню!A:E,5,0)</f>
        <v>250</v>
      </c>
    </row>
    <row r="519" spans="1:6" ht="15.75" hidden="1" customHeight="1" x14ac:dyDescent="0.35">
      <c r="A519" s="1">
        <v>518</v>
      </c>
      <c r="B519" s="1">
        <v>100</v>
      </c>
      <c r="C519" s="1">
        <v>59</v>
      </c>
      <c r="D519" t="str">
        <f>VLOOKUP(B519,Заказы!A:C,3,0)</f>
        <v>2023-04-02 17:05:00</v>
      </c>
      <c r="E519" t="str">
        <f>VLOOKUP(C519,Меню!A:E,4,0)</f>
        <v>Суши</v>
      </c>
      <c r="F519">
        <f>VLOOKUP(C519,Меню!A:E,5,0)</f>
        <v>300</v>
      </c>
    </row>
    <row r="520" spans="1:6" ht="15.75" hidden="1" customHeight="1" x14ac:dyDescent="0.35">
      <c r="A520" s="1">
        <v>519</v>
      </c>
      <c r="B520" s="1">
        <v>100</v>
      </c>
      <c r="C520" s="1">
        <v>39</v>
      </c>
      <c r="D520" t="str">
        <f>VLOOKUP(B520,Заказы!A:C,3,0)</f>
        <v>2023-04-02 17:05:00</v>
      </c>
      <c r="E520" t="str">
        <f>VLOOKUP(C520,Меню!A:E,4,0)</f>
        <v>Десерт</v>
      </c>
      <c r="F520">
        <f>VLOOKUP(C520,Меню!A:E,5,0)</f>
        <v>150</v>
      </c>
    </row>
    <row r="521" spans="1:6" ht="15.75" hidden="1" customHeight="1" x14ac:dyDescent="0.35">
      <c r="A521" s="1">
        <v>520</v>
      </c>
      <c r="B521" s="1">
        <v>100</v>
      </c>
      <c r="C521" s="1">
        <v>58</v>
      </c>
      <c r="D521" t="str">
        <f>VLOOKUP(B521,Заказы!A:C,3,0)</f>
        <v>2023-04-02 17:05:00</v>
      </c>
      <c r="E521" t="str">
        <f>VLOOKUP(C521,Меню!A:E,4,0)</f>
        <v>Суши</v>
      </c>
      <c r="F521">
        <f>VLOOKUP(C521,Меню!A:E,5,0)</f>
        <v>200</v>
      </c>
    </row>
    <row r="522" spans="1:6" ht="15.75" hidden="1" customHeight="1" x14ac:dyDescent="0.35">
      <c r="A522" s="1">
        <v>521</v>
      </c>
      <c r="B522" s="1">
        <v>100</v>
      </c>
      <c r="C522" s="1">
        <v>46</v>
      </c>
      <c r="D522" t="str">
        <f>VLOOKUP(B522,Заказы!A:C,3,0)</f>
        <v>2023-04-02 17:05:00</v>
      </c>
      <c r="E522" t="str">
        <f>VLOOKUP(C522,Меню!A:E,4,0)</f>
        <v>Суши</v>
      </c>
      <c r="F522">
        <f>VLOOKUP(C522,Меню!A:E,5,0)</f>
        <v>200</v>
      </c>
    </row>
    <row r="523" spans="1:6" ht="15.75" hidden="1" customHeight="1" x14ac:dyDescent="0.35">
      <c r="A523" s="1">
        <v>522</v>
      </c>
      <c r="B523" s="1">
        <v>101</v>
      </c>
      <c r="C523" s="1">
        <v>21</v>
      </c>
      <c r="D523" t="str">
        <f>VLOOKUP(B523,Заказы!A:C,3,0)</f>
        <v>2023-04-03 16:51:00</v>
      </c>
      <c r="E523" t="str">
        <f>VLOOKUP(C523,Меню!A:E,4,0)</f>
        <v>Салат</v>
      </c>
      <c r="F523">
        <f>VLOOKUP(C523,Меню!A:E,5,0)</f>
        <v>250</v>
      </c>
    </row>
    <row r="524" spans="1:6" ht="15.75" hidden="1" customHeight="1" x14ac:dyDescent="0.35">
      <c r="A524" s="1">
        <v>523</v>
      </c>
      <c r="B524" s="1">
        <v>101</v>
      </c>
      <c r="C524" s="1">
        <v>9</v>
      </c>
      <c r="D524" t="str">
        <f>VLOOKUP(B524,Заказы!A:C,3,0)</f>
        <v>2023-04-03 16:51:00</v>
      </c>
      <c r="E524" t="str">
        <f>VLOOKUP(C524,Меню!A:E,4,0)</f>
        <v>Завтрак</v>
      </c>
      <c r="F524">
        <f>VLOOKUP(C524,Меню!A:E,5,0)</f>
        <v>220</v>
      </c>
    </row>
    <row r="525" spans="1:6" ht="15.75" hidden="1" customHeight="1" x14ac:dyDescent="0.35">
      <c r="A525" s="1">
        <v>524</v>
      </c>
      <c r="B525" s="1">
        <v>101</v>
      </c>
      <c r="C525" s="1">
        <v>20</v>
      </c>
      <c r="D525" t="str">
        <f>VLOOKUP(B525,Заказы!A:C,3,0)</f>
        <v>2023-04-03 16:51:00</v>
      </c>
      <c r="E525" t="str">
        <f>VLOOKUP(C525,Меню!A:E,4,0)</f>
        <v>Первое</v>
      </c>
      <c r="F525">
        <f>VLOOKUP(C525,Меню!A:E,5,0)</f>
        <v>250</v>
      </c>
    </row>
    <row r="526" spans="1:6" ht="15.75" hidden="1" customHeight="1" x14ac:dyDescent="0.35">
      <c r="A526" s="1">
        <v>525</v>
      </c>
      <c r="B526" s="1">
        <v>101</v>
      </c>
      <c r="C526" s="1">
        <v>6</v>
      </c>
      <c r="D526" t="str">
        <f>VLOOKUP(B526,Заказы!A:C,3,0)</f>
        <v>2023-04-03 16:51:00</v>
      </c>
      <c r="E526" t="str">
        <f>VLOOKUP(C526,Меню!A:E,4,0)</f>
        <v>Завтрак</v>
      </c>
      <c r="F526">
        <f>VLOOKUP(C526,Меню!A:E,5,0)</f>
        <v>300</v>
      </c>
    </row>
    <row r="527" spans="1:6" ht="15.75" hidden="1" customHeight="1" x14ac:dyDescent="0.35">
      <c r="A527" s="1">
        <v>526</v>
      </c>
      <c r="B527" s="1">
        <v>101</v>
      </c>
      <c r="C527" s="1">
        <v>6</v>
      </c>
      <c r="D527" t="str">
        <f>VLOOKUP(B527,Заказы!A:C,3,0)</f>
        <v>2023-04-03 16:51:00</v>
      </c>
      <c r="E527" t="str">
        <f>VLOOKUP(C527,Меню!A:E,4,0)</f>
        <v>Завтрак</v>
      </c>
      <c r="F527">
        <f>VLOOKUP(C527,Меню!A:E,5,0)</f>
        <v>300</v>
      </c>
    </row>
    <row r="528" spans="1:6" ht="15.75" hidden="1" customHeight="1" x14ac:dyDescent="0.35">
      <c r="A528" s="1">
        <v>527</v>
      </c>
      <c r="B528" s="1">
        <v>101</v>
      </c>
      <c r="C528" s="1">
        <v>34</v>
      </c>
      <c r="D528" t="str">
        <f>VLOOKUP(B528,Заказы!A:C,3,0)</f>
        <v>2023-04-03 16:51:00</v>
      </c>
      <c r="E528" t="str">
        <f>VLOOKUP(C528,Меню!A:E,4,0)</f>
        <v>Десерт</v>
      </c>
      <c r="F528">
        <f>VLOOKUP(C528,Меню!A:E,5,0)</f>
        <v>150</v>
      </c>
    </row>
    <row r="529" spans="1:6" ht="15.75" hidden="1" customHeight="1" x14ac:dyDescent="0.35">
      <c r="A529" s="1">
        <v>528</v>
      </c>
      <c r="B529" s="1">
        <v>101</v>
      </c>
      <c r="C529" s="1">
        <v>36</v>
      </c>
      <c r="D529" t="str">
        <f>VLOOKUP(B529,Заказы!A:C,3,0)</f>
        <v>2023-04-03 16:51:00</v>
      </c>
      <c r="E529" t="str">
        <f>VLOOKUP(C529,Меню!A:E,4,0)</f>
        <v>Десерт</v>
      </c>
      <c r="F529">
        <f>VLOOKUP(C529,Меню!A:E,5,0)</f>
        <v>150</v>
      </c>
    </row>
    <row r="530" spans="1:6" ht="15.75" hidden="1" customHeight="1" x14ac:dyDescent="0.35">
      <c r="A530" s="1">
        <v>529</v>
      </c>
      <c r="B530" s="1">
        <v>102</v>
      </c>
      <c r="C530" s="1">
        <v>9</v>
      </c>
      <c r="D530" t="str">
        <f>VLOOKUP(B530,Заказы!A:C,3,0)</f>
        <v>2023-04-03 17:48:00</v>
      </c>
      <c r="E530" t="str">
        <f>VLOOKUP(C530,Меню!A:E,4,0)</f>
        <v>Завтрак</v>
      </c>
      <c r="F530">
        <f>VLOOKUP(C530,Меню!A:E,5,0)</f>
        <v>220</v>
      </c>
    </row>
    <row r="531" spans="1:6" ht="15.75" hidden="1" customHeight="1" x14ac:dyDescent="0.35">
      <c r="A531" s="1">
        <v>530</v>
      </c>
      <c r="B531" s="1">
        <v>102</v>
      </c>
      <c r="C531" s="1">
        <v>54</v>
      </c>
      <c r="D531" t="str">
        <f>VLOOKUP(B531,Заказы!A:C,3,0)</f>
        <v>2023-04-03 17:48:00</v>
      </c>
      <c r="E531" t="str">
        <f>VLOOKUP(C531,Меню!A:E,4,0)</f>
        <v>Суши</v>
      </c>
      <c r="F531">
        <f>VLOOKUP(C531,Меню!A:E,5,0)</f>
        <v>100</v>
      </c>
    </row>
    <row r="532" spans="1:6" ht="15.75" hidden="1" customHeight="1" x14ac:dyDescent="0.35">
      <c r="A532" s="1">
        <v>531</v>
      </c>
      <c r="B532" s="1">
        <v>102</v>
      </c>
      <c r="C532" s="1">
        <v>39</v>
      </c>
      <c r="D532" t="str">
        <f>VLOOKUP(B532,Заказы!A:C,3,0)</f>
        <v>2023-04-03 17:48:00</v>
      </c>
      <c r="E532" t="str">
        <f>VLOOKUP(C532,Меню!A:E,4,0)</f>
        <v>Десерт</v>
      </c>
      <c r="F532">
        <f>VLOOKUP(C532,Меню!A:E,5,0)</f>
        <v>150</v>
      </c>
    </row>
    <row r="533" spans="1:6" ht="15.75" hidden="1" customHeight="1" x14ac:dyDescent="0.35">
      <c r="A533" s="1">
        <v>532</v>
      </c>
      <c r="B533" s="1">
        <v>103</v>
      </c>
      <c r="C533" s="1">
        <v>36</v>
      </c>
      <c r="D533" t="str">
        <f>VLOOKUP(B533,Заказы!A:C,3,0)</f>
        <v>2023-04-03 19:19:00</v>
      </c>
      <c r="E533" t="str">
        <f>VLOOKUP(C533,Меню!A:E,4,0)</f>
        <v>Десерт</v>
      </c>
      <c r="F533">
        <f>VLOOKUP(C533,Меню!A:E,5,0)</f>
        <v>150</v>
      </c>
    </row>
    <row r="534" spans="1:6" ht="15.75" hidden="1" customHeight="1" x14ac:dyDescent="0.35">
      <c r="A534" s="1">
        <v>533</v>
      </c>
      <c r="B534" s="1">
        <v>103</v>
      </c>
      <c r="C534" s="1">
        <v>49</v>
      </c>
      <c r="D534" t="str">
        <f>VLOOKUP(B534,Заказы!A:C,3,0)</f>
        <v>2023-04-03 19:19:00</v>
      </c>
      <c r="E534" t="str">
        <f>VLOOKUP(C534,Меню!A:E,4,0)</f>
        <v>Суши</v>
      </c>
      <c r="F534">
        <f>VLOOKUP(C534,Меню!A:E,5,0)</f>
        <v>200</v>
      </c>
    </row>
    <row r="535" spans="1:6" ht="15.75" hidden="1" customHeight="1" x14ac:dyDescent="0.35">
      <c r="A535" s="1">
        <v>534</v>
      </c>
      <c r="B535" s="1">
        <v>103</v>
      </c>
      <c r="C535" s="1">
        <v>51</v>
      </c>
      <c r="D535" t="str">
        <f>VLOOKUP(B535,Заказы!A:C,3,0)</f>
        <v>2023-04-03 19:19:00</v>
      </c>
      <c r="E535" t="str">
        <f>VLOOKUP(C535,Меню!A:E,4,0)</f>
        <v>Суши</v>
      </c>
      <c r="F535">
        <f>VLOOKUP(C535,Меню!A:E,5,0)</f>
        <v>100</v>
      </c>
    </row>
    <row r="536" spans="1:6" ht="15.75" hidden="1" customHeight="1" x14ac:dyDescent="0.35">
      <c r="A536" s="1">
        <v>535</v>
      </c>
      <c r="B536" s="1">
        <v>103</v>
      </c>
      <c r="C536" s="1">
        <v>44</v>
      </c>
      <c r="D536" t="str">
        <f>VLOOKUP(B536,Заказы!A:C,3,0)</f>
        <v>2023-04-03 19:19:00</v>
      </c>
      <c r="E536" t="str">
        <f>VLOOKUP(C536,Меню!A:E,4,0)</f>
        <v>Суши</v>
      </c>
      <c r="F536">
        <f>VLOOKUP(C536,Меню!A:E,5,0)</f>
        <v>250</v>
      </c>
    </row>
    <row r="537" spans="1:6" ht="15.75" hidden="1" customHeight="1" x14ac:dyDescent="0.35">
      <c r="A537" s="1">
        <v>536</v>
      </c>
      <c r="B537" s="1">
        <v>103</v>
      </c>
      <c r="C537" s="1">
        <v>22</v>
      </c>
      <c r="D537" t="str">
        <f>VLOOKUP(B537,Заказы!A:C,3,0)</f>
        <v>2023-04-03 19:19:00</v>
      </c>
      <c r="E537" t="str">
        <f>VLOOKUP(C537,Меню!A:E,4,0)</f>
        <v>Салат</v>
      </c>
      <c r="F537">
        <f>VLOOKUP(C537,Меню!A:E,5,0)</f>
        <v>250</v>
      </c>
    </row>
    <row r="538" spans="1:6" ht="15.75" hidden="1" customHeight="1" x14ac:dyDescent="0.35">
      <c r="A538" s="1">
        <v>537</v>
      </c>
      <c r="B538" s="1">
        <v>103</v>
      </c>
      <c r="C538" s="1">
        <v>48</v>
      </c>
      <c r="D538" t="str">
        <f>VLOOKUP(B538,Заказы!A:C,3,0)</f>
        <v>2023-04-03 19:19:00</v>
      </c>
      <c r="E538" t="str">
        <f>VLOOKUP(C538,Меню!A:E,4,0)</f>
        <v>Суши</v>
      </c>
      <c r="F538">
        <f>VLOOKUP(C538,Меню!A:E,5,0)</f>
        <v>200</v>
      </c>
    </row>
    <row r="539" spans="1:6" ht="15.75" hidden="1" customHeight="1" x14ac:dyDescent="0.35">
      <c r="A539" s="1">
        <v>538</v>
      </c>
      <c r="B539" s="1">
        <v>104</v>
      </c>
      <c r="C539" s="1">
        <v>10</v>
      </c>
      <c r="D539" t="str">
        <f>VLOOKUP(B539,Заказы!A:C,3,0)</f>
        <v>2023-04-03 20:29:00</v>
      </c>
      <c r="E539" t="str">
        <f>VLOOKUP(C539,Меню!A:E,4,0)</f>
        <v>Завтрак</v>
      </c>
      <c r="F539">
        <f>VLOOKUP(C539,Меню!A:E,5,0)</f>
        <v>200</v>
      </c>
    </row>
    <row r="540" spans="1:6" ht="15.75" hidden="1" customHeight="1" x14ac:dyDescent="0.35">
      <c r="A540" s="1">
        <v>539</v>
      </c>
      <c r="B540" s="1">
        <v>104</v>
      </c>
      <c r="C540" s="1">
        <v>17</v>
      </c>
      <c r="D540" t="str">
        <f>VLOOKUP(B540,Заказы!A:C,3,0)</f>
        <v>2023-04-03 20:29:00</v>
      </c>
      <c r="E540" t="str">
        <f>VLOOKUP(C540,Меню!A:E,4,0)</f>
        <v>Первое</v>
      </c>
      <c r="F540">
        <f>VLOOKUP(C540,Меню!A:E,5,0)</f>
        <v>250</v>
      </c>
    </row>
    <row r="541" spans="1:6" ht="15.75" hidden="1" customHeight="1" x14ac:dyDescent="0.35">
      <c r="A541" s="1">
        <v>540</v>
      </c>
      <c r="B541" s="1">
        <v>104</v>
      </c>
      <c r="C541" s="1">
        <v>39</v>
      </c>
      <c r="D541" t="str">
        <f>VLOOKUP(B541,Заказы!A:C,3,0)</f>
        <v>2023-04-03 20:29:00</v>
      </c>
      <c r="E541" t="str">
        <f>VLOOKUP(C541,Меню!A:E,4,0)</f>
        <v>Десерт</v>
      </c>
      <c r="F541">
        <f>VLOOKUP(C541,Меню!A:E,5,0)</f>
        <v>150</v>
      </c>
    </row>
    <row r="542" spans="1:6" ht="15.75" hidden="1" customHeight="1" x14ac:dyDescent="0.35">
      <c r="A542" s="1">
        <v>541</v>
      </c>
      <c r="B542" s="1">
        <v>104</v>
      </c>
      <c r="C542" s="1">
        <v>56</v>
      </c>
      <c r="D542" t="str">
        <f>VLOOKUP(B542,Заказы!A:C,3,0)</f>
        <v>2023-04-03 20:29:00</v>
      </c>
      <c r="E542" t="str">
        <f>VLOOKUP(C542,Меню!A:E,4,0)</f>
        <v>Суши</v>
      </c>
      <c r="F542">
        <f>VLOOKUP(C542,Меню!A:E,5,0)</f>
        <v>200</v>
      </c>
    </row>
    <row r="543" spans="1:6" ht="15.75" hidden="1" customHeight="1" x14ac:dyDescent="0.35">
      <c r="A543" s="1">
        <v>542</v>
      </c>
      <c r="B543" s="1">
        <v>104</v>
      </c>
      <c r="C543" s="1">
        <v>18</v>
      </c>
      <c r="D543" t="str">
        <f>VLOOKUP(B543,Заказы!A:C,3,0)</f>
        <v>2023-04-03 20:29:00</v>
      </c>
      <c r="E543" t="str">
        <f>VLOOKUP(C543,Меню!A:E,4,0)</f>
        <v>Первое</v>
      </c>
      <c r="F543">
        <f>VLOOKUP(C543,Меню!A:E,5,0)</f>
        <v>300</v>
      </c>
    </row>
    <row r="544" spans="1:6" ht="15.75" hidden="1" customHeight="1" x14ac:dyDescent="0.35">
      <c r="A544" s="1">
        <v>543</v>
      </c>
      <c r="B544" s="1">
        <v>105</v>
      </c>
      <c r="C544" s="1">
        <v>13</v>
      </c>
      <c r="D544" t="str">
        <f>VLOOKUP(B544,Заказы!A:C,3,0)</f>
        <v>2023-04-03 21:10:00</v>
      </c>
      <c r="E544" t="str">
        <f>VLOOKUP(C544,Меню!A:E,4,0)</f>
        <v>Первое</v>
      </c>
      <c r="F544">
        <f>VLOOKUP(C544,Меню!A:E,5,0)</f>
        <v>280</v>
      </c>
    </row>
    <row r="545" spans="1:6" ht="15.75" hidden="1" customHeight="1" x14ac:dyDescent="0.35">
      <c r="A545" s="1">
        <v>544</v>
      </c>
      <c r="B545" s="1">
        <v>105</v>
      </c>
      <c r="C545" s="1">
        <v>46</v>
      </c>
      <c r="D545" t="str">
        <f>VLOOKUP(B545,Заказы!A:C,3,0)</f>
        <v>2023-04-03 21:10:00</v>
      </c>
      <c r="E545" t="str">
        <f>VLOOKUP(C545,Меню!A:E,4,0)</f>
        <v>Суши</v>
      </c>
      <c r="F545">
        <f>VLOOKUP(C545,Меню!A:E,5,0)</f>
        <v>200</v>
      </c>
    </row>
    <row r="546" spans="1:6" ht="15.75" hidden="1" customHeight="1" x14ac:dyDescent="0.35">
      <c r="A546" s="1">
        <v>545</v>
      </c>
      <c r="B546" s="1">
        <v>105</v>
      </c>
      <c r="C546" s="1">
        <v>4</v>
      </c>
      <c r="D546" t="str">
        <f>VLOOKUP(B546,Заказы!A:C,3,0)</f>
        <v>2023-04-03 21:10:00</v>
      </c>
      <c r="E546" t="str">
        <f>VLOOKUP(C546,Меню!A:E,4,0)</f>
        <v>Завтрак</v>
      </c>
      <c r="F546">
        <f>VLOOKUP(C546,Меню!A:E,5,0)</f>
        <v>180</v>
      </c>
    </row>
    <row r="547" spans="1:6" ht="15.75" hidden="1" customHeight="1" x14ac:dyDescent="0.35">
      <c r="A547" s="1">
        <v>546</v>
      </c>
      <c r="B547" s="1">
        <v>106</v>
      </c>
      <c r="C547" s="1">
        <v>29</v>
      </c>
      <c r="D547" t="str">
        <f>VLOOKUP(B547,Заказы!A:C,3,0)</f>
        <v>2023-04-04 17:22:00</v>
      </c>
      <c r="E547" t="str">
        <f>VLOOKUP(C547,Меню!A:E,4,0)</f>
        <v>Салат</v>
      </c>
      <c r="F547">
        <f>VLOOKUP(C547,Меню!A:E,5,0)</f>
        <v>250</v>
      </c>
    </row>
    <row r="548" spans="1:6" ht="15.75" hidden="1" customHeight="1" x14ac:dyDescent="0.35">
      <c r="A548" s="1">
        <v>547</v>
      </c>
      <c r="B548" s="1">
        <v>106</v>
      </c>
      <c r="C548" s="1">
        <v>20</v>
      </c>
      <c r="D548" t="str">
        <f>VLOOKUP(B548,Заказы!A:C,3,0)</f>
        <v>2023-04-04 17:22:00</v>
      </c>
      <c r="E548" t="str">
        <f>VLOOKUP(C548,Меню!A:E,4,0)</f>
        <v>Первое</v>
      </c>
      <c r="F548">
        <f>VLOOKUP(C548,Меню!A:E,5,0)</f>
        <v>250</v>
      </c>
    </row>
    <row r="549" spans="1:6" ht="15.75" hidden="1" customHeight="1" x14ac:dyDescent="0.35">
      <c r="A549" s="1">
        <v>548</v>
      </c>
      <c r="B549" s="1">
        <v>106</v>
      </c>
      <c r="C549" s="1">
        <v>2</v>
      </c>
      <c r="D549" t="str">
        <f>VLOOKUP(B549,Заказы!A:C,3,0)</f>
        <v>2023-04-04 17:22:00</v>
      </c>
      <c r="E549" t="str">
        <f>VLOOKUP(C549,Меню!A:E,4,0)</f>
        <v>Завтрак</v>
      </c>
      <c r="F549">
        <f>VLOOKUP(C549,Меню!A:E,5,0)</f>
        <v>250</v>
      </c>
    </row>
    <row r="550" spans="1:6" ht="15.75" hidden="1" customHeight="1" x14ac:dyDescent="0.35">
      <c r="A550" s="1">
        <v>549</v>
      </c>
      <c r="B550" s="1">
        <v>106</v>
      </c>
      <c r="C550" s="1">
        <v>58</v>
      </c>
      <c r="D550" t="str">
        <f>VLOOKUP(B550,Заказы!A:C,3,0)</f>
        <v>2023-04-04 17:22:00</v>
      </c>
      <c r="E550" t="str">
        <f>VLOOKUP(C550,Меню!A:E,4,0)</f>
        <v>Суши</v>
      </c>
      <c r="F550">
        <f>VLOOKUP(C550,Меню!A:E,5,0)</f>
        <v>200</v>
      </c>
    </row>
    <row r="551" spans="1:6" ht="15.75" hidden="1" customHeight="1" x14ac:dyDescent="0.35">
      <c r="A551" s="1">
        <v>550</v>
      </c>
      <c r="B551" s="1">
        <v>106</v>
      </c>
      <c r="C551" s="1">
        <v>25</v>
      </c>
      <c r="D551" t="str">
        <f>VLOOKUP(B551,Заказы!A:C,3,0)</f>
        <v>2023-04-04 17:22:00</v>
      </c>
      <c r="E551" t="str">
        <f>VLOOKUP(C551,Меню!A:E,4,0)</f>
        <v>Салат</v>
      </c>
      <c r="F551">
        <f>VLOOKUP(C551,Меню!A:E,5,0)</f>
        <v>250</v>
      </c>
    </row>
    <row r="552" spans="1:6" ht="15.75" hidden="1" customHeight="1" x14ac:dyDescent="0.35">
      <c r="A552" s="1">
        <v>551</v>
      </c>
      <c r="B552" s="1">
        <v>106</v>
      </c>
      <c r="C552" s="1">
        <v>18</v>
      </c>
      <c r="D552" t="str">
        <f>VLOOKUP(B552,Заказы!A:C,3,0)</f>
        <v>2023-04-04 17:22:00</v>
      </c>
      <c r="E552" t="str">
        <f>VLOOKUP(C552,Меню!A:E,4,0)</f>
        <v>Первое</v>
      </c>
      <c r="F552">
        <f>VLOOKUP(C552,Меню!A:E,5,0)</f>
        <v>300</v>
      </c>
    </row>
    <row r="553" spans="1:6" ht="15.75" hidden="1" customHeight="1" x14ac:dyDescent="0.35">
      <c r="A553" s="1">
        <v>552</v>
      </c>
      <c r="B553" s="1">
        <v>107</v>
      </c>
      <c r="C553" s="1">
        <v>31</v>
      </c>
      <c r="D553" t="str">
        <f>VLOOKUP(B553,Заказы!A:C,3,0)</f>
        <v>2023-04-04 17:34:00</v>
      </c>
      <c r="E553" t="str">
        <f>VLOOKUP(C553,Меню!A:E,4,0)</f>
        <v>Десерт</v>
      </c>
      <c r="F553">
        <f>VLOOKUP(C553,Меню!A:E,5,0)</f>
        <v>150</v>
      </c>
    </row>
    <row r="554" spans="1:6" ht="15.75" hidden="1" customHeight="1" x14ac:dyDescent="0.35">
      <c r="A554" s="1">
        <v>553</v>
      </c>
      <c r="B554" s="1">
        <v>107</v>
      </c>
      <c r="C554" s="1">
        <v>12</v>
      </c>
      <c r="D554" t="str">
        <f>VLOOKUP(B554,Заказы!A:C,3,0)</f>
        <v>2023-04-04 17:34:00</v>
      </c>
      <c r="E554" t="str">
        <f>VLOOKUP(C554,Меню!A:E,4,0)</f>
        <v>Первое</v>
      </c>
      <c r="F554">
        <f>VLOOKUP(C554,Меню!A:E,5,0)</f>
        <v>300</v>
      </c>
    </row>
    <row r="555" spans="1:6" ht="15.75" hidden="1" customHeight="1" x14ac:dyDescent="0.35">
      <c r="A555" s="1">
        <v>554</v>
      </c>
      <c r="B555" s="1">
        <v>107</v>
      </c>
      <c r="C555" s="1">
        <v>3</v>
      </c>
      <c r="D555" t="str">
        <f>VLOOKUP(B555,Заказы!A:C,3,0)</f>
        <v>2023-04-04 17:34:00</v>
      </c>
      <c r="E555" t="str">
        <f>VLOOKUP(C555,Меню!A:E,4,0)</f>
        <v>Завтрак</v>
      </c>
      <c r="F555">
        <f>VLOOKUP(C555,Меню!A:E,5,0)</f>
        <v>150</v>
      </c>
    </row>
    <row r="556" spans="1:6" ht="15.75" hidden="1" customHeight="1" x14ac:dyDescent="0.35">
      <c r="A556" s="1">
        <v>555</v>
      </c>
      <c r="B556" s="1">
        <v>107</v>
      </c>
      <c r="C556" s="1">
        <v>57</v>
      </c>
      <c r="D556" t="str">
        <f>VLOOKUP(B556,Заказы!A:C,3,0)</f>
        <v>2023-04-04 17:34:00</v>
      </c>
      <c r="E556" t="str">
        <f>VLOOKUP(C556,Меню!A:E,4,0)</f>
        <v>Суши</v>
      </c>
      <c r="F556">
        <f>VLOOKUP(C556,Меню!A:E,5,0)</f>
        <v>200</v>
      </c>
    </row>
    <row r="557" spans="1:6" ht="15.75" hidden="1" customHeight="1" x14ac:dyDescent="0.35">
      <c r="A557" s="1">
        <v>556</v>
      </c>
      <c r="B557" s="1">
        <v>107</v>
      </c>
      <c r="C557" s="1">
        <v>27</v>
      </c>
      <c r="D557" t="str">
        <f>VLOOKUP(B557,Заказы!A:C,3,0)</f>
        <v>2023-04-04 17:34:00</v>
      </c>
      <c r="E557" t="str">
        <f>VLOOKUP(C557,Меню!A:E,4,0)</f>
        <v>Салат</v>
      </c>
      <c r="F557">
        <f>VLOOKUP(C557,Меню!A:E,5,0)</f>
        <v>250</v>
      </c>
    </row>
    <row r="558" spans="1:6" ht="15.75" hidden="1" customHeight="1" x14ac:dyDescent="0.35">
      <c r="A558" s="1">
        <v>557</v>
      </c>
      <c r="B558" s="1">
        <v>107</v>
      </c>
      <c r="C558" s="1">
        <v>59</v>
      </c>
      <c r="D558" t="str">
        <f>VLOOKUP(B558,Заказы!A:C,3,0)</f>
        <v>2023-04-04 17:34:00</v>
      </c>
      <c r="E558" t="str">
        <f>VLOOKUP(C558,Меню!A:E,4,0)</f>
        <v>Суши</v>
      </c>
      <c r="F558">
        <f>VLOOKUP(C558,Меню!A:E,5,0)</f>
        <v>300</v>
      </c>
    </row>
    <row r="559" spans="1:6" ht="15.75" hidden="1" customHeight="1" x14ac:dyDescent="0.35">
      <c r="A559" s="1">
        <v>558</v>
      </c>
      <c r="B559" s="1">
        <v>108</v>
      </c>
      <c r="C559" s="1">
        <v>13</v>
      </c>
      <c r="D559" t="str">
        <f>VLOOKUP(B559,Заказы!A:C,3,0)</f>
        <v>2023-04-04 20:06:00</v>
      </c>
      <c r="E559" t="str">
        <f>VLOOKUP(C559,Меню!A:E,4,0)</f>
        <v>Первое</v>
      </c>
      <c r="F559">
        <f>VLOOKUP(C559,Меню!A:E,5,0)</f>
        <v>280</v>
      </c>
    </row>
    <row r="560" spans="1:6" ht="15.75" hidden="1" customHeight="1" x14ac:dyDescent="0.35">
      <c r="A560" s="1">
        <v>559</v>
      </c>
      <c r="B560" s="1">
        <v>108</v>
      </c>
      <c r="C560" s="1">
        <v>6</v>
      </c>
      <c r="D560" t="str">
        <f>VLOOKUP(B560,Заказы!A:C,3,0)</f>
        <v>2023-04-04 20:06:00</v>
      </c>
      <c r="E560" t="str">
        <f>VLOOKUP(C560,Меню!A:E,4,0)</f>
        <v>Завтрак</v>
      </c>
      <c r="F560">
        <f>VLOOKUP(C560,Меню!A:E,5,0)</f>
        <v>300</v>
      </c>
    </row>
    <row r="561" spans="1:6" ht="15.75" hidden="1" customHeight="1" x14ac:dyDescent="0.35">
      <c r="A561" s="1">
        <v>560</v>
      </c>
      <c r="B561" s="1">
        <v>108</v>
      </c>
      <c r="C561" s="1">
        <v>9</v>
      </c>
      <c r="D561" t="str">
        <f>VLOOKUP(B561,Заказы!A:C,3,0)</f>
        <v>2023-04-04 20:06:00</v>
      </c>
      <c r="E561" t="str">
        <f>VLOOKUP(C561,Меню!A:E,4,0)</f>
        <v>Завтрак</v>
      </c>
      <c r="F561">
        <f>VLOOKUP(C561,Меню!A:E,5,0)</f>
        <v>220</v>
      </c>
    </row>
    <row r="562" spans="1:6" ht="15.75" hidden="1" customHeight="1" x14ac:dyDescent="0.35">
      <c r="A562" s="1">
        <v>561</v>
      </c>
      <c r="B562" s="1">
        <v>109</v>
      </c>
      <c r="C562" s="1">
        <v>48</v>
      </c>
      <c r="D562" t="str">
        <f>VLOOKUP(B562,Заказы!A:C,3,0)</f>
        <v>2023-04-04 21:23:00</v>
      </c>
      <c r="E562" t="str">
        <f>VLOOKUP(C562,Меню!A:E,4,0)</f>
        <v>Суши</v>
      </c>
      <c r="F562">
        <f>VLOOKUP(C562,Меню!A:E,5,0)</f>
        <v>200</v>
      </c>
    </row>
    <row r="563" spans="1:6" ht="15.75" hidden="1" customHeight="1" x14ac:dyDescent="0.35">
      <c r="A563" s="1">
        <v>562</v>
      </c>
      <c r="B563" s="1">
        <v>109</v>
      </c>
      <c r="C563" s="1">
        <v>11</v>
      </c>
      <c r="D563" t="str">
        <f>VLOOKUP(B563,Заказы!A:C,3,0)</f>
        <v>2023-04-04 21:23:00</v>
      </c>
      <c r="E563" t="str">
        <f>VLOOKUP(C563,Меню!A:E,4,0)</f>
        <v>Первое</v>
      </c>
      <c r="F563">
        <f>VLOOKUP(C563,Меню!A:E,5,0)</f>
        <v>300</v>
      </c>
    </row>
    <row r="564" spans="1:6" ht="15.75" hidden="1" customHeight="1" x14ac:dyDescent="0.35">
      <c r="A564" s="1">
        <v>563</v>
      </c>
      <c r="B564" s="1">
        <v>109</v>
      </c>
      <c r="C564" s="1">
        <v>20</v>
      </c>
      <c r="D564" t="str">
        <f>VLOOKUP(B564,Заказы!A:C,3,0)</f>
        <v>2023-04-04 21:23:00</v>
      </c>
      <c r="E564" t="str">
        <f>VLOOKUP(C564,Меню!A:E,4,0)</f>
        <v>Первое</v>
      </c>
      <c r="F564">
        <f>VLOOKUP(C564,Меню!A:E,5,0)</f>
        <v>250</v>
      </c>
    </row>
    <row r="565" spans="1:6" ht="15.75" hidden="1" customHeight="1" x14ac:dyDescent="0.35">
      <c r="A565" s="1">
        <v>564</v>
      </c>
      <c r="B565" s="1">
        <v>109</v>
      </c>
      <c r="C565" s="1">
        <v>7</v>
      </c>
      <c r="D565" t="str">
        <f>VLOOKUP(B565,Заказы!A:C,3,0)</f>
        <v>2023-04-04 21:23:00</v>
      </c>
      <c r="E565" t="str">
        <f>VLOOKUP(C565,Меню!A:E,4,0)</f>
        <v>Завтрак</v>
      </c>
      <c r="F565">
        <f>VLOOKUP(C565,Меню!A:E,5,0)</f>
        <v>200</v>
      </c>
    </row>
    <row r="566" spans="1:6" ht="15.75" hidden="1" customHeight="1" x14ac:dyDescent="0.35">
      <c r="A566" s="1">
        <v>565</v>
      </c>
      <c r="B566" s="1">
        <v>109</v>
      </c>
      <c r="C566" s="1">
        <v>36</v>
      </c>
      <c r="D566" t="str">
        <f>VLOOKUP(B566,Заказы!A:C,3,0)</f>
        <v>2023-04-04 21:23:00</v>
      </c>
      <c r="E566" t="str">
        <f>VLOOKUP(C566,Меню!A:E,4,0)</f>
        <v>Десерт</v>
      </c>
      <c r="F566">
        <f>VLOOKUP(C566,Меню!A:E,5,0)</f>
        <v>150</v>
      </c>
    </row>
    <row r="567" spans="1:6" ht="15.75" hidden="1" customHeight="1" x14ac:dyDescent="0.35">
      <c r="A567" s="1">
        <v>566</v>
      </c>
      <c r="B567" s="1">
        <v>109</v>
      </c>
      <c r="C567" s="1">
        <v>7</v>
      </c>
      <c r="D567" t="str">
        <f>VLOOKUP(B567,Заказы!A:C,3,0)</f>
        <v>2023-04-04 21:23:00</v>
      </c>
      <c r="E567" t="str">
        <f>VLOOKUP(C567,Меню!A:E,4,0)</f>
        <v>Завтрак</v>
      </c>
      <c r="F567">
        <f>VLOOKUP(C567,Меню!A:E,5,0)</f>
        <v>200</v>
      </c>
    </row>
    <row r="568" spans="1:6" ht="15.75" hidden="1" customHeight="1" x14ac:dyDescent="0.35">
      <c r="A568" s="1">
        <v>567</v>
      </c>
      <c r="B568" s="1">
        <v>109</v>
      </c>
      <c r="C568" s="1">
        <v>22</v>
      </c>
      <c r="D568" t="str">
        <f>VLOOKUP(B568,Заказы!A:C,3,0)</f>
        <v>2023-04-04 21:23:00</v>
      </c>
      <c r="E568" t="str">
        <f>VLOOKUP(C568,Меню!A:E,4,0)</f>
        <v>Салат</v>
      </c>
      <c r="F568">
        <f>VLOOKUP(C568,Меню!A:E,5,0)</f>
        <v>250</v>
      </c>
    </row>
    <row r="569" spans="1:6" ht="15.75" hidden="1" customHeight="1" x14ac:dyDescent="0.35">
      <c r="A569" s="1">
        <v>568</v>
      </c>
      <c r="B569" s="1">
        <v>109</v>
      </c>
      <c r="C569" s="1">
        <v>3</v>
      </c>
      <c r="D569" t="str">
        <f>VLOOKUP(B569,Заказы!A:C,3,0)</f>
        <v>2023-04-04 21:23:00</v>
      </c>
      <c r="E569" t="str">
        <f>VLOOKUP(C569,Меню!A:E,4,0)</f>
        <v>Завтрак</v>
      </c>
      <c r="F569">
        <f>VLOOKUP(C569,Меню!A:E,5,0)</f>
        <v>150</v>
      </c>
    </row>
    <row r="570" spans="1:6" ht="15.75" hidden="1" customHeight="1" x14ac:dyDescent="0.35">
      <c r="A570" s="1">
        <v>569</v>
      </c>
      <c r="B570" s="1">
        <v>110</v>
      </c>
      <c r="C570" s="1">
        <v>21</v>
      </c>
      <c r="D570" t="str">
        <f>VLOOKUP(B570,Заказы!A:C,3,0)</f>
        <v>2023-04-05 15:35:00</v>
      </c>
      <c r="E570" t="str">
        <f>VLOOKUP(C570,Меню!A:E,4,0)</f>
        <v>Салат</v>
      </c>
      <c r="F570">
        <f>VLOOKUP(C570,Меню!A:E,5,0)</f>
        <v>250</v>
      </c>
    </row>
    <row r="571" spans="1:6" ht="15.75" hidden="1" customHeight="1" x14ac:dyDescent="0.35">
      <c r="A571" s="1">
        <v>570</v>
      </c>
      <c r="B571" s="1">
        <v>110</v>
      </c>
      <c r="C571" s="1">
        <v>22</v>
      </c>
      <c r="D571" t="str">
        <f>VLOOKUP(B571,Заказы!A:C,3,0)</f>
        <v>2023-04-05 15:35:00</v>
      </c>
      <c r="E571" t="str">
        <f>VLOOKUP(C571,Меню!A:E,4,0)</f>
        <v>Салат</v>
      </c>
      <c r="F571">
        <f>VLOOKUP(C571,Меню!A:E,5,0)</f>
        <v>250</v>
      </c>
    </row>
    <row r="572" spans="1:6" ht="15.75" hidden="1" customHeight="1" x14ac:dyDescent="0.35">
      <c r="A572" s="1">
        <v>571</v>
      </c>
      <c r="B572" s="1">
        <v>110</v>
      </c>
      <c r="C572" s="1">
        <v>38</v>
      </c>
      <c r="D572" t="str">
        <f>VLOOKUP(B572,Заказы!A:C,3,0)</f>
        <v>2023-04-05 15:35:00</v>
      </c>
      <c r="E572" t="str">
        <f>VLOOKUP(C572,Меню!A:E,4,0)</f>
        <v>Десерт</v>
      </c>
      <c r="F572">
        <f>VLOOKUP(C572,Меню!A:E,5,0)</f>
        <v>150</v>
      </c>
    </row>
    <row r="573" spans="1:6" ht="15.75" hidden="1" customHeight="1" x14ac:dyDescent="0.35">
      <c r="A573" s="1">
        <v>572</v>
      </c>
      <c r="B573" s="1">
        <v>111</v>
      </c>
      <c r="C573" s="1">
        <v>56</v>
      </c>
      <c r="D573" t="str">
        <f>VLOOKUP(B573,Заказы!A:C,3,0)</f>
        <v>2023-04-05 16:01:00</v>
      </c>
      <c r="E573" t="str">
        <f>VLOOKUP(C573,Меню!A:E,4,0)</f>
        <v>Суши</v>
      </c>
      <c r="F573">
        <f>VLOOKUP(C573,Меню!A:E,5,0)</f>
        <v>200</v>
      </c>
    </row>
    <row r="574" spans="1:6" ht="15.75" hidden="1" customHeight="1" x14ac:dyDescent="0.35">
      <c r="A574" s="1">
        <v>573</v>
      </c>
      <c r="B574" s="1">
        <v>111</v>
      </c>
      <c r="C574" s="1">
        <v>17</v>
      </c>
      <c r="D574" t="str">
        <f>VLOOKUP(B574,Заказы!A:C,3,0)</f>
        <v>2023-04-05 16:01:00</v>
      </c>
      <c r="E574" t="str">
        <f>VLOOKUP(C574,Меню!A:E,4,0)</f>
        <v>Первое</v>
      </c>
      <c r="F574">
        <f>VLOOKUP(C574,Меню!A:E,5,0)</f>
        <v>250</v>
      </c>
    </row>
    <row r="575" spans="1:6" ht="15.75" hidden="1" customHeight="1" x14ac:dyDescent="0.35">
      <c r="A575" s="1">
        <v>574</v>
      </c>
      <c r="B575" s="1">
        <v>111</v>
      </c>
      <c r="C575" s="1">
        <v>3</v>
      </c>
      <c r="D575" t="str">
        <f>VLOOKUP(B575,Заказы!A:C,3,0)</f>
        <v>2023-04-05 16:01:00</v>
      </c>
      <c r="E575" t="str">
        <f>VLOOKUP(C575,Меню!A:E,4,0)</f>
        <v>Завтрак</v>
      </c>
      <c r="F575">
        <f>VLOOKUP(C575,Меню!A:E,5,0)</f>
        <v>150</v>
      </c>
    </row>
    <row r="576" spans="1:6" ht="15.75" hidden="1" customHeight="1" x14ac:dyDescent="0.35">
      <c r="A576" s="1">
        <v>575</v>
      </c>
      <c r="B576" s="1">
        <v>111</v>
      </c>
      <c r="C576" s="1">
        <v>37</v>
      </c>
      <c r="D576" t="str">
        <f>VLOOKUP(B576,Заказы!A:C,3,0)</f>
        <v>2023-04-05 16:01:00</v>
      </c>
      <c r="E576" t="str">
        <f>VLOOKUP(C576,Меню!A:E,4,0)</f>
        <v>Десерт</v>
      </c>
      <c r="F576">
        <f>VLOOKUP(C576,Меню!A:E,5,0)</f>
        <v>100</v>
      </c>
    </row>
    <row r="577" spans="1:6" ht="15.75" hidden="1" customHeight="1" x14ac:dyDescent="0.35">
      <c r="A577" s="1">
        <v>576</v>
      </c>
      <c r="B577" s="1">
        <v>111</v>
      </c>
      <c r="C577" s="1">
        <v>18</v>
      </c>
      <c r="D577" t="str">
        <f>VLOOKUP(B577,Заказы!A:C,3,0)</f>
        <v>2023-04-05 16:01:00</v>
      </c>
      <c r="E577" t="str">
        <f>VLOOKUP(C577,Меню!A:E,4,0)</f>
        <v>Первое</v>
      </c>
      <c r="F577">
        <f>VLOOKUP(C577,Меню!A:E,5,0)</f>
        <v>300</v>
      </c>
    </row>
    <row r="578" spans="1:6" ht="15.75" hidden="1" customHeight="1" x14ac:dyDescent="0.35">
      <c r="A578" s="1">
        <v>577</v>
      </c>
      <c r="B578" s="1">
        <v>111</v>
      </c>
      <c r="C578" s="1">
        <v>54</v>
      </c>
      <c r="D578" t="str">
        <f>VLOOKUP(B578,Заказы!A:C,3,0)</f>
        <v>2023-04-05 16:01:00</v>
      </c>
      <c r="E578" t="str">
        <f>VLOOKUP(C578,Меню!A:E,4,0)</f>
        <v>Суши</v>
      </c>
      <c r="F578">
        <f>VLOOKUP(C578,Меню!A:E,5,0)</f>
        <v>100</v>
      </c>
    </row>
    <row r="579" spans="1:6" ht="15.75" hidden="1" customHeight="1" x14ac:dyDescent="0.35">
      <c r="A579" s="1">
        <v>578</v>
      </c>
      <c r="B579" s="1">
        <v>111</v>
      </c>
      <c r="C579" s="1">
        <v>60</v>
      </c>
      <c r="D579" t="str">
        <f>VLOOKUP(B579,Заказы!A:C,3,0)</f>
        <v>2023-04-05 16:01:00</v>
      </c>
      <c r="E579" t="str">
        <f>VLOOKUP(C579,Меню!A:E,4,0)</f>
        <v>Суши</v>
      </c>
      <c r="F579">
        <f>VLOOKUP(C579,Меню!A:E,5,0)</f>
        <v>250</v>
      </c>
    </row>
    <row r="580" spans="1:6" ht="15.75" hidden="1" customHeight="1" x14ac:dyDescent="0.35">
      <c r="A580" s="1">
        <v>579</v>
      </c>
      <c r="B580" s="1">
        <v>111</v>
      </c>
      <c r="C580" s="1">
        <v>16</v>
      </c>
      <c r="D580" t="str">
        <f>VLOOKUP(B580,Заказы!A:C,3,0)</f>
        <v>2023-04-05 16:01:00</v>
      </c>
      <c r="E580" t="str">
        <f>VLOOKUP(C580,Меню!A:E,4,0)</f>
        <v>Первое</v>
      </c>
      <c r="F580">
        <f>VLOOKUP(C580,Меню!A:E,5,0)</f>
        <v>250</v>
      </c>
    </row>
    <row r="581" spans="1:6" ht="15.75" hidden="1" customHeight="1" x14ac:dyDescent="0.35">
      <c r="A581" s="1">
        <v>580</v>
      </c>
      <c r="B581" s="1">
        <v>111</v>
      </c>
      <c r="C581" s="1">
        <v>50</v>
      </c>
      <c r="D581" t="str">
        <f>VLOOKUP(B581,Заказы!A:C,3,0)</f>
        <v>2023-04-05 16:01:00</v>
      </c>
      <c r="E581" t="str">
        <f>VLOOKUP(C581,Меню!A:E,4,0)</f>
        <v>Суши</v>
      </c>
      <c r="F581">
        <f>VLOOKUP(C581,Меню!A:E,5,0)</f>
        <v>200</v>
      </c>
    </row>
    <row r="582" spans="1:6" ht="15.75" hidden="1" customHeight="1" x14ac:dyDescent="0.35">
      <c r="A582" s="1">
        <v>581</v>
      </c>
      <c r="B582" s="1">
        <v>112</v>
      </c>
      <c r="C582" s="1">
        <v>3</v>
      </c>
      <c r="D582" t="str">
        <f>VLOOKUP(B582,Заказы!A:C,3,0)</f>
        <v>2023-04-05 17:05:00</v>
      </c>
      <c r="E582" t="str">
        <f>VLOOKUP(C582,Меню!A:E,4,0)</f>
        <v>Завтрак</v>
      </c>
      <c r="F582">
        <f>VLOOKUP(C582,Меню!A:E,5,0)</f>
        <v>150</v>
      </c>
    </row>
    <row r="583" spans="1:6" ht="15.75" hidden="1" customHeight="1" x14ac:dyDescent="0.35">
      <c r="A583" s="1">
        <v>582</v>
      </c>
      <c r="B583" s="1">
        <v>112</v>
      </c>
      <c r="C583" s="1">
        <v>39</v>
      </c>
      <c r="D583" t="str">
        <f>VLOOKUP(B583,Заказы!A:C,3,0)</f>
        <v>2023-04-05 17:05:00</v>
      </c>
      <c r="E583" t="str">
        <f>VLOOKUP(C583,Меню!A:E,4,0)</f>
        <v>Десерт</v>
      </c>
      <c r="F583">
        <f>VLOOKUP(C583,Меню!A:E,5,0)</f>
        <v>150</v>
      </c>
    </row>
    <row r="584" spans="1:6" ht="15.75" hidden="1" customHeight="1" x14ac:dyDescent="0.35">
      <c r="A584" s="1">
        <v>583</v>
      </c>
      <c r="B584" s="1">
        <v>112</v>
      </c>
      <c r="C584" s="1">
        <v>10</v>
      </c>
      <c r="D584" t="str">
        <f>VLOOKUP(B584,Заказы!A:C,3,0)</f>
        <v>2023-04-05 17:05:00</v>
      </c>
      <c r="E584" t="str">
        <f>VLOOKUP(C584,Меню!A:E,4,0)</f>
        <v>Завтрак</v>
      </c>
      <c r="F584">
        <f>VLOOKUP(C584,Меню!A:E,5,0)</f>
        <v>200</v>
      </c>
    </row>
    <row r="585" spans="1:6" ht="15.75" hidden="1" customHeight="1" x14ac:dyDescent="0.35">
      <c r="A585" s="1">
        <v>584</v>
      </c>
      <c r="B585" s="1">
        <v>112</v>
      </c>
      <c r="C585" s="1">
        <v>33</v>
      </c>
      <c r="D585" t="str">
        <f>VLOOKUP(B585,Заказы!A:C,3,0)</f>
        <v>2023-04-05 17:05:00</v>
      </c>
      <c r="E585" t="str">
        <f>VLOOKUP(C585,Меню!A:E,4,0)</f>
        <v>Десерт</v>
      </c>
      <c r="F585">
        <f>VLOOKUP(C585,Меню!A:E,5,0)</f>
        <v>150</v>
      </c>
    </row>
    <row r="586" spans="1:6" ht="15.75" hidden="1" customHeight="1" x14ac:dyDescent="0.35">
      <c r="A586" s="1">
        <v>585</v>
      </c>
      <c r="B586" s="1">
        <v>113</v>
      </c>
      <c r="C586" s="1">
        <v>58</v>
      </c>
      <c r="D586" t="str">
        <f>VLOOKUP(B586,Заказы!A:C,3,0)</f>
        <v>2023-04-05 19:57:00</v>
      </c>
      <c r="E586" t="str">
        <f>VLOOKUP(C586,Меню!A:E,4,0)</f>
        <v>Суши</v>
      </c>
      <c r="F586">
        <f>VLOOKUP(C586,Меню!A:E,5,0)</f>
        <v>200</v>
      </c>
    </row>
    <row r="587" spans="1:6" ht="15.75" hidden="1" customHeight="1" x14ac:dyDescent="0.35">
      <c r="A587" s="1">
        <v>586</v>
      </c>
      <c r="B587" s="1">
        <v>113</v>
      </c>
      <c r="C587" s="1">
        <v>9</v>
      </c>
      <c r="D587" t="str">
        <f>VLOOKUP(B587,Заказы!A:C,3,0)</f>
        <v>2023-04-05 19:57:00</v>
      </c>
      <c r="E587" t="str">
        <f>VLOOKUP(C587,Меню!A:E,4,0)</f>
        <v>Завтрак</v>
      </c>
      <c r="F587">
        <f>VLOOKUP(C587,Меню!A:E,5,0)</f>
        <v>220</v>
      </c>
    </row>
    <row r="588" spans="1:6" ht="15.75" hidden="1" customHeight="1" x14ac:dyDescent="0.35">
      <c r="A588" s="1">
        <v>587</v>
      </c>
      <c r="B588" s="1">
        <v>113</v>
      </c>
      <c r="C588" s="1">
        <v>33</v>
      </c>
      <c r="D588" t="str">
        <f>VLOOKUP(B588,Заказы!A:C,3,0)</f>
        <v>2023-04-05 19:57:00</v>
      </c>
      <c r="E588" t="str">
        <f>VLOOKUP(C588,Меню!A:E,4,0)</f>
        <v>Десерт</v>
      </c>
      <c r="F588">
        <f>VLOOKUP(C588,Меню!A:E,5,0)</f>
        <v>150</v>
      </c>
    </row>
    <row r="589" spans="1:6" ht="15.75" hidden="1" customHeight="1" x14ac:dyDescent="0.35">
      <c r="A589" s="1">
        <v>588</v>
      </c>
      <c r="B589" s="1">
        <v>113</v>
      </c>
      <c r="C589" s="1">
        <v>10</v>
      </c>
      <c r="D589" t="str">
        <f>VLOOKUP(B589,Заказы!A:C,3,0)</f>
        <v>2023-04-05 19:57:00</v>
      </c>
      <c r="E589" t="str">
        <f>VLOOKUP(C589,Меню!A:E,4,0)</f>
        <v>Завтрак</v>
      </c>
      <c r="F589">
        <f>VLOOKUP(C589,Меню!A:E,5,0)</f>
        <v>200</v>
      </c>
    </row>
    <row r="590" spans="1:6" ht="15.75" hidden="1" customHeight="1" x14ac:dyDescent="0.35">
      <c r="A590" s="1">
        <v>589</v>
      </c>
      <c r="B590" s="1">
        <v>114</v>
      </c>
      <c r="C590" s="1">
        <v>43</v>
      </c>
      <c r="D590" t="str">
        <f>VLOOKUP(B590,Заказы!A:C,3,0)</f>
        <v>2023-04-06 15:08:00</v>
      </c>
      <c r="E590" t="str">
        <f>VLOOKUP(C590,Меню!A:E,4,0)</f>
        <v>Суши</v>
      </c>
      <c r="F590">
        <f>VLOOKUP(C590,Меню!A:E,5,0)</f>
        <v>250</v>
      </c>
    </row>
    <row r="591" spans="1:6" ht="15.75" hidden="1" customHeight="1" x14ac:dyDescent="0.35">
      <c r="A591" s="1">
        <v>590</v>
      </c>
      <c r="B591" s="1">
        <v>114</v>
      </c>
      <c r="C591" s="1">
        <v>3</v>
      </c>
      <c r="D591" t="str">
        <f>VLOOKUP(B591,Заказы!A:C,3,0)</f>
        <v>2023-04-06 15:08:00</v>
      </c>
      <c r="E591" t="str">
        <f>VLOOKUP(C591,Меню!A:E,4,0)</f>
        <v>Завтрак</v>
      </c>
      <c r="F591">
        <f>VLOOKUP(C591,Меню!A:E,5,0)</f>
        <v>150</v>
      </c>
    </row>
    <row r="592" spans="1:6" ht="15.75" hidden="1" customHeight="1" x14ac:dyDescent="0.35">
      <c r="A592" s="1">
        <v>591</v>
      </c>
      <c r="B592" s="1">
        <v>114</v>
      </c>
      <c r="C592" s="1">
        <v>14</v>
      </c>
      <c r="D592" t="str">
        <f>VLOOKUP(B592,Заказы!A:C,3,0)</f>
        <v>2023-04-06 15:08:00</v>
      </c>
      <c r="E592" t="str">
        <f>VLOOKUP(C592,Меню!A:E,4,0)</f>
        <v>Первое</v>
      </c>
      <c r="F592">
        <f>VLOOKUP(C592,Меню!A:E,5,0)</f>
        <v>350</v>
      </c>
    </row>
    <row r="593" spans="1:6" ht="15.75" hidden="1" customHeight="1" x14ac:dyDescent="0.35">
      <c r="A593" s="1">
        <v>592</v>
      </c>
      <c r="B593" s="1">
        <v>115</v>
      </c>
      <c r="C593" s="1">
        <v>27</v>
      </c>
      <c r="D593" t="str">
        <f>VLOOKUP(B593,Заказы!A:C,3,0)</f>
        <v>2023-04-06 16:07:00</v>
      </c>
      <c r="E593" t="str">
        <f>VLOOKUP(C593,Меню!A:E,4,0)</f>
        <v>Салат</v>
      </c>
      <c r="F593">
        <f>VLOOKUP(C593,Меню!A:E,5,0)</f>
        <v>250</v>
      </c>
    </row>
    <row r="594" spans="1:6" ht="15.75" hidden="1" customHeight="1" x14ac:dyDescent="0.35">
      <c r="A594" s="1">
        <v>593</v>
      </c>
      <c r="B594" s="1">
        <v>115</v>
      </c>
      <c r="C594" s="1">
        <v>50</v>
      </c>
      <c r="D594" t="str">
        <f>VLOOKUP(B594,Заказы!A:C,3,0)</f>
        <v>2023-04-06 16:07:00</v>
      </c>
      <c r="E594" t="str">
        <f>VLOOKUP(C594,Меню!A:E,4,0)</f>
        <v>Суши</v>
      </c>
      <c r="F594">
        <f>VLOOKUP(C594,Меню!A:E,5,0)</f>
        <v>200</v>
      </c>
    </row>
    <row r="595" spans="1:6" ht="15.75" hidden="1" customHeight="1" x14ac:dyDescent="0.35">
      <c r="A595" s="1">
        <v>594</v>
      </c>
      <c r="B595" s="1">
        <v>115</v>
      </c>
      <c r="C595" s="1">
        <v>21</v>
      </c>
      <c r="D595" t="str">
        <f>VLOOKUP(B595,Заказы!A:C,3,0)</f>
        <v>2023-04-06 16:07:00</v>
      </c>
      <c r="E595" t="str">
        <f>VLOOKUP(C595,Меню!A:E,4,0)</f>
        <v>Салат</v>
      </c>
      <c r="F595">
        <f>VLOOKUP(C595,Меню!A:E,5,0)</f>
        <v>250</v>
      </c>
    </row>
    <row r="596" spans="1:6" ht="15.75" hidden="1" customHeight="1" x14ac:dyDescent="0.35">
      <c r="A596" s="1">
        <v>595</v>
      </c>
      <c r="B596" s="1">
        <v>116</v>
      </c>
      <c r="C596" s="1">
        <v>29</v>
      </c>
      <c r="D596" t="str">
        <f>VLOOKUP(B596,Заказы!A:C,3,0)</f>
        <v>2023-04-06 17:26:00</v>
      </c>
      <c r="E596" t="str">
        <f>VLOOKUP(C596,Меню!A:E,4,0)</f>
        <v>Салат</v>
      </c>
      <c r="F596">
        <f>VLOOKUP(C596,Меню!A:E,5,0)</f>
        <v>250</v>
      </c>
    </row>
    <row r="597" spans="1:6" ht="15.75" hidden="1" customHeight="1" x14ac:dyDescent="0.35">
      <c r="A597" s="1">
        <v>596</v>
      </c>
      <c r="B597" s="1">
        <v>116</v>
      </c>
      <c r="C597" s="1">
        <v>43</v>
      </c>
      <c r="D597" t="str">
        <f>VLOOKUP(B597,Заказы!A:C,3,0)</f>
        <v>2023-04-06 17:26:00</v>
      </c>
      <c r="E597" t="str">
        <f>VLOOKUP(C597,Меню!A:E,4,0)</f>
        <v>Суши</v>
      </c>
      <c r="F597">
        <f>VLOOKUP(C597,Меню!A:E,5,0)</f>
        <v>250</v>
      </c>
    </row>
    <row r="598" spans="1:6" ht="15.75" hidden="1" customHeight="1" x14ac:dyDescent="0.35">
      <c r="A598" s="1">
        <v>597</v>
      </c>
      <c r="B598" s="1">
        <v>116</v>
      </c>
      <c r="C598" s="1">
        <v>57</v>
      </c>
      <c r="D598" t="str">
        <f>VLOOKUP(B598,Заказы!A:C,3,0)</f>
        <v>2023-04-06 17:26:00</v>
      </c>
      <c r="E598" t="str">
        <f>VLOOKUP(C598,Меню!A:E,4,0)</f>
        <v>Суши</v>
      </c>
      <c r="F598">
        <f>VLOOKUP(C598,Меню!A:E,5,0)</f>
        <v>200</v>
      </c>
    </row>
    <row r="599" spans="1:6" ht="15.75" hidden="1" customHeight="1" x14ac:dyDescent="0.35">
      <c r="A599" s="1">
        <v>598</v>
      </c>
      <c r="B599" s="1">
        <v>116</v>
      </c>
      <c r="C599" s="1">
        <v>58</v>
      </c>
      <c r="D599" t="str">
        <f>VLOOKUP(B599,Заказы!A:C,3,0)</f>
        <v>2023-04-06 17:26:00</v>
      </c>
      <c r="E599" t="str">
        <f>VLOOKUP(C599,Меню!A:E,4,0)</f>
        <v>Суши</v>
      </c>
      <c r="F599">
        <f>VLOOKUP(C599,Меню!A:E,5,0)</f>
        <v>200</v>
      </c>
    </row>
    <row r="600" spans="1:6" ht="15.75" hidden="1" customHeight="1" x14ac:dyDescent="0.35">
      <c r="A600" s="1">
        <v>599</v>
      </c>
      <c r="B600" s="1">
        <v>116</v>
      </c>
      <c r="C600" s="1">
        <v>12</v>
      </c>
      <c r="D600" t="str">
        <f>VLOOKUP(B600,Заказы!A:C,3,0)</f>
        <v>2023-04-06 17:26:00</v>
      </c>
      <c r="E600" t="str">
        <f>VLOOKUP(C600,Меню!A:E,4,0)</f>
        <v>Первое</v>
      </c>
      <c r="F600">
        <f>VLOOKUP(C600,Меню!A:E,5,0)</f>
        <v>300</v>
      </c>
    </row>
    <row r="601" spans="1:6" ht="15.75" hidden="1" customHeight="1" x14ac:dyDescent="0.35">
      <c r="A601" s="1">
        <v>600</v>
      </c>
      <c r="B601" s="1">
        <v>116</v>
      </c>
      <c r="C601" s="1">
        <v>34</v>
      </c>
      <c r="D601" t="str">
        <f>VLOOKUP(B601,Заказы!A:C,3,0)</f>
        <v>2023-04-06 17:26:00</v>
      </c>
      <c r="E601" t="str">
        <f>VLOOKUP(C601,Меню!A:E,4,0)</f>
        <v>Десерт</v>
      </c>
      <c r="F601">
        <f>VLOOKUP(C601,Меню!A:E,5,0)</f>
        <v>150</v>
      </c>
    </row>
    <row r="602" spans="1:6" ht="15.75" hidden="1" customHeight="1" x14ac:dyDescent="0.35">
      <c r="A602" s="1">
        <v>601</v>
      </c>
      <c r="B602" s="1">
        <v>117</v>
      </c>
      <c r="C602" s="1">
        <v>6</v>
      </c>
      <c r="D602" t="str">
        <f>VLOOKUP(B602,Заказы!A:C,3,0)</f>
        <v>2023-04-06 17:34:00</v>
      </c>
      <c r="E602" t="str">
        <f>VLOOKUP(C602,Меню!A:E,4,0)</f>
        <v>Завтрак</v>
      </c>
      <c r="F602">
        <f>VLOOKUP(C602,Меню!A:E,5,0)</f>
        <v>300</v>
      </c>
    </row>
    <row r="603" spans="1:6" ht="15.75" hidden="1" customHeight="1" x14ac:dyDescent="0.35">
      <c r="A603" s="1">
        <v>602</v>
      </c>
      <c r="B603" s="1">
        <v>117</v>
      </c>
      <c r="C603" s="1">
        <v>37</v>
      </c>
      <c r="D603" t="str">
        <f>VLOOKUP(B603,Заказы!A:C,3,0)</f>
        <v>2023-04-06 17:34:00</v>
      </c>
      <c r="E603" t="str">
        <f>VLOOKUP(C603,Меню!A:E,4,0)</f>
        <v>Десерт</v>
      </c>
      <c r="F603">
        <f>VLOOKUP(C603,Меню!A:E,5,0)</f>
        <v>100</v>
      </c>
    </row>
    <row r="604" spans="1:6" ht="15.75" hidden="1" customHeight="1" x14ac:dyDescent="0.35">
      <c r="A604" s="1">
        <v>603</v>
      </c>
      <c r="B604" s="1">
        <v>117</v>
      </c>
      <c r="C604" s="1">
        <v>28</v>
      </c>
      <c r="D604" t="str">
        <f>VLOOKUP(B604,Заказы!A:C,3,0)</f>
        <v>2023-04-06 17:34:00</v>
      </c>
      <c r="E604" t="str">
        <f>VLOOKUP(C604,Меню!A:E,4,0)</f>
        <v>Салат</v>
      </c>
      <c r="F604">
        <f>VLOOKUP(C604,Меню!A:E,5,0)</f>
        <v>250</v>
      </c>
    </row>
    <row r="605" spans="1:6" ht="15.75" hidden="1" customHeight="1" x14ac:dyDescent="0.35">
      <c r="A605" s="1">
        <v>604</v>
      </c>
      <c r="B605" s="1">
        <v>118</v>
      </c>
      <c r="C605" s="1">
        <v>19</v>
      </c>
      <c r="D605" t="str">
        <f>VLOOKUP(B605,Заказы!A:C,3,0)</f>
        <v>2023-04-06 22:17:00</v>
      </c>
      <c r="E605" t="str">
        <f>VLOOKUP(C605,Меню!A:E,4,0)</f>
        <v>Первое</v>
      </c>
      <c r="F605">
        <f>VLOOKUP(C605,Меню!A:E,5,0)</f>
        <v>300</v>
      </c>
    </row>
    <row r="606" spans="1:6" ht="15.75" hidden="1" customHeight="1" x14ac:dyDescent="0.35">
      <c r="A606" s="1">
        <v>605</v>
      </c>
      <c r="B606" s="1">
        <v>118</v>
      </c>
      <c r="C606" s="1">
        <v>8</v>
      </c>
      <c r="D606" t="str">
        <f>VLOOKUP(B606,Заказы!A:C,3,0)</f>
        <v>2023-04-06 22:17:00</v>
      </c>
      <c r="E606" t="str">
        <f>VLOOKUP(C606,Меню!A:E,4,0)</f>
        <v>Завтрак</v>
      </c>
      <c r="F606">
        <f>VLOOKUP(C606,Меню!A:E,5,0)</f>
        <v>180</v>
      </c>
    </row>
    <row r="607" spans="1:6" ht="15.75" hidden="1" customHeight="1" x14ac:dyDescent="0.35">
      <c r="A607" s="1">
        <v>606</v>
      </c>
      <c r="B607" s="1">
        <v>118</v>
      </c>
      <c r="C607" s="1">
        <v>26</v>
      </c>
      <c r="D607" t="str">
        <f>VLOOKUP(B607,Заказы!A:C,3,0)</f>
        <v>2023-04-06 22:17:00</v>
      </c>
      <c r="E607" t="str">
        <f>VLOOKUP(C607,Меню!A:E,4,0)</f>
        <v>Салат</v>
      </c>
      <c r="F607">
        <f>VLOOKUP(C607,Меню!A:E,5,0)</f>
        <v>250</v>
      </c>
    </row>
    <row r="608" spans="1:6" ht="15.75" hidden="1" customHeight="1" x14ac:dyDescent="0.35">
      <c r="A608" s="1">
        <v>607</v>
      </c>
      <c r="B608" s="1">
        <v>118</v>
      </c>
      <c r="C608" s="1">
        <v>19</v>
      </c>
      <c r="D608" t="str">
        <f>VLOOKUP(B608,Заказы!A:C,3,0)</f>
        <v>2023-04-06 22:17:00</v>
      </c>
      <c r="E608" t="str">
        <f>VLOOKUP(C608,Меню!A:E,4,0)</f>
        <v>Первое</v>
      </c>
      <c r="F608">
        <f>VLOOKUP(C608,Меню!A:E,5,0)</f>
        <v>300</v>
      </c>
    </row>
    <row r="609" spans="1:6" ht="15.75" hidden="1" customHeight="1" x14ac:dyDescent="0.35">
      <c r="A609" s="1">
        <v>608</v>
      </c>
      <c r="B609" s="1">
        <v>118</v>
      </c>
      <c r="C609" s="1">
        <v>45</v>
      </c>
      <c r="D609" t="str">
        <f>VLOOKUP(B609,Заказы!A:C,3,0)</f>
        <v>2023-04-06 22:17:00</v>
      </c>
      <c r="E609" t="str">
        <f>VLOOKUP(C609,Меню!A:E,4,0)</f>
        <v>Суши</v>
      </c>
      <c r="F609">
        <f>VLOOKUP(C609,Меню!A:E,5,0)</f>
        <v>200</v>
      </c>
    </row>
    <row r="610" spans="1:6" ht="15.75" hidden="1" customHeight="1" x14ac:dyDescent="0.35">
      <c r="A610" s="1">
        <v>609</v>
      </c>
      <c r="B610" s="1">
        <v>118</v>
      </c>
      <c r="C610" s="1">
        <v>60</v>
      </c>
      <c r="D610" t="str">
        <f>VLOOKUP(B610,Заказы!A:C,3,0)</f>
        <v>2023-04-06 22:17:00</v>
      </c>
      <c r="E610" t="str">
        <f>VLOOKUP(C610,Меню!A:E,4,0)</f>
        <v>Суши</v>
      </c>
      <c r="F610">
        <f>VLOOKUP(C610,Меню!A:E,5,0)</f>
        <v>250</v>
      </c>
    </row>
    <row r="611" spans="1:6" ht="15.75" hidden="1" customHeight="1" x14ac:dyDescent="0.35">
      <c r="A611" s="1">
        <v>610</v>
      </c>
      <c r="B611" s="1">
        <v>119</v>
      </c>
      <c r="C611" s="1">
        <v>18</v>
      </c>
      <c r="D611" t="str">
        <f>VLOOKUP(B611,Заказы!A:C,3,0)</f>
        <v>2023-04-07 15:37:00</v>
      </c>
      <c r="E611" t="str">
        <f>VLOOKUP(C611,Меню!A:E,4,0)</f>
        <v>Первое</v>
      </c>
      <c r="F611">
        <f>VLOOKUP(C611,Меню!A:E,5,0)</f>
        <v>300</v>
      </c>
    </row>
    <row r="612" spans="1:6" ht="15.75" hidden="1" customHeight="1" x14ac:dyDescent="0.35">
      <c r="A612" s="1">
        <v>611</v>
      </c>
      <c r="B612" s="1">
        <v>119</v>
      </c>
      <c r="C612" s="1">
        <v>10</v>
      </c>
      <c r="D612" t="str">
        <f>VLOOKUP(B612,Заказы!A:C,3,0)</f>
        <v>2023-04-07 15:37:00</v>
      </c>
      <c r="E612" t="str">
        <f>VLOOKUP(C612,Меню!A:E,4,0)</f>
        <v>Завтрак</v>
      </c>
      <c r="F612">
        <f>VLOOKUP(C612,Меню!A:E,5,0)</f>
        <v>200</v>
      </c>
    </row>
    <row r="613" spans="1:6" ht="15.75" hidden="1" customHeight="1" x14ac:dyDescent="0.35">
      <c r="A613" s="1">
        <v>612</v>
      </c>
      <c r="B613" s="1">
        <v>119</v>
      </c>
      <c r="C613" s="1">
        <v>51</v>
      </c>
      <c r="D613" t="str">
        <f>VLOOKUP(B613,Заказы!A:C,3,0)</f>
        <v>2023-04-07 15:37:00</v>
      </c>
      <c r="E613" t="str">
        <f>VLOOKUP(C613,Меню!A:E,4,0)</f>
        <v>Суши</v>
      </c>
      <c r="F613">
        <f>VLOOKUP(C613,Меню!A:E,5,0)</f>
        <v>100</v>
      </c>
    </row>
    <row r="614" spans="1:6" ht="15.75" hidden="1" customHeight="1" x14ac:dyDescent="0.35">
      <c r="A614" s="1">
        <v>613</v>
      </c>
      <c r="B614" s="1">
        <v>119</v>
      </c>
      <c r="C614" s="1">
        <v>60</v>
      </c>
      <c r="D614" t="str">
        <f>VLOOKUP(B614,Заказы!A:C,3,0)</f>
        <v>2023-04-07 15:37:00</v>
      </c>
      <c r="E614" t="str">
        <f>VLOOKUP(C614,Меню!A:E,4,0)</f>
        <v>Суши</v>
      </c>
      <c r="F614">
        <f>VLOOKUP(C614,Меню!A:E,5,0)</f>
        <v>250</v>
      </c>
    </row>
    <row r="615" spans="1:6" ht="15.75" hidden="1" customHeight="1" x14ac:dyDescent="0.35">
      <c r="A615" s="1">
        <v>614</v>
      </c>
      <c r="B615" s="1">
        <v>120</v>
      </c>
      <c r="C615" s="1">
        <v>26</v>
      </c>
      <c r="D615" t="str">
        <f>VLOOKUP(B615,Заказы!A:C,3,0)</f>
        <v>2023-04-07 17:46:00</v>
      </c>
      <c r="E615" t="str">
        <f>VLOOKUP(C615,Меню!A:E,4,0)</f>
        <v>Салат</v>
      </c>
      <c r="F615">
        <f>VLOOKUP(C615,Меню!A:E,5,0)</f>
        <v>250</v>
      </c>
    </row>
    <row r="616" spans="1:6" ht="15.75" hidden="1" customHeight="1" x14ac:dyDescent="0.35">
      <c r="A616" s="1">
        <v>615</v>
      </c>
      <c r="B616" s="1">
        <v>120</v>
      </c>
      <c r="C616" s="1">
        <v>21</v>
      </c>
      <c r="D616" t="str">
        <f>VLOOKUP(B616,Заказы!A:C,3,0)</f>
        <v>2023-04-07 17:46:00</v>
      </c>
      <c r="E616" t="str">
        <f>VLOOKUP(C616,Меню!A:E,4,0)</f>
        <v>Салат</v>
      </c>
      <c r="F616">
        <f>VLOOKUP(C616,Меню!A:E,5,0)</f>
        <v>250</v>
      </c>
    </row>
    <row r="617" spans="1:6" ht="15.75" hidden="1" customHeight="1" x14ac:dyDescent="0.35">
      <c r="A617" s="1">
        <v>616</v>
      </c>
      <c r="B617" s="1">
        <v>120</v>
      </c>
      <c r="C617" s="1">
        <v>37</v>
      </c>
      <c r="D617" t="str">
        <f>VLOOKUP(B617,Заказы!A:C,3,0)</f>
        <v>2023-04-07 17:46:00</v>
      </c>
      <c r="E617" t="str">
        <f>VLOOKUP(C617,Меню!A:E,4,0)</f>
        <v>Десерт</v>
      </c>
      <c r="F617">
        <f>VLOOKUP(C617,Меню!A:E,5,0)</f>
        <v>100</v>
      </c>
    </row>
    <row r="618" spans="1:6" ht="15.75" hidden="1" customHeight="1" x14ac:dyDescent="0.35">
      <c r="A618" s="1">
        <v>617</v>
      </c>
      <c r="B618" s="1">
        <v>120</v>
      </c>
      <c r="C618" s="1">
        <v>7</v>
      </c>
      <c r="D618" t="str">
        <f>VLOOKUP(B618,Заказы!A:C,3,0)</f>
        <v>2023-04-07 17:46:00</v>
      </c>
      <c r="E618" t="str">
        <f>VLOOKUP(C618,Меню!A:E,4,0)</f>
        <v>Завтрак</v>
      </c>
      <c r="F618">
        <f>VLOOKUP(C618,Меню!A:E,5,0)</f>
        <v>200</v>
      </c>
    </row>
    <row r="619" spans="1:6" ht="15.75" hidden="1" customHeight="1" x14ac:dyDescent="0.35">
      <c r="A619" s="1">
        <v>618</v>
      </c>
      <c r="B619" s="1">
        <v>121</v>
      </c>
      <c r="C619" s="1">
        <v>17</v>
      </c>
      <c r="D619" t="str">
        <f>VLOOKUP(B619,Заказы!A:C,3,0)</f>
        <v>2023-04-07 18:18:00</v>
      </c>
      <c r="E619" t="str">
        <f>VLOOKUP(C619,Меню!A:E,4,0)</f>
        <v>Первое</v>
      </c>
      <c r="F619">
        <f>VLOOKUP(C619,Меню!A:E,5,0)</f>
        <v>250</v>
      </c>
    </row>
    <row r="620" spans="1:6" ht="15.75" hidden="1" customHeight="1" x14ac:dyDescent="0.35">
      <c r="A620" s="1">
        <v>619</v>
      </c>
      <c r="B620" s="1">
        <v>121</v>
      </c>
      <c r="C620" s="1">
        <v>43</v>
      </c>
      <c r="D620" t="str">
        <f>VLOOKUP(B620,Заказы!A:C,3,0)</f>
        <v>2023-04-07 18:18:00</v>
      </c>
      <c r="E620" t="str">
        <f>VLOOKUP(C620,Меню!A:E,4,0)</f>
        <v>Суши</v>
      </c>
      <c r="F620">
        <f>VLOOKUP(C620,Меню!A:E,5,0)</f>
        <v>250</v>
      </c>
    </row>
    <row r="621" spans="1:6" ht="15.75" hidden="1" customHeight="1" x14ac:dyDescent="0.35">
      <c r="A621" s="1">
        <v>620</v>
      </c>
      <c r="B621" s="1">
        <v>121</v>
      </c>
      <c r="C621" s="1">
        <v>40</v>
      </c>
      <c r="D621" t="str">
        <f>VLOOKUP(B621,Заказы!A:C,3,0)</f>
        <v>2023-04-07 18:18:00</v>
      </c>
      <c r="E621" t="str">
        <f>VLOOKUP(C621,Меню!A:E,4,0)</f>
        <v>Десерт</v>
      </c>
      <c r="F621">
        <f>VLOOKUP(C621,Меню!A:E,5,0)</f>
        <v>150</v>
      </c>
    </row>
    <row r="622" spans="1:6" ht="15.75" hidden="1" customHeight="1" x14ac:dyDescent="0.35">
      <c r="A622" s="1">
        <v>621</v>
      </c>
      <c r="B622" s="1">
        <v>121</v>
      </c>
      <c r="C622" s="1">
        <v>13</v>
      </c>
      <c r="D622" t="str">
        <f>VLOOKUP(B622,Заказы!A:C,3,0)</f>
        <v>2023-04-07 18:18:00</v>
      </c>
      <c r="E622" t="str">
        <f>VLOOKUP(C622,Меню!A:E,4,0)</f>
        <v>Первое</v>
      </c>
      <c r="F622">
        <f>VLOOKUP(C622,Меню!A:E,5,0)</f>
        <v>280</v>
      </c>
    </row>
    <row r="623" spans="1:6" ht="15.75" hidden="1" customHeight="1" x14ac:dyDescent="0.35">
      <c r="A623" s="1">
        <v>622</v>
      </c>
      <c r="B623" s="1">
        <v>122</v>
      </c>
      <c r="C623" s="1">
        <v>43</v>
      </c>
      <c r="D623" t="str">
        <f>VLOOKUP(B623,Заказы!A:C,3,0)</f>
        <v>2023-04-07 19:43:00</v>
      </c>
      <c r="E623" t="str">
        <f>VLOOKUP(C623,Меню!A:E,4,0)</f>
        <v>Суши</v>
      </c>
      <c r="F623">
        <f>VLOOKUP(C623,Меню!A:E,5,0)</f>
        <v>250</v>
      </c>
    </row>
    <row r="624" spans="1:6" ht="15.75" hidden="1" customHeight="1" x14ac:dyDescent="0.35">
      <c r="A624" s="1">
        <v>623</v>
      </c>
      <c r="B624" s="1">
        <v>122</v>
      </c>
      <c r="C624" s="1">
        <v>51</v>
      </c>
      <c r="D624" t="str">
        <f>VLOOKUP(B624,Заказы!A:C,3,0)</f>
        <v>2023-04-07 19:43:00</v>
      </c>
      <c r="E624" t="str">
        <f>VLOOKUP(C624,Меню!A:E,4,0)</f>
        <v>Суши</v>
      </c>
      <c r="F624">
        <f>VLOOKUP(C624,Меню!A:E,5,0)</f>
        <v>100</v>
      </c>
    </row>
    <row r="625" spans="1:6" ht="15.75" hidden="1" customHeight="1" x14ac:dyDescent="0.35">
      <c r="A625" s="1">
        <v>624</v>
      </c>
      <c r="B625" s="1">
        <v>122</v>
      </c>
      <c r="C625" s="1">
        <v>11</v>
      </c>
      <c r="D625" t="str">
        <f>VLOOKUP(B625,Заказы!A:C,3,0)</f>
        <v>2023-04-07 19:43:00</v>
      </c>
      <c r="E625" t="str">
        <f>VLOOKUP(C625,Меню!A:E,4,0)</f>
        <v>Первое</v>
      </c>
      <c r="F625">
        <f>VLOOKUP(C625,Меню!A:E,5,0)</f>
        <v>300</v>
      </c>
    </row>
    <row r="626" spans="1:6" ht="15.75" hidden="1" customHeight="1" x14ac:dyDescent="0.35">
      <c r="A626" s="1">
        <v>625</v>
      </c>
      <c r="B626" s="1">
        <v>122</v>
      </c>
      <c r="C626" s="1">
        <v>44</v>
      </c>
      <c r="D626" t="str">
        <f>VLOOKUP(B626,Заказы!A:C,3,0)</f>
        <v>2023-04-07 19:43:00</v>
      </c>
      <c r="E626" t="str">
        <f>VLOOKUP(C626,Меню!A:E,4,0)</f>
        <v>Суши</v>
      </c>
      <c r="F626">
        <f>VLOOKUP(C626,Меню!A:E,5,0)</f>
        <v>250</v>
      </c>
    </row>
    <row r="627" spans="1:6" ht="15.75" hidden="1" customHeight="1" x14ac:dyDescent="0.35">
      <c r="A627" s="1">
        <v>626</v>
      </c>
      <c r="B627" s="1">
        <v>122</v>
      </c>
      <c r="C627" s="1">
        <v>7</v>
      </c>
      <c r="D627" t="str">
        <f>VLOOKUP(B627,Заказы!A:C,3,0)</f>
        <v>2023-04-07 19:43:00</v>
      </c>
      <c r="E627" t="str">
        <f>VLOOKUP(C627,Меню!A:E,4,0)</f>
        <v>Завтрак</v>
      </c>
      <c r="F627">
        <f>VLOOKUP(C627,Меню!A:E,5,0)</f>
        <v>200</v>
      </c>
    </row>
    <row r="628" spans="1:6" ht="15.75" hidden="1" customHeight="1" x14ac:dyDescent="0.35">
      <c r="A628" s="1">
        <v>627</v>
      </c>
      <c r="B628" s="1">
        <v>122</v>
      </c>
      <c r="C628" s="1">
        <v>52</v>
      </c>
      <c r="D628" t="str">
        <f>VLOOKUP(B628,Заказы!A:C,3,0)</f>
        <v>2023-04-07 19:43:00</v>
      </c>
      <c r="E628" t="str">
        <f>VLOOKUP(C628,Меню!A:E,4,0)</f>
        <v>Суши</v>
      </c>
      <c r="F628">
        <f>VLOOKUP(C628,Меню!A:E,5,0)</f>
        <v>100</v>
      </c>
    </row>
    <row r="629" spans="1:6" ht="15.75" hidden="1" customHeight="1" x14ac:dyDescent="0.35">
      <c r="A629" s="1">
        <v>628</v>
      </c>
      <c r="B629" s="1">
        <v>122</v>
      </c>
      <c r="C629" s="1">
        <v>16</v>
      </c>
      <c r="D629" t="str">
        <f>VLOOKUP(B629,Заказы!A:C,3,0)</f>
        <v>2023-04-07 19:43:00</v>
      </c>
      <c r="E629" t="str">
        <f>VLOOKUP(C629,Меню!A:E,4,0)</f>
        <v>Первое</v>
      </c>
      <c r="F629">
        <f>VLOOKUP(C629,Меню!A:E,5,0)</f>
        <v>250</v>
      </c>
    </row>
    <row r="630" spans="1:6" ht="15.75" hidden="1" customHeight="1" x14ac:dyDescent="0.35">
      <c r="A630" s="1">
        <v>629</v>
      </c>
      <c r="B630" s="1">
        <v>123</v>
      </c>
      <c r="C630" s="1">
        <v>9</v>
      </c>
      <c r="D630" t="str">
        <f>VLOOKUP(B630,Заказы!A:C,3,0)</f>
        <v>2023-04-07 21:26:00</v>
      </c>
      <c r="E630" t="str">
        <f>VLOOKUP(C630,Меню!A:E,4,0)</f>
        <v>Завтрак</v>
      </c>
      <c r="F630">
        <f>VLOOKUP(C630,Меню!A:E,5,0)</f>
        <v>220</v>
      </c>
    </row>
    <row r="631" spans="1:6" ht="15.75" hidden="1" customHeight="1" x14ac:dyDescent="0.35">
      <c r="A631" s="1">
        <v>630</v>
      </c>
      <c r="B631" s="1">
        <v>123</v>
      </c>
      <c r="C631" s="1">
        <v>27</v>
      </c>
      <c r="D631" t="str">
        <f>VLOOKUP(B631,Заказы!A:C,3,0)</f>
        <v>2023-04-07 21:26:00</v>
      </c>
      <c r="E631" t="str">
        <f>VLOOKUP(C631,Меню!A:E,4,0)</f>
        <v>Салат</v>
      </c>
      <c r="F631">
        <f>VLOOKUP(C631,Меню!A:E,5,0)</f>
        <v>250</v>
      </c>
    </row>
    <row r="632" spans="1:6" ht="15.75" hidden="1" customHeight="1" x14ac:dyDescent="0.35">
      <c r="A632" s="1">
        <v>631</v>
      </c>
      <c r="B632" s="1">
        <v>123</v>
      </c>
      <c r="C632" s="1">
        <v>29</v>
      </c>
      <c r="D632" t="str">
        <f>VLOOKUP(B632,Заказы!A:C,3,0)</f>
        <v>2023-04-07 21:26:00</v>
      </c>
      <c r="E632" t="str">
        <f>VLOOKUP(C632,Меню!A:E,4,0)</f>
        <v>Салат</v>
      </c>
      <c r="F632">
        <f>VLOOKUP(C632,Меню!A:E,5,0)</f>
        <v>250</v>
      </c>
    </row>
    <row r="633" spans="1:6" ht="15.75" hidden="1" customHeight="1" x14ac:dyDescent="0.35">
      <c r="A633" s="1">
        <v>632</v>
      </c>
      <c r="B633" s="1">
        <v>123</v>
      </c>
      <c r="C633" s="1">
        <v>3</v>
      </c>
      <c r="D633" t="str">
        <f>VLOOKUP(B633,Заказы!A:C,3,0)</f>
        <v>2023-04-07 21:26:00</v>
      </c>
      <c r="E633" t="str">
        <f>VLOOKUP(C633,Меню!A:E,4,0)</f>
        <v>Завтрак</v>
      </c>
      <c r="F633">
        <f>VLOOKUP(C633,Меню!A:E,5,0)</f>
        <v>150</v>
      </c>
    </row>
    <row r="634" spans="1:6" ht="15.75" hidden="1" customHeight="1" x14ac:dyDescent="0.35">
      <c r="A634" s="1">
        <v>633</v>
      </c>
      <c r="B634" s="1">
        <v>123</v>
      </c>
      <c r="C634" s="1">
        <v>2</v>
      </c>
      <c r="D634" t="str">
        <f>VLOOKUP(B634,Заказы!A:C,3,0)</f>
        <v>2023-04-07 21:26:00</v>
      </c>
      <c r="E634" t="str">
        <f>VLOOKUP(C634,Меню!A:E,4,0)</f>
        <v>Завтрак</v>
      </c>
      <c r="F634">
        <f>VLOOKUP(C634,Меню!A:E,5,0)</f>
        <v>250</v>
      </c>
    </row>
    <row r="635" spans="1:6" ht="15.75" hidden="1" customHeight="1" x14ac:dyDescent="0.35">
      <c r="A635" s="1">
        <v>634</v>
      </c>
      <c r="B635" s="1">
        <v>123</v>
      </c>
      <c r="C635" s="1">
        <v>58</v>
      </c>
      <c r="D635" t="str">
        <f>VLOOKUP(B635,Заказы!A:C,3,0)</f>
        <v>2023-04-07 21:26:00</v>
      </c>
      <c r="E635" t="str">
        <f>VLOOKUP(C635,Меню!A:E,4,0)</f>
        <v>Суши</v>
      </c>
      <c r="F635">
        <f>VLOOKUP(C635,Меню!A:E,5,0)</f>
        <v>200</v>
      </c>
    </row>
    <row r="636" spans="1:6" ht="15.75" hidden="1" customHeight="1" x14ac:dyDescent="0.35">
      <c r="A636" s="1">
        <v>635</v>
      </c>
      <c r="B636" s="1">
        <v>124</v>
      </c>
      <c r="C636" s="1">
        <v>51</v>
      </c>
      <c r="D636" t="str">
        <f>VLOOKUP(B636,Заказы!A:C,3,0)</f>
        <v>2023-04-07 21:41:00</v>
      </c>
      <c r="E636" t="str">
        <f>VLOOKUP(C636,Меню!A:E,4,0)</f>
        <v>Суши</v>
      </c>
      <c r="F636">
        <f>VLOOKUP(C636,Меню!A:E,5,0)</f>
        <v>100</v>
      </c>
    </row>
    <row r="637" spans="1:6" ht="15.75" hidden="1" customHeight="1" x14ac:dyDescent="0.35">
      <c r="A637" s="1">
        <v>636</v>
      </c>
      <c r="B637" s="1">
        <v>124</v>
      </c>
      <c r="C637" s="1">
        <v>13</v>
      </c>
      <c r="D637" t="str">
        <f>VLOOKUP(B637,Заказы!A:C,3,0)</f>
        <v>2023-04-07 21:41:00</v>
      </c>
      <c r="E637" t="str">
        <f>VLOOKUP(C637,Меню!A:E,4,0)</f>
        <v>Первое</v>
      </c>
      <c r="F637">
        <f>VLOOKUP(C637,Меню!A:E,5,0)</f>
        <v>280</v>
      </c>
    </row>
    <row r="638" spans="1:6" ht="15.75" hidden="1" customHeight="1" x14ac:dyDescent="0.35">
      <c r="A638" s="1">
        <v>637</v>
      </c>
      <c r="B638" s="1">
        <v>124</v>
      </c>
      <c r="C638" s="1">
        <v>1</v>
      </c>
      <c r="D638" t="str">
        <f>VLOOKUP(B638,Заказы!A:C,3,0)</f>
        <v>2023-04-07 21:41:00</v>
      </c>
      <c r="E638" t="str">
        <f>VLOOKUP(C638,Меню!A:E,4,0)</f>
        <v>Завтрак</v>
      </c>
      <c r="F638">
        <f>VLOOKUP(C638,Меню!A:E,5,0)</f>
        <v>200</v>
      </c>
    </row>
    <row r="639" spans="1:6" ht="15.75" hidden="1" customHeight="1" x14ac:dyDescent="0.35">
      <c r="A639" s="1">
        <v>638</v>
      </c>
      <c r="B639" s="1">
        <v>124</v>
      </c>
      <c r="C639" s="1">
        <v>36</v>
      </c>
      <c r="D639" t="str">
        <f>VLOOKUP(B639,Заказы!A:C,3,0)</f>
        <v>2023-04-07 21:41:00</v>
      </c>
      <c r="E639" t="str">
        <f>VLOOKUP(C639,Меню!A:E,4,0)</f>
        <v>Десерт</v>
      </c>
      <c r="F639">
        <f>VLOOKUP(C639,Меню!A:E,5,0)</f>
        <v>150</v>
      </c>
    </row>
    <row r="640" spans="1:6" ht="15.75" hidden="1" customHeight="1" x14ac:dyDescent="0.35">
      <c r="A640" s="1">
        <v>639</v>
      </c>
      <c r="B640" s="1">
        <v>124</v>
      </c>
      <c r="C640" s="1">
        <v>8</v>
      </c>
      <c r="D640" t="str">
        <f>VLOOKUP(B640,Заказы!A:C,3,0)</f>
        <v>2023-04-07 21:41:00</v>
      </c>
      <c r="E640" t="str">
        <f>VLOOKUP(C640,Меню!A:E,4,0)</f>
        <v>Завтрак</v>
      </c>
      <c r="F640">
        <f>VLOOKUP(C640,Меню!A:E,5,0)</f>
        <v>180</v>
      </c>
    </row>
    <row r="641" spans="1:6" ht="15.75" hidden="1" customHeight="1" x14ac:dyDescent="0.35">
      <c r="A641" s="1">
        <v>640</v>
      </c>
      <c r="B641" s="1">
        <v>124</v>
      </c>
      <c r="C641" s="1">
        <v>45</v>
      </c>
      <c r="D641" t="str">
        <f>VLOOKUP(B641,Заказы!A:C,3,0)</f>
        <v>2023-04-07 21:41:00</v>
      </c>
      <c r="E641" t="str">
        <f>VLOOKUP(C641,Меню!A:E,4,0)</f>
        <v>Суши</v>
      </c>
      <c r="F641">
        <f>VLOOKUP(C641,Меню!A:E,5,0)</f>
        <v>200</v>
      </c>
    </row>
    <row r="642" spans="1:6" ht="15.75" hidden="1" customHeight="1" x14ac:dyDescent="0.35">
      <c r="A642" s="1">
        <v>641</v>
      </c>
      <c r="B642" s="1">
        <v>124</v>
      </c>
      <c r="C642" s="1">
        <v>37</v>
      </c>
      <c r="D642" t="str">
        <f>VLOOKUP(B642,Заказы!A:C,3,0)</f>
        <v>2023-04-07 21:41:00</v>
      </c>
      <c r="E642" t="str">
        <f>VLOOKUP(C642,Меню!A:E,4,0)</f>
        <v>Десерт</v>
      </c>
      <c r="F642">
        <f>VLOOKUP(C642,Меню!A:E,5,0)</f>
        <v>100</v>
      </c>
    </row>
    <row r="643" spans="1:6" ht="15.75" hidden="1" customHeight="1" x14ac:dyDescent="0.35">
      <c r="A643" s="1">
        <v>642</v>
      </c>
      <c r="B643" s="1">
        <v>124</v>
      </c>
      <c r="C643" s="1">
        <v>16</v>
      </c>
      <c r="D643" t="str">
        <f>VLOOKUP(B643,Заказы!A:C,3,0)</f>
        <v>2023-04-07 21:41:00</v>
      </c>
      <c r="E643" t="str">
        <f>VLOOKUP(C643,Меню!A:E,4,0)</f>
        <v>Первое</v>
      </c>
      <c r="F643">
        <f>VLOOKUP(C643,Меню!A:E,5,0)</f>
        <v>250</v>
      </c>
    </row>
    <row r="644" spans="1:6" ht="15.75" hidden="1" customHeight="1" x14ac:dyDescent="0.35">
      <c r="A644" s="1">
        <v>643</v>
      </c>
      <c r="B644" s="1">
        <v>125</v>
      </c>
      <c r="C644" s="1">
        <v>1</v>
      </c>
      <c r="D644" t="str">
        <f>VLOOKUP(B644,Заказы!A:C,3,0)</f>
        <v>2023-04-08 15:56:00</v>
      </c>
      <c r="E644" t="str">
        <f>VLOOKUP(C644,Меню!A:E,4,0)</f>
        <v>Завтрак</v>
      </c>
      <c r="F644">
        <f>VLOOKUP(C644,Меню!A:E,5,0)</f>
        <v>200</v>
      </c>
    </row>
    <row r="645" spans="1:6" ht="15.75" hidden="1" customHeight="1" x14ac:dyDescent="0.35">
      <c r="A645" s="1">
        <v>644</v>
      </c>
      <c r="B645" s="1">
        <v>125</v>
      </c>
      <c r="C645" s="1">
        <v>37</v>
      </c>
      <c r="D645" t="str">
        <f>VLOOKUP(B645,Заказы!A:C,3,0)</f>
        <v>2023-04-08 15:56:00</v>
      </c>
      <c r="E645" t="str">
        <f>VLOOKUP(C645,Меню!A:E,4,0)</f>
        <v>Десерт</v>
      </c>
      <c r="F645">
        <f>VLOOKUP(C645,Меню!A:E,5,0)</f>
        <v>100</v>
      </c>
    </row>
    <row r="646" spans="1:6" ht="15.75" hidden="1" customHeight="1" x14ac:dyDescent="0.35">
      <c r="A646" s="1">
        <v>645</v>
      </c>
      <c r="B646" s="1">
        <v>125</v>
      </c>
      <c r="C646" s="1">
        <v>60</v>
      </c>
      <c r="D646" t="str">
        <f>VLOOKUP(B646,Заказы!A:C,3,0)</f>
        <v>2023-04-08 15:56:00</v>
      </c>
      <c r="E646" t="str">
        <f>VLOOKUP(C646,Меню!A:E,4,0)</f>
        <v>Суши</v>
      </c>
      <c r="F646">
        <f>VLOOKUP(C646,Меню!A:E,5,0)</f>
        <v>250</v>
      </c>
    </row>
    <row r="647" spans="1:6" ht="15.75" hidden="1" customHeight="1" x14ac:dyDescent="0.35">
      <c r="A647" s="1">
        <v>646</v>
      </c>
      <c r="B647" s="1">
        <v>125</v>
      </c>
      <c r="C647" s="1">
        <v>56</v>
      </c>
      <c r="D647" t="str">
        <f>VLOOKUP(B647,Заказы!A:C,3,0)</f>
        <v>2023-04-08 15:56:00</v>
      </c>
      <c r="E647" t="str">
        <f>VLOOKUP(C647,Меню!A:E,4,0)</f>
        <v>Суши</v>
      </c>
      <c r="F647">
        <f>VLOOKUP(C647,Меню!A:E,5,0)</f>
        <v>200</v>
      </c>
    </row>
    <row r="648" spans="1:6" ht="15.75" hidden="1" customHeight="1" x14ac:dyDescent="0.35">
      <c r="A648" s="1">
        <v>647</v>
      </c>
      <c r="B648" s="1">
        <v>125</v>
      </c>
      <c r="C648" s="1">
        <v>18</v>
      </c>
      <c r="D648" t="str">
        <f>VLOOKUP(B648,Заказы!A:C,3,0)</f>
        <v>2023-04-08 15:56:00</v>
      </c>
      <c r="E648" t="str">
        <f>VLOOKUP(C648,Меню!A:E,4,0)</f>
        <v>Первое</v>
      </c>
      <c r="F648">
        <f>VLOOKUP(C648,Меню!A:E,5,0)</f>
        <v>300</v>
      </c>
    </row>
    <row r="649" spans="1:6" ht="15.75" hidden="1" customHeight="1" x14ac:dyDescent="0.35">
      <c r="A649" s="1">
        <v>648</v>
      </c>
      <c r="B649" s="1">
        <v>125</v>
      </c>
      <c r="C649" s="1">
        <v>11</v>
      </c>
      <c r="D649" t="str">
        <f>VLOOKUP(B649,Заказы!A:C,3,0)</f>
        <v>2023-04-08 15:56:00</v>
      </c>
      <c r="E649" t="str">
        <f>VLOOKUP(C649,Меню!A:E,4,0)</f>
        <v>Первое</v>
      </c>
      <c r="F649">
        <f>VLOOKUP(C649,Меню!A:E,5,0)</f>
        <v>300</v>
      </c>
    </row>
    <row r="650" spans="1:6" ht="15.75" hidden="1" customHeight="1" x14ac:dyDescent="0.35">
      <c r="A650" s="1">
        <v>649</v>
      </c>
      <c r="B650" s="1">
        <v>125</v>
      </c>
      <c r="C650" s="1">
        <v>49</v>
      </c>
      <c r="D650" t="str">
        <f>VLOOKUP(B650,Заказы!A:C,3,0)</f>
        <v>2023-04-08 15:56:00</v>
      </c>
      <c r="E650" t="str">
        <f>VLOOKUP(C650,Меню!A:E,4,0)</f>
        <v>Суши</v>
      </c>
      <c r="F650">
        <f>VLOOKUP(C650,Меню!A:E,5,0)</f>
        <v>200</v>
      </c>
    </row>
    <row r="651" spans="1:6" ht="15.75" hidden="1" customHeight="1" x14ac:dyDescent="0.35">
      <c r="A651" s="1">
        <v>650</v>
      </c>
      <c r="B651" s="1">
        <v>125</v>
      </c>
      <c r="C651" s="1">
        <v>50</v>
      </c>
      <c r="D651" t="str">
        <f>VLOOKUP(B651,Заказы!A:C,3,0)</f>
        <v>2023-04-08 15:56:00</v>
      </c>
      <c r="E651" t="str">
        <f>VLOOKUP(C651,Меню!A:E,4,0)</f>
        <v>Суши</v>
      </c>
      <c r="F651">
        <f>VLOOKUP(C651,Меню!A:E,5,0)</f>
        <v>200</v>
      </c>
    </row>
    <row r="652" spans="1:6" ht="15.75" hidden="1" customHeight="1" x14ac:dyDescent="0.35">
      <c r="A652" s="1">
        <v>651</v>
      </c>
      <c r="B652" s="1">
        <v>125</v>
      </c>
      <c r="C652" s="1">
        <v>45</v>
      </c>
      <c r="D652" t="str">
        <f>VLOOKUP(B652,Заказы!A:C,3,0)</f>
        <v>2023-04-08 15:56:00</v>
      </c>
      <c r="E652" t="str">
        <f>VLOOKUP(C652,Меню!A:E,4,0)</f>
        <v>Суши</v>
      </c>
      <c r="F652">
        <f>VLOOKUP(C652,Меню!A:E,5,0)</f>
        <v>200</v>
      </c>
    </row>
    <row r="653" spans="1:6" ht="15.75" hidden="1" customHeight="1" x14ac:dyDescent="0.35">
      <c r="A653" s="1">
        <v>652</v>
      </c>
      <c r="B653" s="1">
        <v>126</v>
      </c>
      <c r="C653" s="1">
        <v>46</v>
      </c>
      <c r="D653" t="str">
        <f>VLOOKUP(B653,Заказы!A:C,3,0)</f>
        <v>2023-04-08 19:08:00</v>
      </c>
      <c r="E653" t="str">
        <f>VLOOKUP(C653,Меню!A:E,4,0)</f>
        <v>Суши</v>
      </c>
      <c r="F653">
        <f>VLOOKUP(C653,Меню!A:E,5,0)</f>
        <v>200</v>
      </c>
    </row>
    <row r="654" spans="1:6" ht="15.75" hidden="1" customHeight="1" x14ac:dyDescent="0.35">
      <c r="A654" s="1">
        <v>653</v>
      </c>
      <c r="B654" s="1">
        <v>126</v>
      </c>
      <c r="C654" s="1">
        <v>37</v>
      </c>
      <c r="D654" t="str">
        <f>VLOOKUP(B654,Заказы!A:C,3,0)</f>
        <v>2023-04-08 19:08:00</v>
      </c>
      <c r="E654" t="str">
        <f>VLOOKUP(C654,Меню!A:E,4,0)</f>
        <v>Десерт</v>
      </c>
      <c r="F654">
        <f>VLOOKUP(C654,Меню!A:E,5,0)</f>
        <v>100</v>
      </c>
    </row>
    <row r="655" spans="1:6" ht="15.75" hidden="1" customHeight="1" x14ac:dyDescent="0.35">
      <c r="A655" s="1">
        <v>654</v>
      </c>
      <c r="B655" s="1">
        <v>126</v>
      </c>
      <c r="C655" s="1">
        <v>14</v>
      </c>
      <c r="D655" t="str">
        <f>VLOOKUP(B655,Заказы!A:C,3,0)</f>
        <v>2023-04-08 19:08:00</v>
      </c>
      <c r="E655" t="str">
        <f>VLOOKUP(C655,Меню!A:E,4,0)</f>
        <v>Первое</v>
      </c>
      <c r="F655">
        <f>VLOOKUP(C655,Меню!A:E,5,0)</f>
        <v>350</v>
      </c>
    </row>
    <row r="656" spans="1:6" ht="15.75" hidden="1" customHeight="1" x14ac:dyDescent="0.35">
      <c r="A656" s="1">
        <v>655</v>
      </c>
      <c r="B656" s="1">
        <v>126</v>
      </c>
      <c r="C656" s="1">
        <v>12</v>
      </c>
      <c r="D656" t="str">
        <f>VLOOKUP(B656,Заказы!A:C,3,0)</f>
        <v>2023-04-08 19:08:00</v>
      </c>
      <c r="E656" t="str">
        <f>VLOOKUP(C656,Меню!A:E,4,0)</f>
        <v>Первое</v>
      </c>
      <c r="F656">
        <f>VLOOKUP(C656,Меню!A:E,5,0)</f>
        <v>300</v>
      </c>
    </row>
    <row r="657" spans="1:6" ht="15.75" hidden="1" customHeight="1" x14ac:dyDescent="0.35">
      <c r="A657" s="1">
        <v>656</v>
      </c>
      <c r="B657" s="1">
        <v>126</v>
      </c>
      <c r="C657" s="1">
        <v>38</v>
      </c>
      <c r="D657" t="str">
        <f>VLOOKUP(B657,Заказы!A:C,3,0)</f>
        <v>2023-04-08 19:08:00</v>
      </c>
      <c r="E657" t="str">
        <f>VLOOKUP(C657,Меню!A:E,4,0)</f>
        <v>Десерт</v>
      </c>
      <c r="F657">
        <f>VLOOKUP(C657,Меню!A:E,5,0)</f>
        <v>150</v>
      </c>
    </row>
    <row r="658" spans="1:6" ht="15.75" hidden="1" customHeight="1" x14ac:dyDescent="0.35">
      <c r="A658" s="1">
        <v>657</v>
      </c>
      <c r="B658" s="1">
        <v>126</v>
      </c>
      <c r="C658" s="1">
        <v>50</v>
      </c>
      <c r="D658" t="str">
        <f>VLOOKUP(B658,Заказы!A:C,3,0)</f>
        <v>2023-04-08 19:08:00</v>
      </c>
      <c r="E658" t="str">
        <f>VLOOKUP(C658,Меню!A:E,4,0)</f>
        <v>Суши</v>
      </c>
      <c r="F658">
        <f>VLOOKUP(C658,Меню!A:E,5,0)</f>
        <v>200</v>
      </c>
    </row>
    <row r="659" spans="1:6" ht="15.75" hidden="1" customHeight="1" x14ac:dyDescent="0.35">
      <c r="A659" s="1">
        <v>658</v>
      </c>
      <c r="B659" s="1">
        <v>126</v>
      </c>
      <c r="C659" s="1">
        <v>42</v>
      </c>
      <c r="D659" t="str">
        <f>VLOOKUP(B659,Заказы!A:C,3,0)</f>
        <v>2023-04-08 19:08:00</v>
      </c>
      <c r="E659" t="str">
        <f>VLOOKUP(C659,Меню!A:E,4,0)</f>
        <v>Суши</v>
      </c>
      <c r="F659">
        <f>VLOOKUP(C659,Меню!A:E,5,0)</f>
        <v>250</v>
      </c>
    </row>
    <row r="660" spans="1:6" ht="15.75" hidden="1" customHeight="1" x14ac:dyDescent="0.35">
      <c r="A660" s="1">
        <v>659</v>
      </c>
      <c r="B660" s="1">
        <v>126</v>
      </c>
      <c r="C660" s="1">
        <v>2</v>
      </c>
      <c r="D660" t="str">
        <f>VLOOKUP(B660,Заказы!A:C,3,0)</f>
        <v>2023-04-08 19:08:00</v>
      </c>
      <c r="E660" t="str">
        <f>VLOOKUP(C660,Меню!A:E,4,0)</f>
        <v>Завтрак</v>
      </c>
      <c r="F660">
        <f>VLOOKUP(C660,Меню!A:E,5,0)</f>
        <v>250</v>
      </c>
    </row>
    <row r="661" spans="1:6" ht="15.75" hidden="1" customHeight="1" x14ac:dyDescent="0.35">
      <c r="A661" s="1">
        <v>660</v>
      </c>
      <c r="B661" s="1">
        <v>126</v>
      </c>
      <c r="C661" s="1">
        <v>18</v>
      </c>
      <c r="D661" t="str">
        <f>VLOOKUP(B661,Заказы!A:C,3,0)</f>
        <v>2023-04-08 19:08:00</v>
      </c>
      <c r="E661" t="str">
        <f>VLOOKUP(C661,Меню!A:E,4,0)</f>
        <v>Первое</v>
      </c>
      <c r="F661">
        <f>VLOOKUP(C661,Меню!A:E,5,0)</f>
        <v>300</v>
      </c>
    </row>
    <row r="662" spans="1:6" ht="15.75" hidden="1" customHeight="1" x14ac:dyDescent="0.35">
      <c r="A662" s="1">
        <v>661</v>
      </c>
      <c r="B662" s="1">
        <v>126</v>
      </c>
      <c r="C662" s="1">
        <v>49</v>
      </c>
      <c r="D662" t="str">
        <f>VLOOKUP(B662,Заказы!A:C,3,0)</f>
        <v>2023-04-08 19:08:00</v>
      </c>
      <c r="E662" t="str">
        <f>VLOOKUP(C662,Меню!A:E,4,0)</f>
        <v>Суши</v>
      </c>
      <c r="F662">
        <f>VLOOKUP(C662,Меню!A:E,5,0)</f>
        <v>200</v>
      </c>
    </row>
    <row r="663" spans="1:6" ht="15.75" hidden="1" customHeight="1" x14ac:dyDescent="0.35">
      <c r="A663" s="1">
        <v>662</v>
      </c>
      <c r="B663" s="1">
        <v>127</v>
      </c>
      <c r="C663" s="1">
        <v>57</v>
      </c>
      <c r="D663" t="str">
        <f>VLOOKUP(B663,Заказы!A:C,3,0)</f>
        <v>2023-04-08 22:40:00</v>
      </c>
      <c r="E663" t="str">
        <f>VLOOKUP(C663,Меню!A:E,4,0)</f>
        <v>Суши</v>
      </c>
      <c r="F663">
        <f>VLOOKUP(C663,Меню!A:E,5,0)</f>
        <v>200</v>
      </c>
    </row>
    <row r="664" spans="1:6" ht="15.75" hidden="1" customHeight="1" x14ac:dyDescent="0.35">
      <c r="A664" s="1">
        <v>663</v>
      </c>
      <c r="B664" s="1">
        <v>127</v>
      </c>
      <c r="C664" s="1">
        <v>55</v>
      </c>
      <c r="D664" t="str">
        <f>VLOOKUP(B664,Заказы!A:C,3,0)</f>
        <v>2023-04-08 22:40:00</v>
      </c>
      <c r="E664" t="str">
        <f>VLOOKUP(C664,Меню!A:E,4,0)</f>
        <v>Суши</v>
      </c>
      <c r="F664">
        <f>VLOOKUP(C664,Меню!A:E,5,0)</f>
        <v>100</v>
      </c>
    </row>
    <row r="665" spans="1:6" ht="15.75" hidden="1" customHeight="1" x14ac:dyDescent="0.35">
      <c r="A665" s="1">
        <v>664</v>
      </c>
      <c r="B665" s="1">
        <v>127</v>
      </c>
      <c r="C665" s="1">
        <v>60</v>
      </c>
      <c r="D665" t="str">
        <f>VLOOKUP(B665,Заказы!A:C,3,0)</f>
        <v>2023-04-08 22:40:00</v>
      </c>
      <c r="E665" t="str">
        <f>VLOOKUP(C665,Меню!A:E,4,0)</f>
        <v>Суши</v>
      </c>
      <c r="F665">
        <f>VLOOKUP(C665,Меню!A:E,5,0)</f>
        <v>250</v>
      </c>
    </row>
    <row r="666" spans="1:6" ht="15.75" hidden="1" customHeight="1" x14ac:dyDescent="0.35">
      <c r="A666" s="1">
        <v>665</v>
      </c>
      <c r="B666" s="1">
        <v>127</v>
      </c>
      <c r="C666" s="1">
        <v>53</v>
      </c>
      <c r="D666" t="str">
        <f>VLOOKUP(B666,Заказы!A:C,3,0)</f>
        <v>2023-04-08 22:40:00</v>
      </c>
      <c r="E666" t="str">
        <f>VLOOKUP(C666,Меню!A:E,4,0)</f>
        <v>Суши</v>
      </c>
      <c r="F666">
        <f>VLOOKUP(C666,Меню!A:E,5,0)</f>
        <v>100</v>
      </c>
    </row>
    <row r="667" spans="1:6" ht="15.75" hidden="1" customHeight="1" x14ac:dyDescent="0.35">
      <c r="A667" s="1">
        <v>666</v>
      </c>
      <c r="B667" s="1">
        <v>127</v>
      </c>
      <c r="C667" s="1">
        <v>41</v>
      </c>
      <c r="D667" t="str">
        <f>VLOOKUP(B667,Заказы!A:C,3,0)</f>
        <v>2023-04-08 22:40:00</v>
      </c>
      <c r="E667" t="str">
        <f>VLOOKUP(C667,Меню!A:E,4,0)</f>
        <v>Суши</v>
      </c>
      <c r="F667">
        <f>VLOOKUP(C667,Меню!A:E,5,0)</f>
        <v>220</v>
      </c>
    </row>
    <row r="668" spans="1:6" ht="15.75" hidden="1" customHeight="1" x14ac:dyDescent="0.35">
      <c r="A668" s="1">
        <v>667</v>
      </c>
      <c r="B668" s="1">
        <v>127</v>
      </c>
      <c r="C668" s="1">
        <v>47</v>
      </c>
      <c r="D668" t="str">
        <f>VLOOKUP(B668,Заказы!A:C,3,0)</f>
        <v>2023-04-08 22:40:00</v>
      </c>
      <c r="E668" t="str">
        <f>VLOOKUP(C668,Меню!A:E,4,0)</f>
        <v>Суши</v>
      </c>
      <c r="F668">
        <f>VLOOKUP(C668,Меню!A:E,5,0)</f>
        <v>200</v>
      </c>
    </row>
    <row r="669" spans="1:6" ht="15.75" hidden="1" customHeight="1" x14ac:dyDescent="0.35">
      <c r="A669" s="1">
        <v>668</v>
      </c>
      <c r="B669" s="1">
        <v>128</v>
      </c>
      <c r="C669" s="1">
        <v>4</v>
      </c>
      <c r="D669" t="str">
        <f>VLOOKUP(B669,Заказы!A:C,3,0)</f>
        <v>2023-04-08 22:55:00</v>
      </c>
      <c r="E669" t="str">
        <f>VLOOKUP(C669,Меню!A:E,4,0)</f>
        <v>Завтрак</v>
      </c>
      <c r="F669">
        <f>VLOOKUP(C669,Меню!A:E,5,0)</f>
        <v>180</v>
      </c>
    </row>
    <row r="670" spans="1:6" ht="15.75" hidden="1" customHeight="1" x14ac:dyDescent="0.35">
      <c r="A670" s="1">
        <v>669</v>
      </c>
      <c r="B670" s="1">
        <v>128</v>
      </c>
      <c r="C670" s="1">
        <v>56</v>
      </c>
      <c r="D670" t="str">
        <f>VLOOKUP(B670,Заказы!A:C,3,0)</f>
        <v>2023-04-08 22:55:00</v>
      </c>
      <c r="E670" t="str">
        <f>VLOOKUP(C670,Меню!A:E,4,0)</f>
        <v>Суши</v>
      </c>
      <c r="F670">
        <f>VLOOKUP(C670,Меню!A:E,5,0)</f>
        <v>200</v>
      </c>
    </row>
    <row r="671" spans="1:6" ht="15.75" hidden="1" customHeight="1" x14ac:dyDescent="0.35">
      <c r="A671" s="1">
        <v>670</v>
      </c>
      <c r="B671" s="1">
        <v>128</v>
      </c>
      <c r="C671" s="1">
        <v>34</v>
      </c>
      <c r="D671" t="str">
        <f>VLOOKUP(B671,Заказы!A:C,3,0)</f>
        <v>2023-04-08 22:55:00</v>
      </c>
      <c r="E671" t="str">
        <f>VLOOKUP(C671,Меню!A:E,4,0)</f>
        <v>Десерт</v>
      </c>
      <c r="F671">
        <f>VLOOKUP(C671,Меню!A:E,5,0)</f>
        <v>150</v>
      </c>
    </row>
    <row r="672" spans="1:6" ht="15.75" hidden="1" customHeight="1" x14ac:dyDescent="0.35">
      <c r="A672" s="1">
        <v>671</v>
      </c>
      <c r="B672" s="1">
        <v>128</v>
      </c>
      <c r="C672" s="1">
        <v>5</v>
      </c>
      <c r="D672" t="str">
        <f>VLOOKUP(B672,Заказы!A:C,3,0)</f>
        <v>2023-04-08 22:55:00</v>
      </c>
      <c r="E672" t="str">
        <f>VLOOKUP(C672,Меню!A:E,4,0)</f>
        <v>Завтрак</v>
      </c>
      <c r="F672">
        <f>VLOOKUP(C672,Меню!A:E,5,0)</f>
        <v>220</v>
      </c>
    </row>
    <row r="673" spans="1:6" ht="15.75" hidden="1" customHeight="1" x14ac:dyDescent="0.35">
      <c r="A673" s="1">
        <v>672</v>
      </c>
      <c r="B673" s="1">
        <v>128</v>
      </c>
      <c r="C673" s="1">
        <v>52</v>
      </c>
      <c r="D673" t="str">
        <f>VLOOKUP(B673,Заказы!A:C,3,0)</f>
        <v>2023-04-08 22:55:00</v>
      </c>
      <c r="E673" t="str">
        <f>VLOOKUP(C673,Меню!A:E,4,0)</f>
        <v>Суши</v>
      </c>
      <c r="F673">
        <f>VLOOKUP(C673,Меню!A:E,5,0)</f>
        <v>100</v>
      </c>
    </row>
    <row r="674" spans="1:6" ht="15.75" hidden="1" customHeight="1" x14ac:dyDescent="0.35">
      <c r="A674" s="1">
        <v>673</v>
      </c>
      <c r="B674" s="1">
        <v>128</v>
      </c>
      <c r="C674" s="1">
        <v>23</v>
      </c>
      <c r="D674" t="str">
        <f>VLOOKUP(B674,Заказы!A:C,3,0)</f>
        <v>2023-04-08 22:55:00</v>
      </c>
      <c r="E674" t="str">
        <f>VLOOKUP(C674,Меню!A:E,4,0)</f>
        <v>Салат</v>
      </c>
      <c r="F674">
        <f>VLOOKUP(C674,Меню!A:E,5,0)</f>
        <v>250</v>
      </c>
    </row>
    <row r="675" spans="1:6" ht="15.75" hidden="1" customHeight="1" x14ac:dyDescent="0.35">
      <c r="A675" s="1">
        <v>674</v>
      </c>
      <c r="B675" s="1">
        <v>129</v>
      </c>
      <c r="C675" s="1">
        <v>7</v>
      </c>
      <c r="D675" t="str">
        <f>VLOOKUP(B675,Заказы!A:C,3,0)</f>
        <v>2023-04-08 22:55:00</v>
      </c>
      <c r="E675" t="str">
        <f>VLOOKUP(C675,Меню!A:E,4,0)</f>
        <v>Завтрак</v>
      </c>
      <c r="F675">
        <f>VLOOKUP(C675,Меню!A:E,5,0)</f>
        <v>200</v>
      </c>
    </row>
    <row r="676" spans="1:6" ht="15.75" hidden="1" customHeight="1" x14ac:dyDescent="0.35">
      <c r="A676" s="1">
        <v>675</v>
      </c>
      <c r="B676" s="1">
        <v>129</v>
      </c>
      <c r="C676" s="1">
        <v>34</v>
      </c>
      <c r="D676" t="str">
        <f>VLOOKUP(B676,Заказы!A:C,3,0)</f>
        <v>2023-04-08 22:55:00</v>
      </c>
      <c r="E676" t="str">
        <f>VLOOKUP(C676,Меню!A:E,4,0)</f>
        <v>Десерт</v>
      </c>
      <c r="F676">
        <f>VLOOKUP(C676,Меню!A:E,5,0)</f>
        <v>150</v>
      </c>
    </row>
    <row r="677" spans="1:6" ht="15.75" hidden="1" customHeight="1" x14ac:dyDescent="0.35">
      <c r="A677" s="1">
        <v>676</v>
      </c>
      <c r="B677" s="1">
        <v>129</v>
      </c>
      <c r="C677" s="1">
        <v>56</v>
      </c>
      <c r="D677" t="str">
        <f>VLOOKUP(B677,Заказы!A:C,3,0)</f>
        <v>2023-04-08 22:55:00</v>
      </c>
      <c r="E677" t="str">
        <f>VLOOKUP(C677,Меню!A:E,4,0)</f>
        <v>Суши</v>
      </c>
      <c r="F677">
        <f>VLOOKUP(C677,Меню!A:E,5,0)</f>
        <v>200</v>
      </c>
    </row>
    <row r="678" spans="1:6" ht="15.75" hidden="1" customHeight="1" x14ac:dyDescent="0.35">
      <c r="A678" s="1">
        <v>677</v>
      </c>
      <c r="B678" s="1">
        <v>129</v>
      </c>
      <c r="C678" s="1">
        <v>30</v>
      </c>
      <c r="D678" t="str">
        <f>VLOOKUP(B678,Заказы!A:C,3,0)</f>
        <v>2023-04-08 22:55:00</v>
      </c>
      <c r="E678" t="str">
        <f>VLOOKUP(C678,Меню!A:E,4,0)</f>
        <v>Салат</v>
      </c>
      <c r="F678">
        <f>VLOOKUP(C678,Меню!A:E,5,0)</f>
        <v>250</v>
      </c>
    </row>
    <row r="679" spans="1:6" ht="15.75" hidden="1" customHeight="1" x14ac:dyDescent="0.35">
      <c r="A679" s="1">
        <v>678</v>
      </c>
      <c r="B679" s="1">
        <v>129</v>
      </c>
      <c r="C679" s="1">
        <v>2</v>
      </c>
      <c r="D679" t="str">
        <f>VLOOKUP(B679,Заказы!A:C,3,0)</f>
        <v>2023-04-08 22:55:00</v>
      </c>
      <c r="E679" t="str">
        <f>VLOOKUP(C679,Меню!A:E,4,0)</f>
        <v>Завтрак</v>
      </c>
      <c r="F679">
        <f>VLOOKUP(C679,Меню!A:E,5,0)</f>
        <v>250</v>
      </c>
    </row>
    <row r="680" spans="1:6" ht="15.75" hidden="1" customHeight="1" x14ac:dyDescent="0.35">
      <c r="A680" s="1">
        <v>679</v>
      </c>
      <c r="B680" s="1">
        <v>129</v>
      </c>
      <c r="C680" s="1">
        <v>13</v>
      </c>
      <c r="D680" t="str">
        <f>VLOOKUP(B680,Заказы!A:C,3,0)</f>
        <v>2023-04-08 22:55:00</v>
      </c>
      <c r="E680" t="str">
        <f>VLOOKUP(C680,Меню!A:E,4,0)</f>
        <v>Первое</v>
      </c>
      <c r="F680">
        <f>VLOOKUP(C680,Меню!A:E,5,0)</f>
        <v>280</v>
      </c>
    </row>
    <row r="681" spans="1:6" ht="15.75" hidden="1" customHeight="1" x14ac:dyDescent="0.35">
      <c r="A681" s="1">
        <v>680</v>
      </c>
      <c r="B681" s="1">
        <v>130</v>
      </c>
      <c r="C681" s="1">
        <v>31</v>
      </c>
      <c r="D681" t="str">
        <f>VLOOKUP(B681,Заказы!A:C,3,0)</f>
        <v>2023-04-09 18:03:00</v>
      </c>
      <c r="E681" t="str">
        <f>VLOOKUP(C681,Меню!A:E,4,0)</f>
        <v>Десерт</v>
      </c>
      <c r="F681">
        <f>VLOOKUP(C681,Меню!A:E,5,0)</f>
        <v>150</v>
      </c>
    </row>
    <row r="682" spans="1:6" ht="15.75" hidden="1" customHeight="1" x14ac:dyDescent="0.35">
      <c r="A682" s="1">
        <v>681</v>
      </c>
      <c r="B682" s="1">
        <v>131</v>
      </c>
      <c r="C682" s="1">
        <v>54</v>
      </c>
      <c r="D682" t="str">
        <f>VLOOKUP(B682,Заказы!A:C,3,0)</f>
        <v>2023-04-09 19:11:00</v>
      </c>
      <c r="E682" t="str">
        <f>VLOOKUP(C682,Меню!A:E,4,0)</f>
        <v>Суши</v>
      </c>
      <c r="F682">
        <f>VLOOKUP(C682,Меню!A:E,5,0)</f>
        <v>100</v>
      </c>
    </row>
    <row r="683" spans="1:6" ht="15.75" hidden="1" customHeight="1" x14ac:dyDescent="0.35">
      <c r="A683" s="1">
        <v>682</v>
      </c>
      <c r="B683" s="1">
        <v>131</v>
      </c>
      <c r="C683" s="1">
        <v>50</v>
      </c>
      <c r="D683" t="str">
        <f>VLOOKUP(B683,Заказы!A:C,3,0)</f>
        <v>2023-04-09 19:11:00</v>
      </c>
      <c r="E683" t="str">
        <f>VLOOKUP(C683,Меню!A:E,4,0)</f>
        <v>Суши</v>
      </c>
      <c r="F683">
        <f>VLOOKUP(C683,Меню!A:E,5,0)</f>
        <v>200</v>
      </c>
    </row>
    <row r="684" spans="1:6" ht="15.75" hidden="1" customHeight="1" x14ac:dyDescent="0.35">
      <c r="A684" s="1">
        <v>683</v>
      </c>
      <c r="B684" s="1">
        <v>131</v>
      </c>
      <c r="C684" s="1">
        <v>17</v>
      </c>
      <c r="D684" t="str">
        <f>VLOOKUP(B684,Заказы!A:C,3,0)</f>
        <v>2023-04-09 19:11:00</v>
      </c>
      <c r="E684" t="str">
        <f>VLOOKUP(C684,Меню!A:E,4,0)</f>
        <v>Первое</v>
      </c>
      <c r="F684">
        <f>VLOOKUP(C684,Меню!A:E,5,0)</f>
        <v>250</v>
      </c>
    </row>
    <row r="685" spans="1:6" ht="15.75" hidden="1" customHeight="1" x14ac:dyDescent="0.35">
      <c r="A685" s="1">
        <v>684</v>
      </c>
      <c r="B685" s="1">
        <v>131</v>
      </c>
      <c r="C685" s="1">
        <v>16</v>
      </c>
      <c r="D685" t="str">
        <f>VLOOKUP(B685,Заказы!A:C,3,0)</f>
        <v>2023-04-09 19:11:00</v>
      </c>
      <c r="E685" t="str">
        <f>VLOOKUP(C685,Меню!A:E,4,0)</f>
        <v>Первое</v>
      </c>
      <c r="F685">
        <f>VLOOKUP(C685,Меню!A:E,5,0)</f>
        <v>250</v>
      </c>
    </row>
    <row r="686" spans="1:6" ht="15.75" hidden="1" customHeight="1" x14ac:dyDescent="0.35">
      <c r="A686" s="1">
        <v>685</v>
      </c>
      <c r="B686" s="1">
        <v>131</v>
      </c>
      <c r="C686" s="1">
        <v>26</v>
      </c>
      <c r="D686" t="str">
        <f>VLOOKUP(B686,Заказы!A:C,3,0)</f>
        <v>2023-04-09 19:11:00</v>
      </c>
      <c r="E686" t="str">
        <f>VLOOKUP(C686,Меню!A:E,4,0)</f>
        <v>Салат</v>
      </c>
      <c r="F686">
        <f>VLOOKUP(C686,Меню!A:E,5,0)</f>
        <v>250</v>
      </c>
    </row>
    <row r="687" spans="1:6" ht="15.75" hidden="1" customHeight="1" x14ac:dyDescent="0.35">
      <c r="A687" s="1">
        <v>686</v>
      </c>
      <c r="B687" s="1">
        <v>131</v>
      </c>
      <c r="C687" s="1">
        <v>32</v>
      </c>
      <c r="D687" t="str">
        <f>VLOOKUP(B687,Заказы!A:C,3,0)</f>
        <v>2023-04-09 19:11:00</v>
      </c>
      <c r="E687" t="str">
        <f>VLOOKUP(C687,Меню!A:E,4,0)</f>
        <v>Десерт</v>
      </c>
      <c r="F687">
        <f>VLOOKUP(C687,Меню!A:E,5,0)</f>
        <v>150</v>
      </c>
    </row>
    <row r="688" spans="1:6" ht="15.75" hidden="1" customHeight="1" x14ac:dyDescent="0.35">
      <c r="A688" s="1">
        <v>687</v>
      </c>
      <c r="B688" s="1">
        <v>131</v>
      </c>
      <c r="C688" s="1">
        <v>59</v>
      </c>
      <c r="D688" t="str">
        <f>VLOOKUP(B688,Заказы!A:C,3,0)</f>
        <v>2023-04-09 19:11:00</v>
      </c>
      <c r="E688" t="str">
        <f>VLOOKUP(C688,Меню!A:E,4,0)</f>
        <v>Суши</v>
      </c>
      <c r="F688">
        <f>VLOOKUP(C688,Меню!A:E,5,0)</f>
        <v>300</v>
      </c>
    </row>
    <row r="689" spans="1:6" ht="15.75" hidden="1" customHeight="1" x14ac:dyDescent="0.35">
      <c r="A689" s="1">
        <v>688</v>
      </c>
      <c r="B689" s="1">
        <v>132</v>
      </c>
      <c r="C689" s="1">
        <v>32</v>
      </c>
      <c r="D689" t="str">
        <f>VLOOKUP(B689,Заказы!A:C,3,0)</f>
        <v>2023-04-09 22:23:00</v>
      </c>
      <c r="E689" t="str">
        <f>VLOOKUP(C689,Меню!A:E,4,0)</f>
        <v>Десерт</v>
      </c>
      <c r="F689">
        <f>VLOOKUP(C689,Меню!A:E,5,0)</f>
        <v>150</v>
      </c>
    </row>
    <row r="690" spans="1:6" ht="15.75" hidden="1" customHeight="1" x14ac:dyDescent="0.35">
      <c r="A690" s="1">
        <v>689</v>
      </c>
      <c r="B690" s="1">
        <v>132</v>
      </c>
      <c r="C690" s="1">
        <v>37</v>
      </c>
      <c r="D690" t="str">
        <f>VLOOKUP(B690,Заказы!A:C,3,0)</f>
        <v>2023-04-09 22:23:00</v>
      </c>
      <c r="E690" t="str">
        <f>VLOOKUP(C690,Меню!A:E,4,0)</f>
        <v>Десерт</v>
      </c>
      <c r="F690">
        <f>VLOOKUP(C690,Меню!A:E,5,0)</f>
        <v>100</v>
      </c>
    </row>
    <row r="691" spans="1:6" ht="15.75" hidden="1" customHeight="1" x14ac:dyDescent="0.35">
      <c r="A691" s="1">
        <v>690</v>
      </c>
      <c r="B691" s="1">
        <v>132</v>
      </c>
      <c r="C691" s="1">
        <v>23</v>
      </c>
      <c r="D691" t="str">
        <f>VLOOKUP(B691,Заказы!A:C,3,0)</f>
        <v>2023-04-09 22:23:00</v>
      </c>
      <c r="E691" t="str">
        <f>VLOOKUP(C691,Меню!A:E,4,0)</f>
        <v>Салат</v>
      </c>
      <c r="F691">
        <f>VLOOKUP(C691,Меню!A:E,5,0)</f>
        <v>250</v>
      </c>
    </row>
    <row r="692" spans="1:6" ht="15.75" hidden="1" customHeight="1" x14ac:dyDescent="0.35">
      <c r="A692" s="1">
        <v>691</v>
      </c>
      <c r="B692" s="1">
        <v>132</v>
      </c>
      <c r="C692" s="1">
        <v>53</v>
      </c>
      <c r="D692" t="str">
        <f>VLOOKUP(B692,Заказы!A:C,3,0)</f>
        <v>2023-04-09 22:23:00</v>
      </c>
      <c r="E692" t="str">
        <f>VLOOKUP(C692,Меню!A:E,4,0)</f>
        <v>Суши</v>
      </c>
      <c r="F692">
        <f>VLOOKUP(C692,Меню!A:E,5,0)</f>
        <v>100</v>
      </c>
    </row>
    <row r="693" spans="1:6" ht="15.75" hidden="1" customHeight="1" x14ac:dyDescent="0.35">
      <c r="A693" s="1">
        <v>692</v>
      </c>
      <c r="B693" s="1">
        <v>132</v>
      </c>
      <c r="C693" s="1">
        <v>40</v>
      </c>
      <c r="D693" t="str">
        <f>VLOOKUP(B693,Заказы!A:C,3,0)</f>
        <v>2023-04-09 22:23:00</v>
      </c>
      <c r="E693" t="str">
        <f>VLOOKUP(C693,Меню!A:E,4,0)</f>
        <v>Десерт</v>
      </c>
      <c r="F693">
        <f>VLOOKUP(C693,Меню!A:E,5,0)</f>
        <v>150</v>
      </c>
    </row>
    <row r="694" spans="1:6" ht="15.75" hidden="1" customHeight="1" x14ac:dyDescent="0.35">
      <c r="A694" s="1">
        <v>693</v>
      </c>
      <c r="B694" s="1">
        <v>133</v>
      </c>
      <c r="C694" s="1">
        <v>34</v>
      </c>
      <c r="D694" t="str">
        <f>VLOOKUP(B694,Заказы!A:C,3,0)</f>
        <v>2023-04-09 22:35:00</v>
      </c>
      <c r="E694" t="str">
        <f>VLOOKUP(C694,Меню!A:E,4,0)</f>
        <v>Десерт</v>
      </c>
      <c r="F694">
        <f>VLOOKUP(C694,Меню!A:E,5,0)</f>
        <v>150</v>
      </c>
    </row>
    <row r="695" spans="1:6" ht="15.75" hidden="1" customHeight="1" x14ac:dyDescent="0.35">
      <c r="A695" s="1">
        <v>694</v>
      </c>
      <c r="B695" s="1">
        <v>133</v>
      </c>
      <c r="C695" s="1">
        <v>2</v>
      </c>
      <c r="D695" t="str">
        <f>VLOOKUP(B695,Заказы!A:C,3,0)</f>
        <v>2023-04-09 22:35:00</v>
      </c>
      <c r="E695" t="str">
        <f>VLOOKUP(C695,Меню!A:E,4,0)</f>
        <v>Завтрак</v>
      </c>
      <c r="F695">
        <f>VLOOKUP(C695,Меню!A:E,5,0)</f>
        <v>250</v>
      </c>
    </row>
    <row r="696" spans="1:6" ht="15.75" hidden="1" customHeight="1" x14ac:dyDescent="0.35">
      <c r="A696" s="1">
        <v>695</v>
      </c>
      <c r="B696" s="1">
        <v>134</v>
      </c>
      <c r="C696" s="1">
        <v>25</v>
      </c>
      <c r="D696" t="str">
        <f>VLOOKUP(B696,Заказы!A:C,3,0)</f>
        <v>2023-04-10 15:18:00</v>
      </c>
      <c r="E696" t="str">
        <f>VLOOKUP(C696,Меню!A:E,4,0)</f>
        <v>Салат</v>
      </c>
      <c r="F696">
        <f>VLOOKUP(C696,Меню!A:E,5,0)</f>
        <v>250</v>
      </c>
    </row>
    <row r="697" spans="1:6" ht="15.75" hidden="1" customHeight="1" x14ac:dyDescent="0.35">
      <c r="A697" s="1">
        <v>696</v>
      </c>
      <c r="B697" s="1">
        <v>134</v>
      </c>
      <c r="C697" s="1">
        <v>22</v>
      </c>
      <c r="D697" t="str">
        <f>VLOOKUP(B697,Заказы!A:C,3,0)</f>
        <v>2023-04-10 15:18:00</v>
      </c>
      <c r="E697" t="str">
        <f>VLOOKUP(C697,Меню!A:E,4,0)</f>
        <v>Салат</v>
      </c>
      <c r="F697">
        <f>VLOOKUP(C697,Меню!A:E,5,0)</f>
        <v>250</v>
      </c>
    </row>
    <row r="698" spans="1:6" ht="15.75" hidden="1" customHeight="1" x14ac:dyDescent="0.35">
      <c r="A698" s="1">
        <v>697</v>
      </c>
      <c r="B698" s="1">
        <v>134</v>
      </c>
      <c r="C698" s="1">
        <v>51</v>
      </c>
      <c r="D698" t="str">
        <f>VLOOKUP(B698,Заказы!A:C,3,0)</f>
        <v>2023-04-10 15:18:00</v>
      </c>
      <c r="E698" t="str">
        <f>VLOOKUP(C698,Меню!A:E,4,0)</f>
        <v>Суши</v>
      </c>
      <c r="F698">
        <f>VLOOKUP(C698,Меню!A:E,5,0)</f>
        <v>100</v>
      </c>
    </row>
    <row r="699" spans="1:6" ht="15.75" hidden="1" customHeight="1" x14ac:dyDescent="0.35">
      <c r="A699" s="1">
        <v>698</v>
      </c>
      <c r="B699" s="1">
        <v>134</v>
      </c>
      <c r="C699" s="1">
        <v>55</v>
      </c>
      <c r="D699" t="str">
        <f>VLOOKUP(B699,Заказы!A:C,3,0)</f>
        <v>2023-04-10 15:18:00</v>
      </c>
      <c r="E699" t="str">
        <f>VLOOKUP(C699,Меню!A:E,4,0)</f>
        <v>Суши</v>
      </c>
      <c r="F699">
        <f>VLOOKUP(C699,Меню!A:E,5,0)</f>
        <v>100</v>
      </c>
    </row>
    <row r="700" spans="1:6" ht="15.75" hidden="1" customHeight="1" x14ac:dyDescent="0.35">
      <c r="A700" s="1">
        <v>699</v>
      </c>
      <c r="B700" s="1">
        <v>134</v>
      </c>
      <c r="C700" s="1">
        <v>31</v>
      </c>
      <c r="D700" t="str">
        <f>VLOOKUP(B700,Заказы!A:C,3,0)</f>
        <v>2023-04-10 15:18:00</v>
      </c>
      <c r="E700" t="str">
        <f>VLOOKUP(C700,Меню!A:E,4,0)</f>
        <v>Десерт</v>
      </c>
      <c r="F700">
        <f>VLOOKUP(C700,Меню!A:E,5,0)</f>
        <v>150</v>
      </c>
    </row>
    <row r="701" spans="1:6" ht="15.75" hidden="1" customHeight="1" x14ac:dyDescent="0.35">
      <c r="A701" s="1">
        <v>700</v>
      </c>
      <c r="B701" s="1">
        <v>135</v>
      </c>
      <c r="C701" s="1">
        <v>49</v>
      </c>
      <c r="D701" t="str">
        <f>VLOOKUP(B701,Заказы!A:C,3,0)</f>
        <v>2023-04-10 18:25:00</v>
      </c>
      <c r="E701" t="str">
        <f>VLOOKUP(C701,Меню!A:E,4,0)</f>
        <v>Суши</v>
      </c>
      <c r="F701">
        <f>VLOOKUP(C701,Меню!A:E,5,0)</f>
        <v>200</v>
      </c>
    </row>
    <row r="702" spans="1:6" ht="15.75" hidden="1" customHeight="1" x14ac:dyDescent="0.35">
      <c r="A702" s="1">
        <v>701</v>
      </c>
      <c r="B702" s="1">
        <v>136</v>
      </c>
      <c r="C702" s="1">
        <v>45</v>
      </c>
      <c r="D702" t="str">
        <f>VLOOKUP(B702,Заказы!A:C,3,0)</f>
        <v>2023-04-10 20:31:00</v>
      </c>
      <c r="E702" t="str">
        <f>VLOOKUP(C702,Меню!A:E,4,0)</f>
        <v>Суши</v>
      </c>
      <c r="F702">
        <f>VLOOKUP(C702,Меню!A:E,5,0)</f>
        <v>200</v>
      </c>
    </row>
    <row r="703" spans="1:6" ht="15.75" hidden="1" customHeight="1" x14ac:dyDescent="0.35">
      <c r="A703" s="1">
        <v>702</v>
      </c>
      <c r="B703" s="1">
        <v>136</v>
      </c>
      <c r="C703" s="1">
        <v>10</v>
      </c>
      <c r="D703" t="str">
        <f>VLOOKUP(B703,Заказы!A:C,3,0)</f>
        <v>2023-04-10 20:31:00</v>
      </c>
      <c r="E703" t="str">
        <f>VLOOKUP(C703,Меню!A:E,4,0)</f>
        <v>Завтрак</v>
      </c>
      <c r="F703">
        <f>VLOOKUP(C703,Меню!A:E,5,0)</f>
        <v>200</v>
      </c>
    </row>
    <row r="704" spans="1:6" ht="15.75" hidden="1" customHeight="1" x14ac:dyDescent="0.35">
      <c r="A704" s="1">
        <v>703</v>
      </c>
      <c r="B704" s="1">
        <v>137</v>
      </c>
      <c r="C704" s="1">
        <v>18</v>
      </c>
      <c r="D704" t="str">
        <f>VLOOKUP(B704,Заказы!A:C,3,0)</f>
        <v>2023-04-10 22:05:00</v>
      </c>
      <c r="E704" t="str">
        <f>VLOOKUP(C704,Меню!A:E,4,0)</f>
        <v>Первое</v>
      </c>
      <c r="F704">
        <f>VLOOKUP(C704,Меню!A:E,5,0)</f>
        <v>300</v>
      </c>
    </row>
    <row r="705" spans="1:6" ht="15.75" hidden="1" customHeight="1" x14ac:dyDescent="0.35">
      <c r="A705" s="1">
        <v>704</v>
      </c>
      <c r="B705" s="1">
        <v>138</v>
      </c>
      <c r="C705" s="1">
        <v>23</v>
      </c>
      <c r="D705" t="str">
        <f>VLOOKUP(B705,Заказы!A:C,3,0)</f>
        <v>2023-04-11 16:58:00</v>
      </c>
      <c r="E705" t="str">
        <f>VLOOKUP(C705,Меню!A:E,4,0)</f>
        <v>Салат</v>
      </c>
      <c r="F705">
        <f>VLOOKUP(C705,Меню!A:E,5,0)</f>
        <v>250</v>
      </c>
    </row>
    <row r="706" spans="1:6" ht="15.75" hidden="1" customHeight="1" x14ac:dyDescent="0.35">
      <c r="A706" s="1">
        <v>705</v>
      </c>
      <c r="B706" s="1">
        <v>138</v>
      </c>
      <c r="C706" s="1">
        <v>59</v>
      </c>
      <c r="D706" t="str">
        <f>VLOOKUP(B706,Заказы!A:C,3,0)</f>
        <v>2023-04-11 16:58:00</v>
      </c>
      <c r="E706" t="str">
        <f>VLOOKUP(C706,Меню!A:E,4,0)</f>
        <v>Суши</v>
      </c>
      <c r="F706">
        <f>VLOOKUP(C706,Меню!A:E,5,0)</f>
        <v>300</v>
      </c>
    </row>
    <row r="707" spans="1:6" ht="15.75" hidden="1" customHeight="1" x14ac:dyDescent="0.35">
      <c r="A707" s="1">
        <v>706</v>
      </c>
      <c r="B707" s="1">
        <v>138</v>
      </c>
      <c r="C707" s="1">
        <v>18</v>
      </c>
      <c r="D707" t="str">
        <f>VLOOKUP(B707,Заказы!A:C,3,0)</f>
        <v>2023-04-11 16:58:00</v>
      </c>
      <c r="E707" t="str">
        <f>VLOOKUP(C707,Меню!A:E,4,0)</f>
        <v>Первое</v>
      </c>
      <c r="F707">
        <f>VLOOKUP(C707,Меню!A:E,5,0)</f>
        <v>300</v>
      </c>
    </row>
    <row r="708" spans="1:6" ht="15.75" hidden="1" customHeight="1" x14ac:dyDescent="0.35">
      <c r="A708" s="1">
        <v>707</v>
      </c>
      <c r="B708" s="1">
        <v>138</v>
      </c>
      <c r="C708" s="1">
        <v>29</v>
      </c>
      <c r="D708" t="str">
        <f>VLOOKUP(B708,Заказы!A:C,3,0)</f>
        <v>2023-04-11 16:58:00</v>
      </c>
      <c r="E708" t="str">
        <f>VLOOKUP(C708,Меню!A:E,4,0)</f>
        <v>Салат</v>
      </c>
      <c r="F708">
        <f>VLOOKUP(C708,Меню!A:E,5,0)</f>
        <v>250</v>
      </c>
    </row>
    <row r="709" spans="1:6" ht="15.75" hidden="1" customHeight="1" x14ac:dyDescent="0.35">
      <c r="A709" s="1">
        <v>708</v>
      </c>
      <c r="B709" s="1">
        <v>138</v>
      </c>
      <c r="C709" s="1">
        <v>35</v>
      </c>
      <c r="D709" t="str">
        <f>VLOOKUP(B709,Заказы!A:C,3,0)</f>
        <v>2023-04-11 16:58:00</v>
      </c>
      <c r="E709" t="str">
        <f>VLOOKUP(C709,Меню!A:E,4,0)</f>
        <v>Десерт</v>
      </c>
      <c r="F709">
        <f>VLOOKUP(C709,Меню!A:E,5,0)</f>
        <v>150</v>
      </c>
    </row>
    <row r="710" spans="1:6" ht="15.75" hidden="1" customHeight="1" x14ac:dyDescent="0.35">
      <c r="A710" s="1">
        <v>709</v>
      </c>
      <c r="B710" s="1">
        <v>138</v>
      </c>
      <c r="C710" s="1">
        <v>47</v>
      </c>
      <c r="D710" t="str">
        <f>VLOOKUP(B710,Заказы!A:C,3,0)</f>
        <v>2023-04-11 16:58:00</v>
      </c>
      <c r="E710" t="str">
        <f>VLOOKUP(C710,Меню!A:E,4,0)</f>
        <v>Суши</v>
      </c>
      <c r="F710">
        <f>VLOOKUP(C710,Меню!A:E,5,0)</f>
        <v>200</v>
      </c>
    </row>
    <row r="711" spans="1:6" ht="15.75" hidden="1" customHeight="1" x14ac:dyDescent="0.35">
      <c r="A711" s="1">
        <v>710</v>
      </c>
      <c r="B711" s="1">
        <v>138</v>
      </c>
      <c r="C711" s="1">
        <v>5</v>
      </c>
      <c r="D711" t="str">
        <f>VLOOKUP(B711,Заказы!A:C,3,0)</f>
        <v>2023-04-11 16:58:00</v>
      </c>
      <c r="E711" t="str">
        <f>VLOOKUP(C711,Меню!A:E,4,0)</f>
        <v>Завтрак</v>
      </c>
      <c r="F711">
        <f>VLOOKUP(C711,Меню!A:E,5,0)</f>
        <v>220</v>
      </c>
    </row>
    <row r="712" spans="1:6" ht="15.75" hidden="1" customHeight="1" x14ac:dyDescent="0.35">
      <c r="A712" s="1">
        <v>711</v>
      </c>
      <c r="B712" s="1">
        <v>139</v>
      </c>
      <c r="C712" s="1">
        <v>13</v>
      </c>
      <c r="D712" t="str">
        <f>VLOOKUP(B712,Заказы!A:C,3,0)</f>
        <v>2023-04-11 17:32:00</v>
      </c>
      <c r="E712" t="str">
        <f>VLOOKUP(C712,Меню!A:E,4,0)</f>
        <v>Первое</v>
      </c>
      <c r="F712">
        <f>VLOOKUP(C712,Меню!A:E,5,0)</f>
        <v>280</v>
      </c>
    </row>
    <row r="713" spans="1:6" ht="15.75" hidden="1" customHeight="1" x14ac:dyDescent="0.35">
      <c r="A713" s="1">
        <v>712</v>
      </c>
      <c r="B713" s="1">
        <v>139</v>
      </c>
      <c r="C713" s="1">
        <v>56</v>
      </c>
      <c r="D713" t="str">
        <f>VLOOKUP(B713,Заказы!A:C,3,0)</f>
        <v>2023-04-11 17:32:00</v>
      </c>
      <c r="E713" t="str">
        <f>VLOOKUP(C713,Меню!A:E,4,0)</f>
        <v>Суши</v>
      </c>
      <c r="F713">
        <f>VLOOKUP(C713,Меню!A:E,5,0)</f>
        <v>200</v>
      </c>
    </row>
    <row r="714" spans="1:6" ht="15.75" hidden="1" customHeight="1" x14ac:dyDescent="0.35">
      <c r="A714" s="1">
        <v>713</v>
      </c>
      <c r="B714" s="1">
        <v>139</v>
      </c>
      <c r="C714" s="1">
        <v>60</v>
      </c>
      <c r="D714" t="str">
        <f>VLOOKUP(B714,Заказы!A:C,3,0)</f>
        <v>2023-04-11 17:32:00</v>
      </c>
      <c r="E714" t="str">
        <f>VLOOKUP(C714,Меню!A:E,4,0)</f>
        <v>Суши</v>
      </c>
      <c r="F714">
        <f>VLOOKUP(C714,Меню!A:E,5,0)</f>
        <v>250</v>
      </c>
    </row>
    <row r="715" spans="1:6" ht="15.75" hidden="1" customHeight="1" x14ac:dyDescent="0.35">
      <c r="A715" s="1">
        <v>714</v>
      </c>
      <c r="B715" s="1">
        <v>140</v>
      </c>
      <c r="C715" s="1">
        <v>9</v>
      </c>
      <c r="D715" t="str">
        <f>VLOOKUP(B715,Заказы!A:C,3,0)</f>
        <v>2023-04-11 17:41:00</v>
      </c>
      <c r="E715" t="str">
        <f>VLOOKUP(C715,Меню!A:E,4,0)</f>
        <v>Завтрак</v>
      </c>
      <c r="F715">
        <f>VLOOKUP(C715,Меню!A:E,5,0)</f>
        <v>220</v>
      </c>
    </row>
    <row r="716" spans="1:6" ht="15.75" hidden="1" customHeight="1" x14ac:dyDescent="0.35">
      <c r="A716" s="1">
        <v>715</v>
      </c>
      <c r="B716" s="1">
        <v>140</v>
      </c>
      <c r="C716" s="1">
        <v>56</v>
      </c>
      <c r="D716" t="str">
        <f>VLOOKUP(B716,Заказы!A:C,3,0)</f>
        <v>2023-04-11 17:41:00</v>
      </c>
      <c r="E716" t="str">
        <f>VLOOKUP(C716,Меню!A:E,4,0)</f>
        <v>Суши</v>
      </c>
      <c r="F716">
        <f>VLOOKUP(C716,Меню!A:E,5,0)</f>
        <v>200</v>
      </c>
    </row>
    <row r="717" spans="1:6" ht="15.75" hidden="1" customHeight="1" x14ac:dyDescent="0.35">
      <c r="A717" s="1">
        <v>716</v>
      </c>
      <c r="B717" s="1">
        <v>140</v>
      </c>
      <c r="C717" s="1">
        <v>1</v>
      </c>
      <c r="D717" t="str">
        <f>VLOOKUP(B717,Заказы!A:C,3,0)</f>
        <v>2023-04-11 17:41:00</v>
      </c>
      <c r="E717" t="str">
        <f>VLOOKUP(C717,Меню!A:E,4,0)</f>
        <v>Завтрак</v>
      </c>
      <c r="F717">
        <f>VLOOKUP(C717,Меню!A:E,5,0)</f>
        <v>200</v>
      </c>
    </row>
    <row r="718" spans="1:6" ht="15.75" hidden="1" customHeight="1" x14ac:dyDescent="0.35">
      <c r="A718" s="1">
        <v>717</v>
      </c>
      <c r="B718" s="1">
        <v>140</v>
      </c>
      <c r="C718" s="1">
        <v>56</v>
      </c>
      <c r="D718" t="str">
        <f>VLOOKUP(B718,Заказы!A:C,3,0)</f>
        <v>2023-04-11 17:41:00</v>
      </c>
      <c r="E718" t="str">
        <f>VLOOKUP(C718,Меню!A:E,4,0)</f>
        <v>Суши</v>
      </c>
      <c r="F718">
        <f>VLOOKUP(C718,Меню!A:E,5,0)</f>
        <v>200</v>
      </c>
    </row>
    <row r="719" spans="1:6" ht="15.75" hidden="1" customHeight="1" x14ac:dyDescent="0.35">
      <c r="A719" s="1">
        <v>718</v>
      </c>
      <c r="B719" s="1">
        <v>141</v>
      </c>
      <c r="C719" s="1">
        <v>46</v>
      </c>
      <c r="D719" t="str">
        <f>VLOOKUP(B719,Заказы!A:C,3,0)</f>
        <v>2023-04-11 18:28:00</v>
      </c>
      <c r="E719" t="str">
        <f>VLOOKUP(C719,Меню!A:E,4,0)</f>
        <v>Суши</v>
      </c>
      <c r="F719">
        <f>VLOOKUP(C719,Меню!A:E,5,0)</f>
        <v>200</v>
      </c>
    </row>
    <row r="720" spans="1:6" ht="15.75" hidden="1" customHeight="1" x14ac:dyDescent="0.35">
      <c r="A720" s="1">
        <v>719</v>
      </c>
      <c r="B720" s="1">
        <v>141</v>
      </c>
      <c r="C720" s="1">
        <v>12</v>
      </c>
      <c r="D720" t="str">
        <f>VLOOKUP(B720,Заказы!A:C,3,0)</f>
        <v>2023-04-11 18:28:00</v>
      </c>
      <c r="E720" t="str">
        <f>VLOOKUP(C720,Меню!A:E,4,0)</f>
        <v>Первое</v>
      </c>
      <c r="F720">
        <f>VLOOKUP(C720,Меню!A:E,5,0)</f>
        <v>300</v>
      </c>
    </row>
    <row r="721" spans="1:6" ht="15.75" hidden="1" customHeight="1" x14ac:dyDescent="0.35">
      <c r="A721" s="1">
        <v>720</v>
      </c>
      <c r="B721" s="1">
        <v>141</v>
      </c>
      <c r="C721" s="1">
        <v>27</v>
      </c>
      <c r="D721" t="str">
        <f>VLOOKUP(B721,Заказы!A:C,3,0)</f>
        <v>2023-04-11 18:28:00</v>
      </c>
      <c r="E721" t="str">
        <f>VLOOKUP(C721,Меню!A:E,4,0)</f>
        <v>Салат</v>
      </c>
      <c r="F721">
        <f>VLOOKUP(C721,Меню!A:E,5,0)</f>
        <v>250</v>
      </c>
    </row>
    <row r="722" spans="1:6" ht="15.75" hidden="1" customHeight="1" x14ac:dyDescent="0.35">
      <c r="A722" s="1">
        <v>721</v>
      </c>
      <c r="B722" s="1">
        <v>141</v>
      </c>
      <c r="C722" s="1">
        <v>47</v>
      </c>
      <c r="D722" t="str">
        <f>VLOOKUP(B722,Заказы!A:C,3,0)</f>
        <v>2023-04-11 18:28:00</v>
      </c>
      <c r="E722" t="str">
        <f>VLOOKUP(C722,Меню!A:E,4,0)</f>
        <v>Суши</v>
      </c>
      <c r="F722">
        <f>VLOOKUP(C722,Меню!A:E,5,0)</f>
        <v>200</v>
      </c>
    </row>
    <row r="723" spans="1:6" ht="15.75" hidden="1" customHeight="1" x14ac:dyDescent="0.35">
      <c r="A723" s="1">
        <v>722</v>
      </c>
      <c r="B723" s="1">
        <v>141</v>
      </c>
      <c r="C723" s="1">
        <v>34</v>
      </c>
      <c r="D723" t="str">
        <f>VLOOKUP(B723,Заказы!A:C,3,0)</f>
        <v>2023-04-11 18:28:00</v>
      </c>
      <c r="E723" t="str">
        <f>VLOOKUP(C723,Меню!A:E,4,0)</f>
        <v>Десерт</v>
      </c>
      <c r="F723">
        <f>VLOOKUP(C723,Меню!A:E,5,0)</f>
        <v>150</v>
      </c>
    </row>
    <row r="724" spans="1:6" ht="15.75" hidden="1" customHeight="1" x14ac:dyDescent="0.35">
      <c r="A724" s="1">
        <v>723</v>
      </c>
      <c r="B724" s="1">
        <v>141</v>
      </c>
      <c r="C724" s="1">
        <v>45</v>
      </c>
      <c r="D724" t="str">
        <f>VLOOKUP(B724,Заказы!A:C,3,0)</f>
        <v>2023-04-11 18:28:00</v>
      </c>
      <c r="E724" t="str">
        <f>VLOOKUP(C724,Меню!A:E,4,0)</f>
        <v>Суши</v>
      </c>
      <c r="F724">
        <f>VLOOKUP(C724,Меню!A:E,5,0)</f>
        <v>200</v>
      </c>
    </row>
    <row r="725" spans="1:6" ht="15.75" hidden="1" customHeight="1" x14ac:dyDescent="0.35">
      <c r="A725" s="1">
        <v>724</v>
      </c>
      <c r="B725" s="1">
        <v>142</v>
      </c>
      <c r="C725" s="1">
        <v>60</v>
      </c>
      <c r="D725" t="str">
        <f>VLOOKUP(B725,Заказы!A:C,3,0)</f>
        <v>2023-04-11 20:20:00</v>
      </c>
      <c r="E725" t="str">
        <f>VLOOKUP(C725,Меню!A:E,4,0)</f>
        <v>Суши</v>
      </c>
      <c r="F725">
        <f>VLOOKUP(C725,Меню!A:E,5,0)</f>
        <v>250</v>
      </c>
    </row>
    <row r="726" spans="1:6" ht="15.75" hidden="1" customHeight="1" x14ac:dyDescent="0.35">
      <c r="A726" s="1">
        <v>725</v>
      </c>
      <c r="B726" s="1">
        <v>142</v>
      </c>
      <c r="C726" s="1">
        <v>40</v>
      </c>
      <c r="D726" t="str">
        <f>VLOOKUP(B726,Заказы!A:C,3,0)</f>
        <v>2023-04-11 20:20:00</v>
      </c>
      <c r="E726" t="str">
        <f>VLOOKUP(C726,Меню!A:E,4,0)</f>
        <v>Десерт</v>
      </c>
      <c r="F726">
        <f>VLOOKUP(C726,Меню!A:E,5,0)</f>
        <v>150</v>
      </c>
    </row>
    <row r="727" spans="1:6" ht="15.75" hidden="1" customHeight="1" x14ac:dyDescent="0.35">
      <c r="A727" s="1">
        <v>726</v>
      </c>
      <c r="B727" s="1">
        <v>142</v>
      </c>
      <c r="C727" s="1">
        <v>48</v>
      </c>
      <c r="D727" t="str">
        <f>VLOOKUP(B727,Заказы!A:C,3,0)</f>
        <v>2023-04-11 20:20:00</v>
      </c>
      <c r="E727" t="str">
        <f>VLOOKUP(C727,Меню!A:E,4,0)</f>
        <v>Суши</v>
      </c>
      <c r="F727">
        <f>VLOOKUP(C727,Меню!A:E,5,0)</f>
        <v>200</v>
      </c>
    </row>
    <row r="728" spans="1:6" ht="15.75" hidden="1" customHeight="1" x14ac:dyDescent="0.35">
      <c r="A728" s="1">
        <v>727</v>
      </c>
      <c r="B728" s="1">
        <v>142</v>
      </c>
      <c r="C728" s="1">
        <v>45</v>
      </c>
      <c r="D728" t="str">
        <f>VLOOKUP(B728,Заказы!A:C,3,0)</f>
        <v>2023-04-11 20:20:00</v>
      </c>
      <c r="E728" t="str">
        <f>VLOOKUP(C728,Меню!A:E,4,0)</f>
        <v>Суши</v>
      </c>
      <c r="F728">
        <f>VLOOKUP(C728,Меню!A:E,5,0)</f>
        <v>200</v>
      </c>
    </row>
    <row r="729" spans="1:6" ht="15.75" hidden="1" customHeight="1" x14ac:dyDescent="0.35">
      <c r="A729" s="1">
        <v>728</v>
      </c>
      <c r="B729" s="1">
        <v>143</v>
      </c>
      <c r="C729" s="1">
        <v>8</v>
      </c>
      <c r="D729" t="str">
        <f>VLOOKUP(B729,Заказы!A:C,3,0)</f>
        <v>2023-04-11 20:38:00</v>
      </c>
      <c r="E729" t="str">
        <f>VLOOKUP(C729,Меню!A:E,4,0)</f>
        <v>Завтрак</v>
      </c>
      <c r="F729">
        <f>VLOOKUP(C729,Меню!A:E,5,0)</f>
        <v>180</v>
      </c>
    </row>
    <row r="730" spans="1:6" ht="15.75" hidden="1" customHeight="1" x14ac:dyDescent="0.35">
      <c r="A730" s="1">
        <v>729</v>
      </c>
      <c r="B730" s="1">
        <v>143</v>
      </c>
      <c r="C730" s="1">
        <v>54</v>
      </c>
      <c r="D730" t="str">
        <f>VLOOKUP(B730,Заказы!A:C,3,0)</f>
        <v>2023-04-11 20:38:00</v>
      </c>
      <c r="E730" t="str">
        <f>VLOOKUP(C730,Меню!A:E,4,0)</f>
        <v>Суши</v>
      </c>
      <c r="F730">
        <f>VLOOKUP(C730,Меню!A:E,5,0)</f>
        <v>100</v>
      </c>
    </row>
    <row r="731" spans="1:6" ht="15.75" hidden="1" customHeight="1" x14ac:dyDescent="0.35">
      <c r="A731" s="1">
        <v>730</v>
      </c>
      <c r="B731" s="1">
        <v>143</v>
      </c>
      <c r="C731" s="1">
        <v>36</v>
      </c>
      <c r="D731" t="str">
        <f>VLOOKUP(B731,Заказы!A:C,3,0)</f>
        <v>2023-04-11 20:38:00</v>
      </c>
      <c r="E731" t="str">
        <f>VLOOKUP(C731,Меню!A:E,4,0)</f>
        <v>Десерт</v>
      </c>
      <c r="F731">
        <f>VLOOKUP(C731,Меню!A:E,5,0)</f>
        <v>150</v>
      </c>
    </row>
    <row r="732" spans="1:6" ht="15.75" hidden="1" customHeight="1" x14ac:dyDescent="0.35">
      <c r="A732" s="1">
        <v>731</v>
      </c>
      <c r="B732" s="1">
        <v>143</v>
      </c>
      <c r="C732" s="1">
        <v>55</v>
      </c>
      <c r="D732" t="str">
        <f>VLOOKUP(B732,Заказы!A:C,3,0)</f>
        <v>2023-04-11 20:38:00</v>
      </c>
      <c r="E732" t="str">
        <f>VLOOKUP(C732,Меню!A:E,4,0)</f>
        <v>Суши</v>
      </c>
      <c r="F732">
        <f>VLOOKUP(C732,Меню!A:E,5,0)</f>
        <v>100</v>
      </c>
    </row>
    <row r="733" spans="1:6" ht="15.75" hidden="1" customHeight="1" x14ac:dyDescent="0.35">
      <c r="A733" s="1">
        <v>732</v>
      </c>
      <c r="B733" s="1">
        <v>143</v>
      </c>
      <c r="C733" s="1">
        <v>10</v>
      </c>
      <c r="D733" t="str">
        <f>VLOOKUP(B733,Заказы!A:C,3,0)</f>
        <v>2023-04-11 20:38:00</v>
      </c>
      <c r="E733" t="str">
        <f>VLOOKUP(C733,Меню!A:E,4,0)</f>
        <v>Завтрак</v>
      </c>
      <c r="F733">
        <f>VLOOKUP(C733,Меню!A:E,5,0)</f>
        <v>200</v>
      </c>
    </row>
    <row r="734" spans="1:6" ht="15.75" hidden="1" customHeight="1" x14ac:dyDescent="0.35">
      <c r="A734" s="1">
        <v>733</v>
      </c>
      <c r="B734" s="1">
        <v>143</v>
      </c>
      <c r="C734" s="1">
        <v>44</v>
      </c>
      <c r="D734" t="str">
        <f>VLOOKUP(B734,Заказы!A:C,3,0)</f>
        <v>2023-04-11 20:38:00</v>
      </c>
      <c r="E734" t="str">
        <f>VLOOKUP(C734,Меню!A:E,4,0)</f>
        <v>Суши</v>
      </c>
      <c r="F734">
        <f>VLOOKUP(C734,Меню!A:E,5,0)</f>
        <v>250</v>
      </c>
    </row>
    <row r="735" spans="1:6" ht="15.75" hidden="1" customHeight="1" x14ac:dyDescent="0.35">
      <c r="A735" s="1">
        <v>734</v>
      </c>
      <c r="B735" s="1">
        <v>144</v>
      </c>
      <c r="C735" s="1">
        <v>59</v>
      </c>
      <c r="D735" t="str">
        <f>VLOOKUP(B735,Заказы!A:C,3,0)</f>
        <v>2023-04-11 21:25:00</v>
      </c>
      <c r="E735" t="str">
        <f>VLOOKUP(C735,Меню!A:E,4,0)</f>
        <v>Суши</v>
      </c>
      <c r="F735">
        <f>VLOOKUP(C735,Меню!A:E,5,0)</f>
        <v>300</v>
      </c>
    </row>
    <row r="736" spans="1:6" ht="15.75" hidden="1" customHeight="1" x14ac:dyDescent="0.35">
      <c r="A736" s="1">
        <v>735</v>
      </c>
      <c r="B736" s="1">
        <v>144</v>
      </c>
      <c r="C736" s="1">
        <v>25</v>
      </c>
      <c r="D736" t="str">
        <f>VLOOKUP(B736,Заказы!A:C,3,0)</f>
        <v>2023-04-11 21:25:00</v>
      </c>
      <c r="E736" t="str">
        <f>VLOOKUP(C736,Меню!A:E,4,0)</f>
        <v>Салат</v>
      </c>
      <c r="F736">
        <f>VLOOKUP(C736,Меню!A:E,5,0)</f>
        <v>250</v>
      </c>
    </row>
    <row r="737" spans="1:6" ht="15.75" hidden="1" customHeight="1" x14ac:dyDescent="0.35">
      <c r="A737" s="1">
        <v>736</v>
      </c>
      <c r="B737" s="1">
        <v>144</v>
      </c>
      <c r="C737" s="1">
        <v>34</v>
      </c>
      <c r="D737" t="str">
        <f>VLOOKUP(B737,Заказы!A:C,3,0)</f>
        <v>2023-04-11 21:25:00</v>
      </c>
      <c r="E737" t="str">
        <f>VLOOKUP(C737,Меню!A:E,4,0)</f>
        <v>Десерт</v>
      </c>
      <c r="F737">
        <f>VLOOKUP(C737,Меню!A:E,5,0)</f>
        <v>150</v>
      </c>
    </row>
    <row r="738" spans="1:6" ht="15.75" hidden="1" customHeight="1" x14ac:dyDescent="0.35">
      <c r="A738" s="1">
        <v>737</v>
      </c>
      <c r="B738" s="1">
        <v>144</v>
      </c>
      <c r="C738" s="1">
        <v>17</v>
      </c>
      <c r="D738" t="str">
        <f>VLOOKUP(B738,Заказы!A:C,3,0)</f>
        <v>2023-04-11 21:25:00</v>
      </c>
      <c r="E738" t="str">
        <f>VLOOKUP(C738,Меню!A:E,4,0)</f>
        <v>Первое</v>
      </c>
      <c r="F738">
        <f>VLOOKUP(C738,Меню!A:E,5,0)</f>
        <v>250</v>
      </c>
    </row>
    <row r="739" spans="1:6" ht="15.75" hidden="1" customHeight="1" x14ac:dyDescent="0.35">
      <c r="A739" s="1">
        <v>738</v>
      </c>
      <c r="B739" s="1">
        <v>144</v>
      </c>
      <c r="C739" s="1">
        <v>43</v>
      </c>
      <c r="D739" t="str">
        <f>VLOOKUP(B739,Заказы!A:C,3,0)</f>
        <v>2023-04-11 21:25:00</v>
      </c>
      <c r="E739" t="str">
        <f>VLOOKUP(C739,Меню!A:E,4,0)</f>
        <v>Суши</v>
      </c>
      <c r="F739">
        <f>VLOOKUP(C739,Меню!A:E,5,0)</f>
        <v>250</v>
      </c>
    </row>
    <row r="740" spans="1:6" ht="15.75" hidden="1" customHeight="1" x14ac:dyDescent="0.35">
      <c r="A740" s="1">
        <v>739</v>
      </c>
      <c r="B740" s="1">
        <v>144</v>
      </c>
      <c r="C740" s="1">
        <v>42</v>
      </c>
      <c r="D740" t="str">
        <f>VLOOKUP(B740,Заказы!A:C,3,0)</f>
        <v>2023-04-11 21:25:00</v>
      </c>
      <c r="E740" t="str">
        <f>VLOOKUP(C740,Меню!A:E,4,0)</f>
        <v>Суши</v>
      </c>
      <c r="F740">
        <f>VLOOKUP(C740,Меню!A:E,5,0)</f>
        <v>250</v>
      </c>
    </row>
    <row r="741" spans="1:6" ht="15.75" hidden="1" customHeight="1" x14ac:dyDescent="0.35">
      <c r="A741" s="1">
        <v>740</v>
      </c>
      <c r="B741" s="1">
        <v>144</v>
      </c>
      <c r="C741" s="1">
        <v>15</v>
      </c>
      <c r="D741" t="str">
        <f>VLOOKUP(B741,Заказы!A:C,3,0)</f>
        <v>2023-04-11 21:25:00</v>
      </c>
      <c r="E741" t="str">
        <f>VLOOKUP(C741,Меню!A:E,4,0)</f>
        <v>Первое</v>
      </c>
      <c r="F741">
        <f>VLOOKUP(C741,Меню!A:E,5,0)</f>
        <v>250</v>
      </c>
    </row>
    <row r="742" spans="1:6" ht="15.75" hidden="1" customHeight="1" x14ac:dyDescent="0.35">
      <c r="A742" s="1">
        <v>741</v>
      </c>
      <c r="B742" s="1">
        <v>144</v>
      </c>
      <c r="C742" s="1">
        <v>17</v>
      </c>
      <c r="D742" t="str">
        <f>VLOOKUP(B742,Заказы!A:C,3,0)</f>
        <v>2023-04-11 21:25:00</v>
      </c>
      <c r="E742" t="str">
        <f>VLOOKUP(C742,Меню!A:E,4,0)</f>
        <v>Первое</v>
      </c>
      <c r="F742">
        <f>VLOOKUP(C742,Меню!A:E,5,0)</f>
        <v>250</v>
      </c>
    </row>
    <row r="743" spans="1:6" ht="15.75" hidden="1" customHeight="1" x14ac:dyDescent="0.35">
      <c r="A743" s="1">
        <v>742</v>
      </c>
      <c r="B743" s="1">
        <v>144</v>
      </c>
      <c r="C743" s="1">
        <v>50</v>
      </c>
      <c r="D743" t="str">
        <f>VLOOKUP(B743,Заказы!A:C,3,0)</f>
        <v>2023-04-11 21:25:00</v>
      </c>
      <c r="E743" t="str">
        <f>VLOOKUP(C743,Меню!A:E,4,0)</f>
        <v>Суши</v>
      </c>
      <c r="F743">
        <f>VLOOKUP(C743,Меню!A:E,5,0)</f>
        <v>200</v>
      </c>
    </row>
    <row r="744" spans="1:6" ht="15.75" hidden="1" customHeight="1" x14ac:dyDescent="0.35">
      <c r="A744" s="1">
        <v>743</v>
      </c>
      <c r="B744" s="1">
        <v>144</v>
      </c>
      <c r="C744" s="1">
        <v>36</v>
      </c>
      <c r="D744" t="str">
        <f>VLOOKUP(B744,Заказы!A:C,3,0)</f>
        <v>2023-04-11 21:25:00</v>
      </c>
      <c r="E744" t="str">
        <f>VLOOKUP(C744,Меню!A:E,4,0)</f>
        <v>Десерт</v>
      </c>
      <c r="F744">
        <f>VLOOKUP(C744,Меню!A:E,5,0)</f>
        <v>150</v>
      </c>
    </row>
    <row r="745" spans="1:6" ht="15.75" hidden="1" customHeight="1" x14ac:dyDescent="0.35">
      <c r="A745" s="1">
        <v>744</v>
      </c>
      <c r="B745" s="1">
        <v>144</v>
      </c>
      <c r="C745" s="1">
        <v>27</v>
      </c>
      <c r="D745" t="str">
        <f>VLOOKUP(B745,Заказы!A:C,3,0)</f>
        <v>2023-04-11 21:25:00</v>
      </c>
      <c r="E745" t="str">
        <f>VLOOKUP(C745,Меню!A:E,4,0)</f>
        <v>Салат</v>
      </c>
      <c r="F745">
        <f>VLOOKUP(C745,Меню!A:E,5,0)</f>
        <v>250</v>
      </c>
    </row>
    <row r="746" spans="1:6" ht="15.75" hidden="1" customHeight="1" x14ac:dyDescent="0.35">
      <c r="A746" s="1">
        <v>745</v>
      </c>
      <c r="B746" s="1">
        <v>144</v>
      </c>
      <c r="C746" s="1">
        <v>10</v>
      </c>
      <c r="D746" t="str">
        <f>VLOOKUP(B746,Заказы!A:C,3,0)</f>
        <v>2023-04-11 21:25:00</v>
      </c>
      <c r="E746" t="str">
        <f>VLOOKUP(C746,Меню!A:E,4,0)</f>
        <v>Завтрак</v>
      </c>
      <c r="F746">
        <f>VLOOKUP(C746,Меню!A:E,5,0)</f>
        <v>200</v>
      </c>
    </row>
    <row r="747" spans="1:6" ht="15.75" hidden="1" customHeight="1" x14ac:dyDescent="0.35">
      <c r="A747" s="1">
        <v>746</v>
      </c>
      <c r="B747" s="1">
        <v>144</v>
      </c>
      <c r="C747" s="1">
        <v>36</v>
      </c>
      <c r="D747" t="str">
        <f>VLOOKUP(B747,Заказы!A:C,3,0)</f>
        <v>2023-04-11 21:25:00</v>
      </c>
      <c r="E747" t="str">
        <f>VLOOKUP(C747,Меню!A:E,4,0)</f>
        <v>Десерт</v>
      </c>
      <c r="F747">
        <f>VLOOKUP(C747,Меню!A:E,5,0)</f>
        <v>150</v>
      </c>
    </row>
    <row r="748" spans="1:6" ht="15.75" hidden="1" customHeight="1" x14ac:dyDescent="0.35">
      <c r="A748" s="1">
        <v>747</v>
      </c>
      <c r="B748" s="1">
        <v>145</v>
      </c>
      <c r="C748" s="1">
        <v>48</v>
      </c>
      <c r="D748" t="str">
        <f>VLOOKUP(B748,Заказы!A:C,3,0)</f>
        <v>2023-04-11 21:56:00</v>
      </c>
      <c r="E748" t="str">
        <f>VLOOKUP(C748,Меню!A:E,4,0)</f>
        <v>Суши</v>
      </c>
      <c r="F748">
        <f>VLOOKUP(C748,Меню!A:E,5,0)</f>
        <v>200</v>
      </c>
    </row>
    <row r="749" spans="1:6" ht="15.75" hidden="1" customHeight="1" x14ac:dyDescent="0.35">
      <c r="A749" s="1">
        <v>748</v>
      </c>
      <c r="B749" s="1">
        <v>146</v>
      </c>
      <c r="C749" s="1">
        <v>39</v>
      </c>
      <c r="D749" t="str">
        <f>VLOOKUP(B749,Заказы!A:C,3,0)</f>
        <v>2023-04-12 19:09:00</v>
      </c>
      <c r="E749" t="str">
        <f>VLOOKUP(C749,Меню!A:E,4,0)</f>
        <v>Десерт</v>
      </c>
      <c r="F749">
        <f>VLOOKUP(C749,Меню!A:E,5,0)</f>
        <v>150</v>
      </c>
    </row>
    <row r="750" spans="1:6" ht="15.75" hidden="1" customHeight="1" x14ac:dyDescent="0.35">
      <c r="A750" s="1">
        <v>749</v>
      </c>
      <c r="B750" s="1">
        <v>146</v>
      </c>
      <c r="C750" s="1">
        <v>38</v>
      </c>
      <c r="D750" t="str">
        <f>VLOOKUP(B750,Заказы!A:C,3,0)</f>
        <v>2023-04-12 19:09:00</v>
      </c>
      <c r="E750" t="str">
        <f>VLOOKUP(C750,Меню!A:E,4,0)</f>
        <v>Десерт</v>
      </c>
      <c r="F750">
        <f>VLOOKUP(C750,Меню!A:E,5,0)</f>
        <v>150</v>
      </c>
    </row>
    <row r="751" spans="1:6" ht="15.75" hidden="1" customHeight="1" x14ac:dyDescent="0.35">
      <c r="A751" s="1">
        <v>750</v>
      </c>
      <c r="B751" s="1">
        <v>146</v>
      </c>
      <c r="C751" s="1">
        <v>5</v>
      </c>
      <c r="D751" t="str">
        <f>VLOOKUP(B751,Заказы!A:C,3,0)</f>
        <v>2023-04-12 19:09:00</v>
      </c>
      <c r="E751" t="str">
        <f>VLOOKUP(C751,Меню!A:E,4,0)</f>
        <v>Завтрак</v>
      </c>
      <c r="F751">
        <f>VLOOKUP(C751,Меню!A:E,5,0)</f>
        <v>220</v>
      </c>
    </row>
    <row r="752" spans="1:6" ht="15.75" hidden="1" customHeight="1" x14ac:dyDescent="0.35">
      <c r="A752" s="1">
        <v>751</v>
      </c>
      <c r="B752" s="1">
        <v>146</v>
      </c>
      <c r="C752" s="1">
        <v>35</v>
      </c>
      <c r="D752" t="str">
        <f>VLOOKUP(B752,Заказы!A:C,3,0)</f>
        <v>2023-04-12 19:09:00</v>
      </c>
      <c r="E752" t="str">
        <f>VLOOKUP(C752,Меню!A:E,4,0)</f>
        <v>Десерт</v>
      </c>
      <c r="F752">
        <f>VLOOKUP(C752,Меню!A:E,5,0)</f>
        <v>150</v>
      </c>
    </row>
    <row r="753" spans="1:6" ht="15.75" hidden="1" customHeight="1" x14ac:dyDescent="0.35">
      <c r="A753" s="1">
        <v>752</v>
      </c>
      <c r="B753" s="1">
        <v>146</v>
      </c>
      <c r="C753" s="1">
        <v>20</v>
      </c>
      <c r="D753" t="str">
        <f>VLOOKUP(B753,Заказы!A:C,3,0)</f>
        <v>2023-04-12 19:09:00</v>
      </c>
      <c r="E753" t="str">
        <f>VLOOKUP(C753,Меню!A:E,4,0)</f>
        <v>Первое</v>
      </c>
      <c r="F753">
        <f>VLOOKUP(C753,Меню!A:E,5,0)</f>
        <v>250</v>
      </c>
    </row>
    <row r="754" spans="1:6" ht="15.75" hidden="1" customHeight="1" x14ac:dyDescent="0.35">
      <c r="A754" s="1">
        <v>753</v>
      </c>
      <c r="B754" s="1">
        <v>146</v>
      </c>
      <c r="C754" s="1">
        <v>37</v>
      </c>
      <c r="D754" t="str">
        <f>VLOOKUP(B754,Заказы!A:C,3,0)</f>
        <v>2023-04-12 19:09:00</v>
      </c>
      <c r="E754" t="str">
        <f>VLOOKUP(C754,Меню!A:E,4,0)</f>
        <v>Десерт</v>
      </c>
      <c r="F754">
        <f>VLOOKUP(C754,Меню!A:E,5,0)</f>
        <v>100</v>
      </c>
    </row>
    <row r="755" spans="1:6" ht="15.75" hidden="1" customHeight="1" x14ac:dyDescent="0.35">
      <c r="A755" s="1">
        <v>754</v>
      </c>
      <c r="B755" s="1">
        <v>146</v>
      </c>
      <c r="C755" s="1">
        <v>29</v>
      </c>
      <c r="D755" t="str">
        <f>VLOOKUP(B755,Заказы!A:C,3,0)</f>
        <v>2023-04-12 19:09:00</v>
      </c>
      <c r="E755" t="str">
        <f>VLOOKUP(C755,Меню!A:E,4,0)</f>
        <v>Салат</v>
      </c>
      <c r="F755">
        <f>VLOOKUP(C755,Меню!A:E,5,0)</f>
        <v>250</v>
      </c>
    </row>
    <row r="756" spans="1:6" ht="15.75" hidden="1" customHeight="1" x14ac:dyDescent="0.35">
      <c r="A756" s="1">
        <v>755</v>
      </c>
      <c r="B756" s="1">
        <v>146</v>
      </c>
      <c r="C756" s="1">
        <v>45</v>
      </c>
      <c r="D756" t="str">
        <f>VLOOKUP(B756,Заказы!A:C,3,0)</f>
        <v>2023-04-12 19:09:00</v>
      </c>
      <c r="E756" t="str">
        <f>VLOOKUP(C756,Меню!A:E,4,0)</f>
        <v>Суши</v>
      </c>
      <c r="F756">
        <f>VLOOKUP(C756,Меню!A:E,5,0)</f>
        <v>200</v>
      </c>
    </row>
    <row r="757" spans="1:6" ht="15.75" hidden="1" customHeight="1" x14ac:dyDescent="0.35">
      <c r="A757" s="1">
        <v>756</v>
      </c>
      <c r="B757" s="1">
        <v>146</v>
      </c>
      <c r="C757" s="1">
        <v>1</v>
      </c>
      <c r="D757" t="str">
        <f>VLOOKUP(B757,Заказы!A:C,3,0)</f>
        <v>2023-04-12 19:09:00</v>
      </c>
      <c r="E757" t="str">
        <f>VLOOKUP(C757,Меню!A:E,4,0)</f>
        <v>Завтрак</v>
      </c>
      <c r="F757">
        <f>VLOOKUP(C757,Меню!A:E,5,0)</f>
        <v>200</v>
      </c>
    </row>
    <row r="758" spans="1:6" ht="15.75" hidden="1" customHeight="1" x14ac:dyDescent="0.35">
      <c r="A758" s="1">
        <v>757</v>
      </c>
      <c r="B758" s="1">
        <v>147</v>
      </c>
      <c r="C758" s="1">
        <v>56</v>
      </c>
      <c r="D758" t="str">
        <f>VLOOKUP(B758,Заказы!A:C,3,0)</f>
        <v>2023-04-12 20:25:00</v>
      </c>
      <c r="E758" t="str">
        <f>VLOOKUP(C758,Меню!A:E,4,0)</f>
        <v>Суши</v>
      </c>
      <c r="F758">
        <f>VLOOKUP(C758,Меню!A:E,5,0)</f>
        <v>200</v>
      </c>
    </row>
    <row r="759" spans="1:6" ht="15.75" hidden="1" customHeight="1" x14ac:dyDescent="0.35">
      <c r="A759" s="1">
        <v>758</v>
      </c>
      <c r="B759" s="1">
        <v>147</v>
      </c>
      <c r="C759" s="1">
        <v>25</v>
      </c>
      <c r="D759" t="str">
        <f>VLOOKUP(B759,Заказы!A:C,3,0)</f>
        <v>2023-04-12 20:25:00</v>
      </c>
      <c r="E759" t="str">
        <f>VLOOKUP(C759,Меню!A:E,4,0)</f>
        <v>Салат</v>
      </c>
      <c r="F759">
        <f>VLOOKUP(C759,Меню!A:E,5,0)</f>
        <v>250</v>
      </c>
    </row>
    <row r="760" spans="1:6" ht="15.75" hidden="1" customHeight="1" x14ac:dyDescent="0.35">
      <c r="A760" s="1">
        <v>759</v>
      </c>
      <c r="B760" s="1">
        <v>147</v>
      </c>
      <c r="C760" s="1">
        <v>30</v>
      </c>
      <c r="D760" t="str">
        <f>VLOOKUP(B760,Заказы!A:C,3,0)</f>
        <v>2023-04-12 20:25:00</v>
      </c>
      <c r="E760" t="str">
        <f>VLOOKUP(C760,Меню!A:E,4,0)</f>
        <v>Салат</v>
      </c>
      <c r="F760">
        <f>VLOOKUP(C760,Меню!A:E,5,0)</f>
        <v>250</v>
      </c>
    </row>
    <row r="761" spans="1:6" ht="15.75" hidden="1" customHeight="1" x14ac:dyDescent="0.35">
      <c r="A761" s="1">
        <v>760</v>
      </c>
      <c r="B761" s="1">
        <v>147</v>
      </c>
      <c r="C761" s="1">
        <v>35</v>
      </c>
      <c r="D761" t="str">
        <f>VLOOKUP(B761,Заказы!A:C,3,0)</f>
        <v>2023-04-12 20:25:00</v>
      </c>
      <c r="E761" t="str">
        <f>VLOOKUP(C761,Меню!A:E,4,0)</f>
        <v>Десерт</v>
      </c>
      <c r="F761">
        <f>VLOOKUP(C761,Меню!A:E,5,0)</f>
        <v>150</v>
      </c>
    </row>
    <row r="762" spans="1:6" ht="15.75" hidden="1" customHeight="1" x14ac:dyDescent="0.35">
      <c r="A762" s="1">
        <v>761</v>
      </c>
      <c r="B762" s="1">
        <v>147</v>
      </c>
      <c r="C762" s="1">
        <v>58</v>
      </c>
      <c r="D762" t="str">
        <f>VLOOKUP(B762,Заказы!A:C,3,0)</f>
        <v>2023-04-12 20:25:00</v>
      </c>
      <c r="E762" t="str">
        <f>VLOOKUP(C762,Меню!A:E,4,0)</f>
        <v>Суши</v>
      </c>
      <c r="F762">
        <f>VLOOKUP(C762,Меню!A:E,5,0)</f>
        <v>200</v>
      </c>
    </row>
    <row r="763" spans="1:6" ht="15.75" hidden="1" customHeight="1" x14ac:dyDescent="0.35">
      <c r="A763" s="1">
        <v>762</v>
      </c>
      <c r="B763" s="1">
        <v>147</v>
      </c>
      <c r="C763" s="1">
        <v>24</v>
      </c>
      <c r="D763" t="str">
        <f>VLOOKUP(B763,Заказы!A:C,3,0)</f>
        <v>2023-04-12 20:25:00</v>
      </c>
      <c r="E763" t="str">
        <f>VLOOKUP(C763,Меню!A:E,4,0)</f>
        <v>Салат</v>
      </c>
      <c r="F763">
        <f>VLOOKUP(C763,Меню!A:E,5,0)</f>
        <v>250</v>
      </c>
    </row>
    <row r="764" spans="1:6" ht="15.75" hidden="1" customHeight="1" x14ac:dyDescent="0.35">
      <c r="A764" s="1">
        <v>763</v>
      </c>
      <c r="B764" s="1">
        <v>147</v>
      </c>
      <c r="C764" s="1">
        <v>19</v>
      </c>
      <c r="D764" t="str">
        <f>VLOOKUP(B764,Заказы!A:C,3,0)</f>
        <v>2023-04-12 20:25:00</v>
      </c>
      <c r="E764" t="str">
        <f>VLOOKUP(C764,Меню!A:E,4,0)</f>
        <v>Первое</v>
      </c>
      <c r="F764">
        <f>VLOOKUP(C764,Меню!A:E,5,0)</f>
        <v>300</v>
      </c>
    </row>
    <row r="765" spans="1:6" ht="15.75" hidden="1" customHeight="1" x14ac:dyDescent="0.35">
      <c r="A765" s="1">
        <v>764</v>
      </c>
      <c r="B765" s="1">
        <v>148</v>
      </c>
      <c r="C765" s="1">
        <v>36</v>
      </c>
      <c r="D765" t="str">
        <f>VLOOKUP(B765,Заказы!A:C,3,0)</f>
        <v>2023-04-12 21:55:00</v>
      </c>
      <c r="E765" t="str">
        <f>VLOOKUP(C765,Меню!A:E,4,0)</f>
        <v>Десерт</v>
      </c>
      <c r="F765">
        <f>VLOOKUP(C765,Меню!A:E,5,0)</f>
        <v>150</v>
      </c>
    </row>
    <row r="766" spans="1:6" ht="15.75" hidden="1" customHeight="1" x14ac:dyDescent="0.35">
      <c r="A766" s="1">
        <v>765</v>
      </c>
      <c r="B766" s="1">
        <v>148</v>
      </c>
      <c r="C766" s="1">
        <v>11</v>
      </c>
      <c r="D766" t="str">
        <f>VLOOKUP(B766,Заказы!A:C,3,0)</f>
        <v>2023-04-12 21:55:00</v>
      </c>
      <c r="E766" t="str">
        <f>VLOOKUP(C766,Меню!A:E,4,0)</f>
        <v>Первое</v>
      </c>
      <c r="F766">
        <f>VLOOKUP(C766,Меню!A:E,5,0)</f>
        <v>300</v>
      </c>
    </row>
    <row r="767" spans="1:6" ht="15.75" hidden="1" customHeight="1" x14ac:dyDescent="0.35">
      <c r="A767" s="1">
        <v>766</v>
      </c>
      <c r="B767" s="1">
        <v>148</v>
      </c>
      <c r="C767" s="1">
        <v>26</v>
      </c>
      <c r="D767" t="str">
        <f>VLOOKUP(B767,Заказы!A:C,3,0)</f>
        <v>2023-04-12 21:55:00</v>
      </c>
      <c r="E767" t="str">
        <f>VLOOKUP(C767,Меню!A:E,4,0)</f>
        <v>Салат</v>
      </c>
      <c r="F767">
        <f>VLOOKUP(C767,Меню!A:E,5,0)</f>
        <v>250</v>
      </c>
    </row>
    <row r="768" spans="1:6" ht="15.75" hidden="1" customHeight="1" x14ac:dyDescent="0.35">
      <c r="A768" s="1">
        <v>767</v>
      </c>
      <c r="B768" s="1">
        <v>148</v>
      </c>
      <c r="C768" s="1">
        <v>51</v>
      </c>
      <c r="D768" t="str">
        <f>VLOOKUP(B768,Заказы!A:C,3,0)</f>
        <v>2023-04-12 21:55:00</v>
      </c>
      <c r="E768" t="str">
        <f>VLOOKUP(C768,Меню!A:E,4,0)</f>
        <v>Суши</v>
      </c>
      <c r="F768">
        <f>VLOOKUP(C768,Меню!A:E,5,0)</f>
        <v>100</v>
      </c>
    </row>
    <row r="769" spans="1:6" ht="15.75" hidden="1" customHeight="1" x14ac:dyDescent="0.35">
      <c r="A769" s="1">
        <v>768</v>
      </c>
      <c r="B769" s="1">
        <v>148</v>
      </c>
      <c r="C769" s="1">
        <v>18</v>
      </c>
      <c r="D769" t="str">
        <f>VLOOKUP(B769,Заказы!A:C,3,0)</f>
        <v>2023-04-12 21:55:00</v>
      </c>
      <c r="E769" t="str">
        <f>VLOOKUP(C769,Меню!A:E,4,0)</f>
        <v>Первое</v>
      </c>
      <c r="F769">
        <f>VLOOKUP(C769,Меню!A:E,5,0)</f>
        <v>300</v>
      </c>
    </row>
    <row r="770" spans="1:6" ht="15.75" hidden="1" customHeight="1" x14ac:dyDescent="0.35">
      <c r="A770" s="1">
        <v>769</v>
      </c>
      <c r="B770" s="1">
        <v>148</v>
      </c>
      <c r="C770" s="1">
        <v>14</v>
      </c>
      <c r="D770" t="str">
        <f>VLOOKUP(B770,Заказы!A:C,3,0)</f>
        <v>2023-04-12 21:55:00</v>
      </c>
      <c r="E770" t="str">
        <f>VLOOKUP(C770,Меню!A:E,4,0)</f>
        <v>Первое</v>
      </c>
      <c r="F770">
        <f>VLOOKUP(C770,Меню!A:E,5,0)</f>
        <v>350</v>
      </c>
    </row>
    <row r="771" spans="1:6" ht="15.75" hidden="1" customHeight="1" x14ac:dyDescent="0.35">
      <c r="A771" s="1">
        <v>770</v>
      </c>
      <c r="B771" s="1">
        <v>149</v>
      </c>
      <c r="C771" s="1">
        <v>25</v>
      </c>
      <c r="D771" t="str">
        <f>VLOOKUP(B771,Заказы!A:C,3,0)</f>
        <v>2023-04-12 22:31:00</v>
      </c>
      <c r="E771" t="str">
        <f>VLOOKUP(C771,Меню!A:E,4,0)</f>
        <v>Салат</v>
      </c>
      <c r="F771">
        <f>VLOOKUP(C771,Меню!A:E,5,0)</f>
        <v>250</v>
      </c>
    </row>
    <row r="772" spans="1:6" ht="15.75" hidden="1" customHeight="1" x14ac:dyDescent="0.35">
      <c r="A772" s="1">
        <v>771</v>
      </c>
      <c r="B772" s="1">
        <v>149</v>
      </c>
      <c r="C772" s="1">
        <v>51</v>
      </c>
      <c r="D772" t="str">
        <f>VLOOKUP(B772,Заказы!A:C,3,0)</f>
        <v>2023-04-12 22:31:00</v>
      </c>
      <c r="E772" t="str">
        <f>VLOOKUP(C772,Меню!A:E,4,0)</f>
        <v>Суши</v>
      </c>
      <c r="F772">
        <f>VLOOKUP(C772,Меню!A:E,5,0)</f>
        <v>100</v>
      </c>
    </row>
    <row r="773" spans="1:6" ht="15.75" hidden="1" customHeight="1" x14ac:dyDescent="0.35">
      <c r="A773" s="1">
        <v>772</v>
      </c>
      <c r="B773" s="1">
        <v>149</v>
      </c>
      <c r="C773" s="1">
        <v>35</v>
      </c>
      <c r="D773" t="str">
        <f>VLOOKUP(B773,Заказы!A:C,3,0)</f>
        <v>2023-04-12 22:31:00</v>
      </c>
      <c r="E773" t="str">
        <f>VLOOKUP(C773,Меню!A:E,4,0)</f>
        <v>Десерт</v>
      </c>
      <c r="F773">
        <f>VLOOKUP(C773,Меню!A:E,5,0)</f>
        <v>150</v>
      </c>
    </row>
    <row r="774" spans="1:6" ht="15.75" hidden="1" customHeight="1" x14ac:dyDescent="0.35">
      <c r="A774" s="1">
        <v>773</v>
      </c>
      <c r="B774" s="1">
        <v>149</v>
      </c>
      <c r="C774" s="1">
        <v>11</v>
      </c>
      <c r="D774" t="str">
        <f>VLOOKUP(B774,Заказы!A:C,3,0)</f>
        <v>2023-04-12 22:31:00</v>
      </c>
      <c r="E774" t="str">
        <f>VLOOKUP(C774,Меню!A:E,4,0)</f>
        <v>Первое</v>
      </c>
      <c r="F774">
        <f>VLOOKUP(C774,Меню!A:E,5,0)</f>
        <v>300</v>
      </c>
    </row>
    <row r="775" spans="1:6" ht="15.75" hidden="1" customHeight="1" x14ac:dyDescent="0.35">
      <c r="A775" s="1">
        <v>774</v>
      </c>
      <c r="B775" s="1">
        <v>149</v>
      </c>
      <c r="C775" s="1">
        <v>15</v>
      </c>
      <c r="D775" t="str">
        <f>VLOOKUP(B775,Заказы!A:C,3,0)</f>
        <v>2023-04-12 22:31:00</v>
      </c>
      <c r="E775" t="str">
        <f>VLOOKUP(C775,Меню!A:E,4,0)</f>
        <v>Первое</v>
      </c>
      <c r="F775">
        <f>VLOOKUP(C775,Меню!A:E,5,0)</f>
        <v>250</v>
      </c>
    </row>
    <row r="776" spans="1:6" ht="15.75" hidden="1" customHeight="1" x14ac:dyDescent="0.35">
      <c r="A776" s="1">
        <v>775</v>
      </c>
      <c r="B776" s="1">
        <v>149</v>
      </c>
      <c r="C776" s="1">
        <v>16</v>
      </c>
      <c r="D776" t="str">
        <f>VLOOKUP(B776,Заказы!A:C,3,0)</f>
        <v>2023-04-12 22:31:00</v>
      </c>
      <c r="E776" t="str">
        <f>VLOOKUP(C776,Меню!A:E,4,0)</f>
        <v>Первое</v>
      </c>
      <c r="F776">
        <f>VLOOKUP(C776,Меню!A:E,5,0)</f>
        <v>250</v>
      </c>
    </row>
    <row r="777" spans="1:6" ht="15.75" hidden="1" customHeight="1" x14ac:dyDescent="0.35">
      <c r="A777" s="1">
        <v>776</v>
      </c>
      <c r="B777" s="1">
        <v>149</v>
      </c>
      <c r="C777" s="1">
        <v>11</v>
      </c>
      <c r="D777" t="str">
        <f>VLOOKUP(B777,Заказы!A:C,3,0)</f>
        <v>2023-04-12 22:31:00</v>
      </c>
      <c r="E777" t="str">
        <f>VLOOKUP(C777,Меню!A:E,4,0)</f>
        <v>Первое</v>
      </c>
      <c r="F777">
        <f>VLOOKUP(C777,Меню!A:E,5,0)</f>
        <v>300</v>
      </c>
    </row>
    <row r="778" spans="1:6" ht="15.75" hidden="1" customHeight="1" x14ac:dyDescent="0.35">
      <c r="A778" s="1">
        <v>777</v>
      </c>
      <c r="B778" s="1">
        <v>149</v>
      </c>
      <c r="C778" s="1">
        <v>32</v>
      </c>
      <c r="D778" t="str">
        <f>VLOOKUP(B778,Заказы!A:C,3,0)</f>
        <v>2023-04-12 22:31:00</v>
      </c>
      <c r="E778" t="str">
        <f>VLOOKUP(C778,Меню!A:E,4,0)</f>
        <v>Десерт</v>
      </c>
      <c r="F778">
        <f>VLOOKUP(C778,Меню!A:E,5,0)</f>
        <v>150</v>
      </c>
    </row>
    <row r="779" spans="1:6" ht="15.75" hidden="1" customHeight="1" x14ac:dyDescent="0.35">
      <c r="A779" s="1">
        <v>778</v>
      </c>
      <c r="B779" s="1">
        <v>149</v>
      </c>
      <c r="C779" s="1">
        <v>24</v>
      </c>
      <c r="D779" t="str">
        <f>VLOOKUP(B779,Заказы!A:C,3,0)</f>
        <v>2023-04-12 22:31:00</v>
      </c>
      <c r="E779" t="str">
        <f>VLOOKUP(C779,Меню!A:E,4,0)</f>
        <v>Салат</v>
      </c>
      <c r="F779">
        <f>VLOOKUP(C779,Меню!A:E,5,0)</f>
        <v>250</v>
      </c>
    </row>
    <row r="780" spans="1:6" ht="15.75" hidden="1" customHeight="1" x14ac:dyDescent="0.35">
      <c r="A780" s="1">
        <v>779</v>
      </c>
      <c r="B780" s="1">
        <v>150</v>
      </c>
      <c r="C780" s="1">
        <v>13</v>
      </c>
      <c r="D780" t="str">
        <f>VLOOKUP(B780,Заказы!A:C,3,0)</f>
        <v>2023-04-13 18:13:00</v>
      </c>
      <c r="E780" t="str">
        <f>VLOOKUP(C780,Меню!A:E,4,0)</f>
        <v>Первое</v>
      </c>
      <c r="F780">
        <f>VLOOKUP(C780,Меню!A:E,5,0)</f>
        <v>280</v>
      </c>
    </row>
    <row r="781" spans="1:6" ht="15.75" hidden="1" customHeight="1" x14ac:dyDescent="0.35">
      <c r="A781" s="1">
        <v>780</v>
      </c>
      <c r="B781" s="1">
        <v>150</v>
      </c>
      <c r="C781" s="1">
        <v>27</v>
      </c>
      <c r="D781" t="str">
        <f>VLOOKUP(B781,Заказы!A:C,3,0)</f>
        <v>2023-04-13 18:13:00</v>
      </c>
      <c r="E781" t="str">
        <f>VLOOKUP(C781,Меню!A:E,4,0)</f>
        <v>Салат</v>
      </c>
      <c r="F781">
        <f>VLOOKUP(C781,Меню!A:E,5,0)</f>
        <v>250</v>
      </c>
    </row>
    <row r="782" spans="1:6" ht="15.75" hidden="1" customHeight="1" x14ac:dyDescent="0.35">
      <c r="A782" s="1">
        <v>781</v>
      </c>
      <c r="B782" s="1">
        <v>150</v>
      </c>
      <c r="C782" s="1">
        <v>26</v>
      </c>
      <c r="D782" t="str">
        <f>VLOOKUP(B782,Заказы!A:C,3,0)</f>
        <v>2023-04-13 18:13:00</v>
      </c>
      <c r="E782" t="str">
        <f>VLOOKUP(C782,Меню!A:E,4,0)</f>
        <v>Салат</v>
      </c>
      <c r="F782">
        <f>VLOOKUP(C782,Меню!A:E,5,0)</f>
        <v>250</v>
      </c>
    </row>
    <row r="783" spans="1:6" ht="15.75" hidden="1" customHeight="1" x14ac:dyDescent="0.35">
      <c r="A783" s="1">
        <v>782</v>
      </c>
      <c r="B783" s="1">
        <v>150</v>
      </c>
      <c r="C783" s="1">
        <v>54</v>
      </c>
      <c r="D783" t="str">
        <f>VLOOKUP(B783,Заказы!A:C,3,0)</f>
        <v>2023-04-13 18:13:00</v>
      </c>
      <c r="E783" t="str">
        <f>VLOOKUP(C783,Меню!A:E,4,0)</f>
        <v>Суши</v>
      </c>
      <c r="F783">
        <f>VLOOKUP(C783,Меню!A:E,5,0)</f>
        <v>100</v>
      </c>
    </row>
    <row r="784" spans="1:6" ht="15.75" hidden="1" customHeight="1" x14ac:dyDescent="0.35">
      <c r="A784" s="1">
        <v>783</v>
      </c>
      <c r="B784" s="1">
        <v>151</v>
      </c>
      <c r="C784" s="1">
        <v>21</v>
      </c>
      <c r="D784" t="str">
        <f>VLOOKUP(B784,Заказы!A:C,3,0)</f>
        <v>2023-04-13 20:08:00</v>
      </c>
      <c r="E784" t="str">
        <f>VLOOKUP(C784,Меню!A:E,4,0)</f>
        <v>Салат</v>
      </c>
      <c r="F784">
        <f>VLOOKUP(C784,Меню!A:E,5,0)</f>
        <v>250</v>
      </c>
    </row>
    <row r="785" spans="1:6" ht="15.75" hidden="1" customHeight="1" x14ac:dyDescent="0.35">
      <c r="A785" s="1">
        <v>784</v>
      </c>
      <c r="B785" s="1">
        <v>151</v>
      </c>
      <c r="C785" s="1">
        <v>9</v>
      </c>
      <c r="D785" t="str">
        <f>VLOOKUP(B785,Заказы!A:C,3,0)</f>
        <v>2023-04-13 20:08:00</v>
      </c>
      <c r="E785" t="str">
        <f>VLOOKUP(C785,Меню!A:E,4,0)</f>
        <v>Завтрак</v>
      </c>
      <c r="F785">
        <f>VLOOKUP(C785,Меню!A:E,5,0)</f>
        <v>220</v>
      </c>
    </row>
    <row r="786" spans="1:6" ht="15.75" hidden="1" customHeight="1" x14ac:dyDescent="0.35">
      <c r="A786" s="1">
        <v>785</v>
      </c>
      <c r="B786" s="1">
        <v>151</v>
      </c>
      <c r="C786" s="1">
        <v>29</v>
      </c>
      <c r="D786" t="str">
        <f>VLOOKUP(B786,Заказы!A:C,3,0)</f>
        <v>2023-04-13 20:08:00</v>
      </c>
      <c r="E786" t="str">
        <f>VLOOKUP(C786,Меню!A:E,4,0)</f>
        <v>Салат</v>
      </c>
      <c r="F786">
        <f>VLOOKUP(C786,Меню!A:E,5,0)</f>
        <v>250</v>
      </c>
    </row>
    <row r="787" spans="1:6" ht="15.75" hidden="1" customHeight="1" x14ac:dyDescent="0.35">
      <c r="A787" s="1">
        <v>786</v>
      </c>
      <c r="B787" s="1">
        <v>152</v>
      </c>
      <c r="C787" s="1">
        <v>55</v>
      </c>
      <c r="D787" t="str">
        <f>VLOOKUP(B787,Заказы!A:C,3,0)</f>
        <v>2023-04-14 15:23:00</v>
      </c>
      <c r="E787" t="str">
        <f>VLOOKUP(C787,Меню!A:E,4,0)</f>
        <v>Суши</v>
      </c>
      <c r="F787">
        <f>VLOOKUP(C787,Меню!A:E,5,0)</f>
        <v>100</v>
      </c>
    </row>
    <row r="788" spans="1:6" ht="15.75" hidden="1" customHeight="1" x14ac:dyDescent="0.35">
      <c r="A788" s="1">
        <v>787</v>
      </c>
      <c r="B788" s="1">
        <v>152</v>
      </c>
      <c r="C788" s="1">
        <v>33</v>
      </c>
      <c r="D788" t="str">
        <f>VLOOKUP(B788,Заказы!A:C,3,0)</f>
        <v>2023-04-14 15:23:00</v>
      </c>
      <c r="E788" t="str">
        <f>VLOOKUP(C788,Меню!A:E,4,0)</f>
        <v>Десерт</v>
      </c>
      <c r="F788">
        <f>VLOOKUP(C788,Меню!A:E,5,0)</f>
        <v>150</v>
      </c>
    </row>
    <row r="789" spans="1:6" ht="15.75" hidden="1" customHeight="1" x14ac:dyDescent="0.35">
      <c r="A789" s="1">
        <v>788</v>
      </c>
      <c r="B789" s="1">
        <v>152</v>
      </c>
      <c r="C789" s="1">
        <v>57</v>
      </c>
      <c r="D789" t="str">
        <f>VLOOKUP(B789,Заказы!A:C,3,0)</f>
        <v>2023-04-14 15:23:00</v>
      </c>
      <c r="E789" t="str">
        <f>VLOOKUP(C789,Меню!A:E,4,0)</f>
        <v>Суши</v>
      </c>
      <c r="F789">
        <f>VLOOKUP(C789,Меню!A:E,5,0)</f>
        <v>200</v>
      </c>
    </row>
    <row r="790" spans="1:6" ht="15.75" hidden="1" customHeight="1" x14ac:dyDescent="0.35">
      <c r="A790" s="1">
        <v>789</v>
      </c>
      <c r="B790" s="1">
        <v>152</v>
      </c>
      <c r="C790" s="1">
        <v>18</v>
      </c>
      <c r="D790" t="str">
        <f>VLOOKUP(B790,Заказы!A:C,3,0)</f>
        <v>2023-04-14 15:23:00</v>
      </c>
      <c r="E790" t="str">
        <f>VLOOKUP(C790,Меню!A:E,4,0)</f>
        <v>Первое</v>
      </c>
      <c r="F790">
        <f>VLOOKUP(C790,Меню!A:E,5,0)</f>
        <v>300</v>
      </c>
    </row>
    <row r="791" spans="1:6" ht="15.75" hidden="1" customHeight="1" x14ac:dyDescent="0.35">
      <c r="A791" s="1">
        <v>790</v>
      </c>
      <c r="B791" s="1">
        <v>152</v>
      </c>
      <c r="C791" s="1">
        <v>43</v>
      </c>
      <c r="D791" t="str">
        <f>VLOOKUP(B791,Заказы!A:C,3,0)</f>
        <v>2023-04-14 15:23:00</v>
      </c>
      <c r="E791" t="str">
        <f>VLOOKUP(C791,Меню!A:E,4,0)</f>
        <v>Суши</v>
      </c>
      <c r="F791">
        <f>VLOOKUP(C791,Меню!A:E,5,0)</f>
        <v>250</v>
      </c>
    </row>
    <row r="792" spans="1:6" ht="15.75" hidden="1" customHeight="1" x14ac:dyDescent="0.35">
      <c r="A792" s="1">
        <v>791</v>
      </c>
      <c r="B792" s="1">
        <v>153</v>
      </c>
      <c r="C792" s="1">
        <v>26</v>
      </c>
      <c r="D792" t="str">
        <f>VLOOKUP(B792,Заказы!A:C,3,0)</f>
        <v>2023-04-14 16:04:00</v>
      </c>
      <c r="E792" t="str">
        <f>VLOOKUP(C792,Меню!A:E,4,0)</f>
        <v>Салат</v>
      </c>
      <c r="F792">
        <f>VLOOKUP(C792,Меню!A:E,5,0)</f>
        <v>250</v>
      </c>
    </row>
    <row r="793" spans="1:6" ht="15.75" hidden="1" customHeight="1" x14ac:dyDescent="0.35">
      <c r="A793" s="1">
        <v>792</v>
      </c>
      <c r="B793" s="1">
        <v>153</v>
      </c>
      <c r="C793" s="1">
        <v>41</v>
      </c>
      <c r="D793" t="str">
        <f>VLOOKUP(B793,Заказы!A:C,3,0)</f>
        <v>2023-04-14 16:04:00</v>
      </c>
      <c r="E793" t="str">
        <f>VLOOKUP(C793,Меню!A:E,4,0)</f>
        <v>Суши</v>
      </c>
      <c r="F793">
        <f>VLOOKUP(C793,Меню!A:E,5,0)</f>
        <v>220</v>
      </c>
    </row>
    <row r="794" spans="1:6" ht="15.75" hidden="1" customHeight="1" x14ac:dyDescent="0.35">
      <c r="A794" s="1">
        <v>793</v>
      </c>
      <c r="B794" s="1">
        <v>153</v>
      </c>
      <c r="C794" s="1">
        <v>59</v>
      </c>
      <c r="D794" t="str">
        <f>VLOOKUP(B794,Заказы!A:C,3,0)</f>
        <v>2023-04-14 16:04:00</v>
      </c>
      <c r="E794" t="str">
        <f>VLOOKUP(C794,Меню!A:E,4,0)</f>
        <v>Суши</v>
      </c>
      <c r="F794">
        <f>VLOOKUP(C794,Меню!A:E,5,0)</f>
        <v>300</v>
      </c>
    </row>
    <row r="795" spans="1:6" ht="15.75" hidden="1" customHeight="1" x14ac:dyDescent="0.35">
      <c r="A795" s="1">
        <v>794</v>
      </c>
      <c r="B795" s="1">
        <v>153</v>
      </c>
      <c r="C795" s="1">
        <v>34</v>
      </c>
      <c r="D795" t="str">
        <f>VLOOKUP(B795,Заказы!A:C,3,0)</f>
        <v>2023-04-14 16:04:00</v>
      </c>
      <c r="E795" t="str">
        <f>VLOOKUP(C795,Меню!A:E,4,0)</f>
        <v>Десерт</v>
      </c>
      <c r="F795">
        <f>VLOOKUP(C795,Меню!A:E,5,0)</f>
        <v>150</v>
      </c>
    </row>
    <row r="796" spans="1:6" ht="15.75" hidden="1" customHeight="1" x14ac:dyDescent="0.35">
      <c r="A796" s="1">
        <v>795</v>
      </c>
      <c r="B796" s="1">
        <v>153</v>
      </c>
      <c r="C796" s="1">
        <v>21</v>
      </c>
      <c r="D796" t="str">
        <f>VLOOKUP(B796,Заказы!A:C,3,0)</f>
        <v>2023-04-14 16:04:00</v>
      </c>
      <c r="E796" t="str">
        <f>VLOOKUP(C796,Меню!A:E,4,0)</f>
        <v>Салат</v>
      </c>
      <c r="F796">
        <f>VLOOKUP(C796,Меню!A:E,5,0)</f>
        <v>250</v>
      </c>
    </row>
    <row r="797" spans="1:6" ht="15.75" hidden="1" customHeight="1" x14ac:dyDescent="0.35">
      <c r="A797" s="1">
        <v>796</v>
      </c>
      <c r="B797" s="1">
        <v>153</v>
      </c>
      <c r="C797" s="1">
        <v>3</v>
      </c>
      <c r="D797" t="str">
        <f>VLOOKUP(B797,Заказы!A:C,3,0)</f>
        <v>2023-04-14 16:04:00</v>
      </c>
      <c r="E797" t="str">
        <f>VLOOKUP(C797,Меню!A:E,4,0)</f>
        <v>Завтрак</v>
      </c>
      <c r="F797">
        <f>VLOOKUP(C797,Меню!A:E,5,0)</f>
        <v>150</v>
      </c>
    </row>
    <row r="798" spans="1:6" ht="15.75" hidden="1" customHeight="1" x14ac:dyDescent="0.35">
      <c r="A798" s="1">
        <v>797</v>
      </c>
      <c r="B798" s="1">
        <v>153</v>
      </c>
      <c r="C798" s="1">
        <v>3</v>
      </c>
      <c r="D798" t="str">
        <f>VLOOKUP(B798,Заказы!A:C,3,0)</f>
        <v>2023-04-14 16:04:00</v>
      </c>
      <c r="E798" t="str">
        <f>VLOOKUP(C798,Меню!A:E,4,0)</f>
        <v>Завтрак</v>
      </c>
      <c r="F798">
        <f>VLOOKUP(C798,Меню!A:E,5,0)</f>
        <v>150</v>
      </c>
    </row>
    <row r="799" spans="1:6" ht="15.75" hidden="1" customHeight="1" x14ac:dyDescent="0.35">
      <c r="A799" s="1">
        <v>798</v>
      </c>
      <c r="B799" s="1">
        <v>154</v>
      </c>
      <c r="C799" s="1">
        <v>51</v>
      </c>
      <c r="D799" t="str">
        <f>VLOOKUP(B799,Заказы!A:C,3,0)</f>
        <v>2023-04-14 18:36:00</v>
      </c>
      <c r="E799" t="str">
        <f>VLOOKUP(C799,Меню!A:E,4,0)</f>
        <v>Суши</v>
      </c>
      <c r="F799">
        <f>VLOOKUP(C799,Меню!A:E,5,0)</f>
        <v>100</v>
      </c>
    </row>
    <row r="800" spans="1:6" ht="15.75" hidden="1" customHeight="1" x14ac:dyDescent="0.35">
      <c r="A800" s="1">
        <v>799</v>
      </c>
      <c r="B800" s="1">
        <v>154</v>
      </c>
      <c r="C800" s="1">
        <v>39</v>
      </c>
      <c r="D800" t="str">
        <f>VLOOKUP(B800,Заказы!A:C,3,0)</f>
        <v>2023-04-14 18:36:00</v>
      </c>
      <c r="E800" t="str">
        <f>VLOOKUP(C800,Меню!A:E,4,0)</f>
        <v>Десерт</v>
      </c>
      <c r="F800">
        <f>VLOOKUP(C800,Меню!A:E,5,0)</f>
        <v>150</v>
      </c>
    </row>
    <row r="801" spans="1:6" ht="15.75" hidden="1" customHeight="1" x14ac:dyDescent="0.35">
      <c r="A801" s="1">
        <v>800</v>
      </c>
      <c r="B801" s="1">
        <v>154</v>
      </c>
      <c r="C801" s="1">
        <v>8</v>
      </c>
      <c r="D801" t="str">
        <f>VLOOKUP(B801,Заказы!A:C,3,0)</f>
        <v>2023-04-14 18:36:00</v>
      </c>
      <c r="E801" t="str">
        <f>VLOOKUP(C801,Меню!A:E,4,0)</f>
        <v>Завтрак</v>
      </c>
      <c r="F801">
        <f>VLOOKUP(C801,Меню!A:E,5,0)</f>
        <v>180</v>
      </c>
    </row>
    <row r="802" spans="1:6" ht="15.75" hidden="1" customHeight="1" x14ac:dyDescent="0.35">
      <c r="A802" s="1">
        <v>801</v>
      </c>
      <c r="B802" s="1">
        <v>154</v>
      </c>
      <c r="C802" s="1">
        <v>27</v>
      </c>
      <c r="D802" t="str">
        <f>VLOOKUP(B802,Заказы!A:C,3,0)</f>
        <v>2023-04-14 18:36:00</v>
      </c>
      <c r="E802" t="str">
        <f>VLOOKUP(C802,Меню!A:E,4,0)</f>
        <v>Салат</v>
      </c>
      <c r="F802">
        <f>VLOOKUP(C802,Меню!A:E,5,0)</f>
        <v>250</v>
      </c>
    </row>
    <row r="803" spans="1:6" ht="15.75" hidden="1" customHeight="1" x14ac:dyDescent="0.35">
      <c r="A803" s="1">
        <v>802</v>
      </c>
      <c r="B803" s="1">
        <v>154</v>
      </c>
      <c r="C803" s="1">
        <v>44</v>
      </c>
      <c r="D803" t="str">
        <f>VLOOKUP(B803,Заказы!A:C,3,0)</f>
        <v>2023-04-14 18:36:00</v>
      </c>
      <c r="E803" t="str">
        <f>VLOOKUP(C803,Меню!A:E,4,0)</f>
        <v>Суши</v>
      </c>
      <c r="F803">
        <f>VLOOKUP(C803,Меню!A:E,5,0)</f>
        <v>250</v>
      </c>
    </row>
    <row r="804" spans="1:6" ht="15.75" hidden="1" customHeight="1" x14ac:dyDescent="0.35">
      <c r="A804" s="1">
        <v>803</v>
      </c>
      <c r="B804" s="1">
        <v>154</v>
      </c>
      <c r="C804" s="1">
        <v>12</v>
      </c>
      <c r="D804" t="str">
        <f>VLOOKUP(B804,Заказы!A:C,3,0)</f>
        <v>2023-04-14 18:36:00</v>
      </c>
      <c r="E804" t="str">
        <f>VLOOKUP(C804,Меню!A:E,4,0)</f>
        <v>Первое</v>
      </c>
      <c r="F804">
        <f>VLOOKUP(C804,Меню!A:E,5,0)</f>
        <v>300</v>
      </c>
    </row>
    <row r="805" spans="1:6" ht="15.75" hidden="1" customHeight="1" x14ac:dyDescent="0.35">
      <c r="A805" s="1">
        <v>804</v>
      </c>
      <c r="B805" s="1">
        <v>154</v>
      </c>
      <c r="C805" s="1">
        <v>19</v>
      </c>
      <c r="D805" t="str">
        <f>VLOOKUP(B805,Заказы!A:C,3,0)</f>
        <v>2023-04-14 18:36:00</v>
      </c>
      <c r="E805" t="str">
        <f>VLOOKUP(C805,Меню!A:E,4,0)</f>
        <v>Первое</v>
      </c>
      <c r="F805">
        <f>VLOOKUP(C805,Меню!A:E,5,0)</f>
        <v>300</v>
      </c>
    </row>
    <row r="806" spans="1:6" ht="15.75" hidden="1" customHeight="1" x14ac:dyDescent="0.35">
      <c r="A806" s="1">
        <v>805</v>
      </c>
      <c r="B806" s="1">
        <v>154</v>
      </c>
      <c r="C806" s="1">
        <v>17</v>
      </c>
      <c r="D806" t="str">
        <f>VLOOKUP(B806,Заказы!A:C,3,0)</f>
        <v>2023-04-14 18:36:00</v>
      </c>
      <c r="E806" t="str">
        <f>VLOOKUP(C806,Меню!A:E,4,0)</f>
        <v>Первое</v>
      </c>
      <c r="F806">
        <f>VLOOKUP(C806,Меню!A:E,5,0)</f>
        <v>250</v>
      </c>
    </row>
    <row r="807" spans="1:6" ht="15.75" hidden="1" customHeight="1" x14ac:dyDescent="0.35">
      <c r="A807" s="1">
        <v>806</v>
      </c>
      <c r="B807" s="1">
        <v>154</v>
      </c>
      <c r="C807" s="1">
        <v>51</v>
      </c>
      <c r="D807" t="str">
        <f>VLOOKUP(B807,Заказы!A:C,3,0)</f>
        <v>2023-04-14 18:36:00</v>
      </c>
      <c r="E807" t="str">
        <f>VLOOKUP(C807,Меню!A:E,4,0)</f>
        <v>Суши</v>
      </c>
      <c r="F807">
        <f>VLOOKUP(C807,Меню!A:E,5,0)</f>
        <v>100</v>
      </c>
    </row>
    <row r="808" spans="1:6" ht="15.75" hidden="1" customHeight="1" x14ac:dyDescent="0.35">
      <c r="A808" s="1">
        <v>807</v>
      </c>
      <c r="B808" s="1">
        <v>155</v>
      </c>
      <c r="C808" s="1">
        <v>51</v>
      </c>
      <c r="D808" t="str">
        <f>VLOOKUP(B808,Заказы!A:C,3,0)</f>
        <v>2023-04-14 22:55:00</v>
      </c>
      <c r="E808" t="str">
        <f>VLOOKUP(C808,Меню!A:E,4,0)</f>
        <v>Суши</v>
      </c>
      <c r="F808">
        <f>VLOOKUP(C808,Меню!A:E,5,0)</f>
        <v>100</v>
      </c>
    </row>
    <row r="809" spans="1:6" ht="15.75" hidden="1" customHeight="1" x14ac:dyDescent="0.35">
      <c r="A809" s="1">
        <v>808</v>
      </c>
      <c r="B809" s="1">
        <v>155</v>
      </c>
      <c r="C809" s="1">
        <v>40</v>
      </c>
      <c r="D809" t="str">
        <f>VLOOKUP(B809,Заказы!A:C,3,0)</f>
        <v>2023-04-14 22:55:00</v>
      </c>
      <c r="E809" t="str">
        <f>VLOOKUP(C809,Меню!A:E,4,0)</f>
        <v>Десерт</v>
      </c>
      <c r="F809">
        <f>VLOOKUP(C809,Меню!A:E,5,0)</f>
        <v>150</v>
      </c>
    </row>
    <row r="810" spans="1:6" ht="15.75" hidden="1" customHeight="1" x14ac:dyDescent="0.35">
      <c r="A810" s="1">
        <v>809</v>
      </c>
      <c r="B810" s="1">
        <v>155</v>
      </c>
      <c r="C810" s="1">
        <v>7</v>
      </c>
      <c r="D810" t="str">
        <f>VLOOKUP(B810,Заказы!A:C,3,0)</f>
        <v>2023-04-14 22:55:00</v>
      </c>
      <c r="E810" t="str">
        <f>VLOOKUP(C810,Меню!A:E,4,0)</f>
        <v>Завтрак</v>
      </c>
      <c r="F810">
        <f>VLOOKUP(C810,Меню!A:E,5,0)</f>
        <v>200</v>
      </c>
    </row>
    <row r="811" spans="1:6" ht="15.75" hidden="1" customHeight="1" x14ac:dyDescent="0.35">
      <c r="A811" s="1">
        <v>810</v>
      </c>
      <c r="B811" s="1">
        <v>155</v>
      </c>
      <c r="C811" s="1">
        <v>31</v>
      </c>
      <c r="D811" t="str">
        <f>VLOOKUP(B811,Заказы!A:C,3,0)</f>
        <v>2023-04-14 22:55:00</v>
      </c>
      <c r="E811" t="str">
        <f>VLOOKUP(C811,Меню!A:E,4,0)</f>
        <v>Десерт</v>
      </c>
      <c r="F811">
        <f>VLOOKUP(C811,Меню!A:E,5,0)</f>
        <v>150</v>
      </c>
    </row>
    <row r="812" spans="1:6" ht="15.75" hidden="1" customHeight="1" x14ac:dyDescent="0.35">
      <c r="A812" s="1">
        <v>811</v>
      </c>
      <c r="B812" s="1">
        <v>156</v>
      </c>
      <c r="C812" s="1">
        <v>23</v>
      </c>
      <c r="D812" t="str">
        <f>VLOOKUP(B812,Заказы!A:C,3,0)</f>
        <v>2023-04-15 16:03:00</v>
      </c>
      <c r="E812" t="str">
        <f>VLOOKUP(C812,Меню!A:E,4,0)</f>
        <v>Салат</v>
      </c>
      <c r="F812">
        <f>VLOOKUP(C812,Меню!A:E,5,0)</f>
        <v>250</v>
      </c>
    </row>
    <row r="813" spans="1:6" ht="15.75" hidden="1" customHeight="1" x14ac:dyDescent="0.35">
      <c r="A813" s="1">
        <v>812</v>
      </c>
      <c r="B813" s="1">
        <v>156</v>
      </c>
      <c r="C813" s="1">
        <v>38</v>
      </c>
      <c r="D813" t="str">
        <f>VLOOKUP(B813,Заказы!A:C,3,0)</f>
        <v>2023-04-15 16:03:00</v>
      </c>
      <c r="E813" t="str">
        <f>VLOOKUP(C813,Меню!A:E,4,0)</f>
        <v>Десерт</v>
      </c>
      <c r="F813">
        <f>VLOOKUP(C813,Меню!A:E,5,0)</f>
        <v>150</v>
      </c>
    </row>
    <row r="814" spans="1:6" ht="15.75" hidden="1" customHeight="1" x14ac:dyDescent="0.35">
      <c r="A814" s="1">
        <v>813</v>
      </c>
      <c r="B814" s="1">
        <v>156</v>
      </c>
      <c r="C814" s="1">
        <v>45</v>
      </c>
      <c r="D814" t="str">
        <f>VLOOKUP(B814,Заказы!A:C,3,0)</f>
        <v>2023-04-15 16:03:00</v>
      </c>
      <c r="E814" t="str">
        <f>VLOOKUP(C814,Меню!A:E,4,0)</f>
        <v>Суши</v>
      </c>
      <c r="F814">
        <f>VLOOKUP(C814,Меню!A:E,5,0)</f>
        <v>200</v>
      </c>
    </row>
    <row r="815" spans="1:6" ht="15.75" hidden="1" customHeight="1" x14ac:dyDescent="0.35">
      <c r="A815" s="1">
        <v>814</v>
      </c>
      <c r="B815" s="1">
        <v>156</v>
      </c>
      <c r="C815" s="1">
        <v>49</v>
      </c>
      <c r="D815" t="str">
        <f>VLOOKUP(B815,Заказы!A:C,3,0)</f>
        <v>2023-04-15 16:03:00</v>
      </c>
      <c r="E815" t="str">
        <f>VLOOKUP(C815,Меню!A:E,4,0)</f>
        <v>Суши</v>
      </c>
      <c r="F815">
        <f>VLOOKUP(C815,Меню!A:E,5,0)</f>
        <v>200</v>
      </c>
    </row>
    <row r="816" spans="1:6" ht="15.75" hidden="1" customHeight="1" x14ac:dyDescent="0.35">
      <c r="A816" s="1">
        <v>815</v>
      </c>
      <c r="B816" s="1">
        <v>157</v>
      </c>
      <c r="C816" s="1">
        <v>37</v>
      </c>
      <c r="D816" t="str">
        <f>VLOOKUP(B816,Заказы!A:C,3,0)</f>
        <v>2023-04-15 16:15:00</v>
      </c>
      <c r="E816" t="str">
        <f>VLOOKUP(C816,Меню!A:E,4,0)</f>
        <v>Десерт</v>
      </c>
      <c r="F816">
        <f>VLOOKUP(C816,Меню!A:E,5,0)</f>
        <v>100</v>
      </c>
    </row>
    <row r="817" spans="1:6" ht="15.75" hidden="1" customHeight="1" x14ac:dyDescent="0.35">
      <c r="A817" s="1">
        <v>816</v>
      </c>
      <c r="B817" s="1">
        <v>158</v>
      </c>
      <c r="C817" s="1">
        <v>56</v>
      </c>
      <c r="D817" t="str">
        <f>VLOOKUP(B817,Заказы!A:C,3,0)</f>
        <v>2023-04-15 20:35:00</v>
      </c>
      <c r="E817" t="str">
        <f>VLOOKUP(C817,Меню!A:E,4,0)</f>
        <v>Суши</v>
      </c>
      <c r="F817">
        <f>VLOOKUP(C817,Меню!A:E,5,0)</f>
        <v>200</v>
      </c>
    </row>
    <row r="818" spans="1:6" ht="15.75" hidden="1" customHeight="1" x14ac:dyDescent="0.35">
      <c r="A818" s="1">
        <v>817</v>
      </c>
      <c r="B818" s="1">
        <v>159</v>
      </c>
      <c r="C818" s="1">
        <v>34</v>
      </c>
      <c r="D818" t="str">
        <f>VLOOKUP(B818,Заказы!A:C,3,0)</f>
        <v>2023-04-15 21:27:00</v>
      </c>
      <c r="E818" t="str">
        <f>VLOOKUP(C818,Меню!A:E,4,0)</f>
        <v>Десерт</v>
      </c>
      <c r="F818">
        <f>VLOOKUP(C818,Меню!A:E,5,0)</f>
        <v>150</v>
      </c>
    </row>
    <row r="819" spans="1:6" ht="15.75" hidden="1" customHeight="1" x14ac:dyDescent="0.35">
      <c r="A819" s="1">
        <v>818</v>
      </c>
      <c r="B819" s="1">
        <v>159</v>
      </c>
      <c r="C819" s="1">
        <v>56</v>
      </c>
      <c r="D819" t="str">
        <f>VLOOKUP(B819,Заказы!A:C,3,0)</f>
        <v>2023-04-15 21:27:00</v>
      </c>
      <c r="E819" t="str">
        <f>VLOOKUP(C819,Меню!A:E,4,0)</f>
        <v>Суши</v>
      </c>
      <c r="F819">
        <f>VLOOKUP(C819,Меню!A:E,5,0)</f>
        <v>200</v>
      </c>
    </row>
    <row r="820" spans="1:6" ht="15.75" hidden="1" customHeight="1" x14ac:dyDescent="0.35">
      <c r="A820" s="1">
        <v>819</v>
      </c>
      <c r="B820" s="1">
        <v>159</v>
      </c>
      <c r="C820" s="1">
        <v>10</v>
      </c>
      <c r="D820" t="str">
        <f>VLOOKUP(B820,Заказы!A:C,3,0)</f>
        <v>2023-04-15 21:27:00</v>
      </c>
      <c r="E820" t="str">
        <f>VLOOKUP(C820,Меню!A:E,4,0)</f>
        <v>Завтрак</v>
      </c>
      <c r="F820">
        <f>VLOOKUP(C820,Меню!A:E,5,0)</f>
        <v>200</v>
      </c>
    </row>
    <row r="821" spans="1:6" ht="15.75" hidden="1" customHeight="1" x14ac:dyDescent="0.35">
      <c r="A821" s="1">
        <v>820</v>
      </c>
      <c r="B821" s="1">
        <v>159</v>
      </c>
      <c r="C821" s="1">
        <v>8</v>
      </c>
      <c r="D821" t="str">
        <f>VLOOKUP(B821,Заказы!A:C,3,0)</f>
        <v>2023-04-15 21:27:00</v>
      </c>
      <c r="E821" t="str">
        <f>VLOOKUP(C821,Меню!A:E,4,0)</f>
        <v>Завтрак</v>
      </c>
      <c r="F821">
        <f>VLOOKUP(C821,Меню!A:E,5,0)</f>
        <v>180</v>
      </c>
    </row>
    <row r="822" spans="1:6" ht="15.75" hidden="1" customHeight="1" x14ac:dyDescent="0.35">
      <c r="A822" s="1">
        <v>821</v>
      </c>
      <c r="B822" s="1">
        <v>159</v>
      </c>
      <c r="C822" s="1">
        <v>22</v>
      </c>
      <c r="D822" t="str">
        <f>VLOOKUP(B822,Заказы!A:C,3,0)</f>
        <v>2023-04-15 21:27:00</v>
      </c>
      <c r="E822" t="str">
        <f>VLOOKUP(C822,Меню!A:E,4,0)</f>
        <v>Салат</v>
      </c>
      <c r="F822">
        <f>VLOOKUP(C822,Меню!A:E,5,0)</f>
        <v>250</v>
      </c>
    </row>
    <row r="823" spans="1:6" ht="15.75" hidden="1" customHeight="1" x14ac:dyDescent="0.35">
      <c r="A823" s="1">
        <v>822</v>
      </c>
      <c r="B823" s="1">
        <v>159</v>
      </c>
      <c r="C823" s="1">
        <v>21</v>
      </c>
      <c r="D823" t="str">
        <f>VLOOKUP(B823,Заказы!A:C,3,0)</f>
        <v>2023-04-15 21:27:00</v>
      </c>
      <c r="E823" t="str">
        <f>VLOOKUP(C823,Меню!A:E,4,0)</f>
        <v>Салат</v>
      </c>
      <c r="F823">
        <f>VLOOKUP(C823,Меню!A:E,5,0)</f>
        <v>250</v>
      </c>
    </row>
    <row r="824" spans="1:6" ht="15.75" hidden="1" customHeight="1" x14ac:dyDescent="0.35">
      <c r="A824" s="1">
        <v>823</v>
      </c>
      <c r="B824" s="1">
        <v>159</v>
      </c>
      <c r="C824" s="1">
        <v>9</v>
      </c>
      <c r="D824" t="str">
        <f>VLOOKUP(B824,Заказы!A:C,3,0)</f>
        <v>2023-04-15 21:27:00</v>
      </c>
      <c r="E824" t="str">
        <f>VLOOKUP(C824,Меню!A:E,4,0)</f>
        <v>Завтрак</v>
      </c>
      <c r="F824">
        <f>VLOOKUP(C824,Меню!A:E,5,0)</f>
        <v>220</v>
      </c>
    </row>
    <row r="825" spans="1:6" ht="15.75" hidden="1" customHeight="1" x14ac:dyDescent="0.35">
      <c r="A825" s="1">
        <v>824</v>
      </c>
      <c r="B825" s="1">
        <v>159</v>
      </c>
      <c r="C825" s="1">
        <v>22</v>
      </c>
      <c r="D825" t="str">
        <f>VLOOKUP(B825,Заказы!A:C,3,0)</f>
        <v>2023-04-15 21:27:00</v>
      </c>
      <c r="E825" t="str">
        <f>VLOOKUP(C825,Меню!A:E,4,0)</f>
        <v>Салат</v>
      </c>
      <c r="F825">
        <f>VLOOKUP(C825,Меню!A:E,5,0)</f>
        <v>250</v>
      </c>
    </row>
    <row r="826" spans="1:6" ht="15.75" hidden="1" customHeight="1" x14ac:dyDescent="0.35">
      <c r="A826" s="1">
        <v>825</v>
      </c>
      <c r="B826" s="1">
        <v>160</v>
      </c>
      <c r="C826" s="1">
        <v>54</v>
      </c>
      <c r="D826" t="str">
        <f>VLOOKUP(B826,Заказы!A:C,3,0)</f>
        <v>2023-04-15 22:33:00</v>
      </c>
      <c r="E826" t="str">
        <f>VLOOKUP(C826,Меню!A:E,4,0)</f>
        <v>Суши</v>
      </c>
      <c r="F826">
        <f>VLOOKUP(C826,Меню!A:E,5,0)</f>
        <v>100</v>
      </c>
    </row>
    <row r="827" spans="1:6" ht="15.75" hidden="1" customHeight="1" x14ac:dyDescent="0.35">
      <c r="A827" s="1">
        <v>826</v>
      </c>
      <c r="B827" s="1">
        <v>160</v>
      </c>
      <c r="C827" s="1">
        <v>36</v>
      </c>
      <c r="D827" t="str">
        <f>VLOOKUP(B827,Заказы!A:C,3,0)</f>
        <v>2023-04-15 22:33:00</v>
      </c>
      <c r="E827" t="str">
        <f>VLOOKUP(C827,Меню!A:E,4,0)</f>
        <v>Десерт</v>
      </c>
      <c r="F827">
        <f>VLOOKUP(C827,Меню!A:E,5,0)</f>
        <v>150</v>
      </c>
    </row>
    <row r="828" spans="1:6" ht="15.75" hidden="1" customHeight="1" x14ac:dyDescent="0.35">
      <c r="A828" s="1">
        <v>827</v>
      </c>
      <c r="B828" s="1">
        <v>160</v>
      </c>
      <c r="C828" s="1">
        <v>14</v>
      </c>
      <c r="D828" t="str">
        <f>VLOOKUP(B828,Заказы!A:C,3,0)</f>
        <v>2023-04-15 22:33:00</v>
      </c>
      <c r="E828" t="str">
        <f>VLOOKUP(C828,Меню!A:E,4,0)</f>
        <v>Первое</v>
      </c>
      <c r="F828">
        <f>VLOOKUP(C828,Меню!A:E,5,0)</f>
        <v>350</v>
      </c>
    </row>
    <row r="829" spans="1:6" ht="15.75" hidden="1" customHeight="1" x14ac:dyDescent="0.35">
      <c r="A829" s="1">
        <v>828</v>
      </c>
      <c r="B829" s="1">
        <v>160</v>
      </c>
      <c r="C829" s="1">
        <v>49</v>
      </c>
      <c r="D829" t="str">
        <f>VLOOKUP(B829,Заказы!A:C,3,0)</f>
        <v>2023-04-15 22:33:00</v>
      </c>
      <c r="E829" t="str">
        <f>VLOOKUP(C829,Меню!A:E,4,0)</f>
        <v>Суши</v>
      </c>
      <c r="F829">
        <f>VLOOKUP(C829,Меню!A:E,5,0)</f>
        <v>200</v>
      </c>
    </row>
    <row r="830" spans="1:6" ht="15.75" hidden="1" customHeight="1" x14ac:dyDescent="0.35">
      <c r="A830" s="1">
        <v>829</v>
      </c>
      <c r="B830" s="1">
        <v>160</v>
      </c>
      <c r="C830" s="1">
        <v>47</v>
      </c>
      <c r="D830" t="str">
        <f>VLOOKUP(B830,Заказы!A:C,3,0)</f>
        <v>2023-04-15 22:33:00</v>
      </c>
      <c r="E830" t="str">
        <f>VLOOKUP(C830,Меню!A:E,4,0)</f>
        <v>Суши</v>
      </c>
      <c r="F830">
        <f>VLOOKUP(C830,Меню!A:E,5,0)</f>
        <v>200</v>
      </c>
    </row>
    <row r="831" spans="1:6" ht="15.75" hidden="1" customHeight="1" x14ac:dyDescent="0.35">
      <c r="A831" s="1">
        <v>830</v>
      </c>
      <c r="B831" s="1">
        <v>161</v>
      </c>
      <c r="C831" s="1">
        <v>29</v>
      </c>
      <c r="D831" t="str">
        <f>VLOOKUP(B831,Заказы!A:C,3,0)</f>
        <v>2023-04-16 15:06:00</v>
      </c>
      <c r="E831" t="str">
        <f>VLOOKUP(C831,Меню!A:E,4,0)</f>
        <v>Салат</v>
      </c>
      <c r="F831">
        <f>VLOOKUP(C831,Меню!A:E,5,0)</f>
        <v>250</v>
      </c>
    </row>
    <row r="832" spans="1:6" ht="15.75" hidden="1" customHeight="1" x14ac:dyDescent="0.35">
      <c r="A832" s="1">
        <v>831</v>
      </c>
      <c r="B832" s="1">
        <v>161</v>
      </c>
      <c r="C832" s="1">
        <v>51</v>
      </c>
      <c r="D832" t="str">
        <f>VLOOKUP(B832,Заказы!A:C,3,0)</f>
        <v>2023-04-16 15:06:00</v>
      </c>
      <c r="E832" t="str">
        <f>VLOOKUP(C832,Меню!A:E,4,0)</f>
        <v>Суши</v>
      </c>
      <c r="F832">
        <f>VLOOKUP(C832,Меню!A:E,5,0)</f>
        <v>100</v>
      </c>
    </row>
    <row r="833" spans="1:6" ht="15.75" hidden="1" customHeight="1" x14ac:dyDescent="0.35">
      <c r="A833" s="1">
        <v>832</v>
      </c>
      <c r="B833" s="1">
        <v>161</v>
      </c>
      <c r="C833" s="1">
        <v>18</v>
      </c>
      <c r="D833" t="str">
        <f>VLOOKUP(B833,Заказы!A:C,3,0)</f>
        <v>2023-04-16 15:06:00</v>
      </c>
      <c r="E833" t="str">
        <f>VLOOKUP(C833,Меню!A:E,4,0)</f>
        <v>Первое</v>
      </c>
      <c r="F833">
        <f>VLOOKUP(C833,Меню!A:E,5,0)</f>
        <v>300</v>
      </c>
    </row>
    <row r="834" spans="1:6" ht="15.75" hidden="1" customHeight="1" x14ac:dyDescent="0.35">
      <c r="A834" s="1">
        <v>833</v>
      </c>
      <c r="B834" s="1">
        <v>161</v>
      </c>
      <c r="C834" s="1">
        <v>40</v>
      </c>
      <c r="D834" t="str">
        <f>VLOOKUP(B834,Заказы!A:C,3,0)</f>
        <v>2023-04-16 15:06:00</v>
      </c>
      <c r="E834" t="str">
        <f>VLOOKUP(C834,Меню!A:E,4,0)</f>
        <v>Десерт</v>
      </c>
      <c r="F834">
        <f>VLOOKUP(C834,Меню!A:E,5,0)</f>
        <v>150</v>
      </c>
    </row>
    <row r="835" spans="1:6" ht="15.75" hidden="1" customHeight="1" x14ac:dyDescent="0.35">
      <c r="A835" s="1">
        <v>834</v>
      </c>
      <c r="B835" s="1">
        <v>161</v>
      </c>
      <c r="C835" s="1">
        <v>36</v>
      </c>
      <c r="D835" t="str">
        <f>VLOOKUP(B835,Заказы!A:C,3,0)</f>
        <v>2023-04-16 15:06:00</v>
      </c>
      <c r="E835" t="str">
        <f>VLOOKUP(C835,Меню!A:E,4,0)</f>
        <v>Десерт</v>
      </c>
      <c r="F835">
        <f>VLOOKUP(C835,Меню!A:E,5,0)</f>
        <v>150</v>
      </c>
    </row>
    <row r="836" spans="1:6" ht="15.75" hidden="1" customHeight="1" x14ac:dyDescent="0.35">
      <c r="A836" s="1">
        <v>835</v>
      </c>
      <c r="B836" s="1">
        <v>161</v>
      </c>
      <c r="C836" s="1">
        <v>8</v>
      </c>
      <c r="D836" t="str">
        <f>VLOOKUP(B836,Заказы!A:C,3,0)</f>
        <v>2023-04-16 15:06:00</v>
      </c>
      <c r="E836" t="str">
        <f>VLOOKUP(C836,Меню!A:E,4,0)</f>
        <v>Завтрак</v>
      </c>
      <c r="F836">
        <f>VLOOKUP(C836,Меню!A:E,5,0)</f>
        <v>180</v>
      </c>
    </row>
    <row r="837" spans="1:6" ht="15.75" hidden="1" customHeight="1" x14ac:dyDescent="0.35">
      <c r="A837" s="1">
        <v>836</v>
      </c>
      <c r="B837" s="1">
        <v>162</v>
      </c>
      <c r="C837" s="1">
        <v>7</v>
      </c>
      <c r="D837" t="str">
        <f>VLOOKUP(B837,Заказы!A:C,3,0)</f>
        <v>2023-04-16 16:30:00</v>
      </c>
      <c r="E837" t="str">
        <f>VLOOKUP(C837,Меню!A:E,4,0)</f>
        <v>Завтрак</v>
      </c>
      <c r="F837">
        <f>VLOOKUP(C837,Меню!A:E,5,0)</f>
        <v>200</v>
      </c>
    </row>
    <row r="838" spans="1:6" ht="15.75" hidden="1" customHeight="1" x14ac:dyDescent="0.35">
      <c r="A838" s="1">
        <v>837</v>
      </c>
      <c r="B838" s="1">
        <v>162</v>
      </c>
      <c r="C838" s="1">
        <v>34</v>
      </c>
      <c r="D838" t="str">
        <f>VLOOKUP(B838,Заказы!A:C,3,0)</f>
        <v>2023-04-16 16:30:00</v>
      </c>
      <c r="E838" t="str">
        <f>VLOOKUP(C838,Меню!A:E,4,0)</f>
        <v>Десерт</v>
      </c>
      <c r="F838">
        <f>VLOOKUP(C838,Меню!A:E,5,0)</f>
        <v>150</v>
      </c>
    </row>
    <row r="839" spans="1:6" ht="15.75" hidden="1" customHeight="1" x14ac:dyDescent="0.35">
      <c r="A839" s="1">
        <v>838</v>
      </c>
      <c r="B839" s="1">
        <v>163</v>
      </c>
      <c r="C839" s="1">
        <v>11</v>
      </c>
      <c r="D839" t="str">
        <f>VLOOKUP(B839,Заказы!A:C,3,0)</f>
        <v>2023-04-16 17:39:00</v>
      </c>
      <c r="E839" t="str">
        <f>VLOOKUP(C839,Меню!A:E,4,0)</f>
        <v>Первое</v>
      </c>
      <c r="F839">
        <f>VLOOKUP(C839,Меню!A:E,5,0)</f>
        <v>300</v>
      </c>
    </row>
    <row r="840" spans="1:6" ht="15.75" hidden="1" customHeight="1" x14ac:dyDescent="0.35">
      <c r="A840" s="1">
        <v>839</v>
      </c>
      <c r="B840" s="1">
        <v>163</v>
      </c>
      <c r="C840" s="1">
        <v>38</v>
      </c>
      <c r="D840" t="str">
        <f>VLOOKUP(B840,Заказы!A:C,3,0)</f>
        <v>2023-04-16 17:39:00</v>
      </c>
      <c r="E840" t="str">
        <f>VLOOKUP(C840,Меню!A:E,4,0)</f>
        <v>Десерт</v>
      </c>
      <c r="F840">
        <f>VLOOKUP(C840,Меню!A:E,5,0)</f>
        <v>150</v>
      </c>
    </row>
    <row r="841" spans="1:6" ht="15.75" hidden="1" customHeight="1" x14ac:dyDescent="0.35">
      <c r="A841" s="1">
        <v>840</v>
      </c>
      <c r="B841" s="1">
        <v>163</v>
      </c>
      <c r="C841" s="1">
        <v>17</v>
      </c>
      <c r="D841" t="str">
        <f>VLOOKUP(B841,Заказы!A:C,3,0)</f>
        <v>2023-04-16 17:39:00</v>
      </c>
      <c r="E841" t="str">
        <f>VLOOKUP(C841,Меню!A:E,4,0)</f>
        <v>Первое</v>
      </c>
      <c r="F841">
        <f>VLOOKUP(C841,Меню!A:E,5,0)</f>
        <v>250</v>
      </c>
    </row>
    <row r="842" spans="1:6" ht="15.75" hidden="1" customHeight="1" x14ac:dyDescent="0.35">
      <c r="A842" s="1">
        <v>841</v>
      </c>
      <c r="B842" s="1">
        <v>163</v>
      </c>
      <c r="C842" s="1">
        <v>38</v>
      </c>
      <c r="D842" t="str">
        <f>VLOOKUP(B842,Заказы!A:C,3,0)</f>
        <v>2023-04-16 17:39:00</v>
      </c>
      <c r="E842" t="str">
        <f>VLOOKUP(C842,Меню!A:E,4,0)</f>
        <v>Десерт</v>
      </c>
      <c r="F842">
        <f>VLOOKUP(C842,Меню!A:E,5,0)</f>
        <v>150</v>
      </c>
    </row>
    <row r="843" spans="1:6" ht="15.75" hidden="1" customHeight="1" x14ac:dyDescent="0.35">
      <c r="A843" s="1">
        <v>842</v>
      </c>
      <c r="B843" s="1">
        <v>163</v>
      </c>
      <c r="C843" s="1">
        <v>1</v>
      </c>
      <c r="D843" t="str">
        <f>VLOOKUP(B843,Заказы!A:C,3,0)</f>
        <v>2023-04-16 17:39:00</v>
      </c>
      <c r="E843" t="str">
        <f>VLOOKUP(C843,Меню!A:E,4,0)</f>
        <v>Завтрак</v>
      </c>
      <c r="F843">
        <f>VLOOKUP(C843,Меню!A:E,5,0)</f>
        <v>200</v>
      </c>
    </row>
    <row r="844" spans="1:6" ht="15.75" hidden="1" customHeight="1" x14ac:dyDescent="0.35">
      <c r="A844" s="1">
        <v>843</v>
      </c>
      <c r="B844" s="1">
        <v>163</v>
      </c>
      <c r="C844" s="1">
        <v>39</v>
      </c>
      <c r="D844" t="str">
        <f>VLOOKUP(B844,Заказы!A:C,3,0)</f>
        <v>2023-04-16 17:39:00</v>
      </c>
      <c r="E844" t="str">
        <f>VLOOKUP(C844,Меню!A:E,4,0)</f>
        <v>Десерт</v>
      </c>
      <c r="F844">
        <f>VLOOKUP(C844,Меню!A:E,5,0)</f>
        <v>150</v>
      </c>
    </row>
    <row r="845" spans="1:6" ht="15.75" hidden="1" customHeight="1" x14ac:dyDescent="0.35">
      <c r="A845" s="1">
        <v>844</v>
      </c>
      <c r="B845" s="1">
        <v>164</v>
      </c>
      <c r="C845" s="1">
        <v>21</v>
      </c>
      <c r="D845" t="str">
        <f>VLOOKUP(B845,Заказы!A:C,3,0)</f>
        <v>2023-04-16 18:30:00</v>
      </c>
      <c r="E845" t="str">
        <f>VLOOKUP(C845,Меню!A:E,4,0)</f>
        <v>Салат</v>
      </c>
      <c r="F845">
        <f>VLOOKUP(C845,Меню!A:E,5,0)</f>
        <v>250</v>
      </c>
    </row>
    <row r="846" spans="1:6" ht="15.75" hidden="1" customHeight="1" x14ac:dyDescent="0.35">
      <c r="A846" s="1">
        <v>845</v>
      </c>
      <c r="B846" s="1">
        <v>164</v>
      </c>
      <c r="C846" s="1">
        <v>3</v>
      </c>
      <c r="D846" t="str">
        <f>VLOOKUP(B846,Заказы!A:C,3,0)</f>
        <v>2023-04-16 18:30:00</v>
      </c>
      <c r="E846" t="str">
        <f>VLOOKUP(C846,Меню!A:E,4,0)</f>
        <v>Завтрак</v>
      </c>
      <c r="F846">
        <f>VLOOKUP(C846,Меню!A:E,5,0)</f>
        <v>150</v>
      </c>
    </row>
    <row r="847" spans="1:6" ht="15.75" hidden="1" customHeight="1" x14ac:dyDescent="0.35">
      <c r="A847" s="1">
        <v>846</v>
      </c>
      <c r="B847" s="1">
        <v>164</v>
      </c>
      <c r="C847" s="1">
        <v>50</v>
      </c>
      <c r="D847" t="str">
        <f>VLOOKUP(B847,Заказы!A:C,3,0)</f>
        <v>2023-04-16 18:30:00</v>
      </c>
      <c r="E847" t="str">
        <f>VLOOKUP(C847,Меню!A:E,4,0)</f>
        <v>Суши</v>
      </c>
      <c r="F847">
        <f>VLOOKUP(C847,Меню!A:E,5,0)</f>
        <v>200</v>
      </c>
    </row>
    <row r="848" spans="1:6" ht="15.75" hidden="1" customHeight="1" x14ac:dyDescent="0.35">
      <c r="A848" s="1">
        <v>847</v>
      </c>
      <c r="B848" s="1">
        <v>164</v>
      </c>
      <c r="C848" s="1">
        <v>42</v>
      </c>
      <c r="D848" t="str">
        <f>VLOOKUP(B848,Заказы!A:C,3,0)</f>
        <v>2023-04-16 18:30:00</v>
      </c>
      <c r="E848" t="str">
        <f>VLOOKUP(C848,Меню!A:E,4,0)</f>
        <v>Суши</v>
      </c>
      <c r="F848">
        <f>VLOOKUP(C848,Меню!A:E,5,0)</f>
        <v>250</v>
      </c>
    </row>
    <row r="849" spans="1:6" ht="15.75" hidden="1" customHeight="1" x14ac:dyDescent="0.35">
      <c r="A849" s="1">
        <v>848</v>
      </c>
      <c r="B849" s="1">
        <v>164</v>
      </c>
      <c r="C849" s="1">
        <v>49</v>
      </c>
      <c r="D849" t="str">
        <f>VLOOKUP(B849,Заказы!A:C,3,0)</f>
        <v>2023-04-16 18:30:00</v>
      </c>
      <c r="E849" t="str">
        <f>VLOOKUP(C849,Меню!A:E,4,0)</f>
        <v>Суши</v>
      </c>
      <c r="F849">
        <f>VLOOKUP(C849,Меню!A:E,5,0)</f>
        <v>200</v>
      </c>
    </row>
    <row r="850" spans="1:6" ht="15.75" hidden="1" customHeight="1" x14ac:dyDescent="0.35">
      <c r="A850" s="1">
        <v>849</v>
      </c>
      <c r="B850" s="1">
        <v>164</v>
      </c>
      <c r="C850" s="1">
        <v>49</v>
      </c>
      <c r="D850" t="str">
        <f>VLOOKUP(B850,Заказы!A:C,3,0)</f>
        <v>2023-04-16 18:30:00</v>
      </c>
      <c r="E850" t="str">
        <f>VLOOKUP(C850,Меню!A:E,4,0)</f>
        <v>Суши</v>
      </c>
      <c r="F850">
        <f>VLOOKUP(C850,Меню!A:E,5,0)</f>
        <v>200</v>
      </c>
    </row>
    <row r="851" spans="1:6" ht="15.75" hidden="1" customHeight="1" x14ac:dyDescent="0.35">
      <c r="A851" s="1">
        <v>850</v>
      </c>
      <c r="B851" s="1">
        <v>165</v>
      </c>
      <c r="C851" s="1">
        <v>39</v>
      </c>
      <c r="D851" t="str">
        <f>VLOOKUP(B851,Заказы!A:C,3,0)</f>
        <v>2023-04-17 17:07:00</v>
      </c>
      <c r="E851" t="str">
        <f>VLOOKUP(C851,Меню!A:E,4,0)</f>
        <v>Десерт</v>
      </c>
      <c r="F851">
        <f>VLOOKUP(C851,Меню!A:E,5,0)</f>
        <v>150</v>
      </c>
    </row>
    <row r="852" spans="1:6" ht="15.75" hidden="1" customHeight="1" x14ac:dyDescent="0.35">
      <c r="A852" s="1">
        <v>851</v>
      </c>
      <c r="B852" s="1">
        <v>165</v>
      </c>
      <c r="C852" s="1">
        <v>18</v>
      </c>
      <c r="D852" t="str">
        <f>VLOOKUP(B852,Заказы!A:C,3,0)</f>
        <v>2023-04-17 17:07:00</v>
      </c>
      <c r="E852" t="str">
        <f>VLOOKUP(C852,Меню!A:E,4,0)</f>
        <v>Первое</v>
      </c>
      <c r="F852">
        <f>VLOOKUP(C852,Меню!A:E,5,0)</f>
        <v>300</v>
      </c>
    </row>
    <row r="853" spans="1:6" ht="15.75" hidden="1" customHeight="1" x14ac:dyDescent="0.35">
      <c r="A853" s="1">
        <v>852</v>
      </c>
      <c r="B853" s="1">
        <v>165</v>
      </c>
      <c r="C853" s="1">
        <v>59</v>
      </c>
      <c r="D853" t="str">
        <f>VLOOKUP(B853,Заказы!A:C,3,0)</f>
        <v>2023-04-17 17:07:00</v>
      </c>
      <c r="E853" t="str">
        <f>VLOOKUP(C853,Меню!A:E,4,0)</f>
        <v>Суши</v>
      </c>
      <c r="F853">
        <f>VLOOKUP(C853,Меню!A:E,5,0)</f>
        <v>300</v>
      </c>
    </row>
    <row r="854" spans="1:6" ht="15.75" hidden="1" customHeight="1" x14ac:dyDescent="0.35">
      <c r="A854" s="1">
        <v>853</v>
      </c>
      <c r="B854" s="1">
        <v>165</v>
      </c>
      <c r="C854" s="1">
        <v>8</v>
      </c>
      <c r="D854" t="str">
        <f>VLOOKUP(B854,Заказы!A:C,3,0)</f>
        <v>2023-04-17 17:07:00</v>
      </c>
      <c r="E854" t="str">
        <f>VLOOKUP(C854,Меню!A:E,4,0)</f>
        <v>Завтрак</v>
      </c>
      <c r="F854">
        <f>VLOOKUP(C854,Меню!A:E,5,0)</f>
        <v>180</v>
      </c>
    </row>
    <row r="855" spans="1:6" ht="15.75" hidden="1" customHeight="1" x14ac:dyDescent="0.35">
      <c r="A855" s="1">
        <v>854</v>
      </c>
      <c r="B855" s="1">
        <v>165</v>
      </c>
      <c r="C855" s="1">
        <v>21</v>
      </c>
      <c r="D855" t="str">
        <f>VLOOKUP(B855,Заказы!A:C,3,0)</f>
        <v>2023-04-17 17:07:00</v>
      </c>
      <c r="E855" t="str">
        <f>VLOOKUP(C855,Меню!A:E,4,0)</f>
        <v>Салат</v>
      </c>
      <c r="F855">
        <f>VLOOKUP(C855,Меню!A:E,5,0)</f>
        <v>250</v>
      </c>
    </row>
    <row r="856" spans="1:6" ht="15.75" hidden="1" customHeight="1" x14ac:dyDescent="0.35">
      <c r="A856" s="1">
        <v>855</v>
      </c>
      <c r="B856" s="1">
        <v>166</v>
      </c>
      <c r="C856" s="1">
        <v>54</v>
      </c>
      <c r="D856" t="str">
        <f>VLOOKUP(B856,Заказы!A:C,3,0)</f>
        <v>2023-04-17 18:13:00</v>
      </c>
      <c r="E856" t="str">
        <f>VLOOKUP(C856,Меню!A:E,4,0)</f>
        <v>Суши</v>
      </c>
      <c r="F856">
        <f>VLOOKUP(C856,Меню!A:E,5,0)</f>
        <v>100</v>
      </c>
    </row>
    <row r="857" spans="1:6" ht="15.75" hidden="1" customHeight="1" x14ac:dyDescent="0.35">
      <c r="A857" s="1">
        <v>856</v>
      </c>
      <c r="B857" s="1">
        <v>167</v>
      </c>
      <c r="C857" s="1">
        <v>13</v>
      </c>
      <c r="D857" t="str">
        <f>VLOOKUP(B857,Заказы!A:C,3,0)</f>
        <v>2023-04-17 19:50:00</v>
      </c>
      <c r="E857" t="str">
        <f>VLOOKUP(C857,Меню!A:E,4,0)</f>
        <v>Первое</v>
      </c>
      <c r="F857">
        <f>VLOOKUP(C857,Меню!A:E,5,0)</f>
        <v>280</v>
      </c>
    </row>
    <row r="858" spans="1:6" ht="15.75" hidden="1" customHeight="1" x14ac:dyDescent="0.35">
      <c r="A858" s="1">
        <v>857</v>
      </c>
      <c r="B858" s="1">
        <v>167</v>
      </c>
      <c r="C858" s="1">
        <v>43</v>
      </c>
      <c r="D858" t="str">
        <f>VLOOKUP(B858,Заказы!A:C,3,0)</f>
        <v>2023-04-17 19:50:00</v>
      </c>
      <c r="E858" t="str">
        <f>VLOOKUP(C858,Меню!A:E,4,0)</f>
        <v>Суши</v>
      </c>
      <c r="F858">
        <f>VLOOKUP(C858,Меню!A:E,5,0)</f>
        <v>250</v>
      </c>
    </row>
    <row r="859" spans="1:6" ht="15.75" hidden="1" customHeight="1" x14ac:dyDescent="0.35">
      <c r="A859" s="1">
        <v>858</v>
      </c>
      <c r="B859" s="1">
        <v>167</v>
      </c>
      <c r="C859" s="1">
        <v>36</v>
      </c>
      <c r="D859" t="str">
        <f>VLOOKUP(B859,Заказы!A:C,3,0)</f>
        <v>2023-04-17 19:50:00</v>
      </c>
      <c r="E859" t="str">
        <f>VLOOKUP(C859,Меню!A:E,4,0)</f>
        <v>Десерт</v>
      </c>
      <c r="F859">
        <f>VLOOKUP(C859,Меню!A:E,5,0)</f>
        <v>150</v>
      </c>
    </row>
    <row r="860" spans="1:6" ht="15.75" hidden="1" customHeight="1" x14ac:dyDescent="0.35">
      <c r="A860" s="1">
        <v>859</v>
      </c>
      <c r="B860" s="1">
        <v>167</v>
      </c>
      <c r="C860" s="1">
        <v>38</v>
      </c>
      <c r="D860" t="str">
        <f>VLOOKUP(B860,Заказы!A:C,3,0)</f>
        <v>2023-04-17 19:50:00</v>
      </c>
      <c r="E860" t="str">
        <f>VLOOKUP(C860,Меню!A:E,4,0)</f>
        <v>Десерт</v>
      </c>
      <c r="F860">
        <f>VLOOKUP(C860,Меню!A:E,5,0)</f>
        <v>150</v>
      </c>
    </row>
    <row r="861" spans="1:6" ht="15.75" hidden="1" customHeight="1" x14ac:dyDescent="0.35">
      <c r="A861" s="1">
        <v>860</v>
      </c>
      <c r="B861" s="1">
        <v>167</v>
      </c>
      <c r="C861" s="1">
        <v>20</v>
      </c>
      <c r="D861" t="str">
        <f>VLOOKUP(B861,Заказы!A:C,3,0)</f>
        <v>2023-04-17 19:50:00</v>
      </c>
      <c r="E861" t="str">
        <f>VLOOKUP(C861,Меню!A:E,4,0)</f>
        <v>Первое</v>
      </c>
      <c r="F861">
        <f>VLOOKUP(C861,Меню!A:E,5,0)</f>
        <v>250</v>
      </c>
    </row>
    <row r="862" spans="1:6" ht="15.75" hidden="1" customHeight="1" x14ac:dyDescent="0.35">
      <c r="A862" s="1">
        <v>861</v>
      </c>
      <c r="B862" s="1">
        <v>167</v>
      </c>
      <c r="C862" s="1">
        <v>3</v>
      </c>
      <c r="D862" t="str">
        <f>VLOOKUP(B862,Заказы!A:C,3,0)</f>
        <v>2023-04-17 19:50:00</v>
      </c>
      <c r="E862" t="str">
        <f>VLOOKUP(C862,Меню!A:E,4,0)</f>
        <v>Завтрак</v>
      </c>
      <c r="F862">
        <f>VLOOKUP(C862,Меню!A:E,5,0)</f>
        <v>150</v>
      </c>
    </row>
    <row r="863" spans="1:6" ht="15.75" hidden="1" customHeight="1" x14ac:dyDescent="0.35">
      <c r="A863" s="1">
        <v>862</v>
      </c>
      <c r="B863" s="1">
        <v>167</v>
      </c>
      <c r="C863" s="1">
        <v>39</v>
      </c>
      <c r="D863" t="str">
        <f>VLOOKUP(B863,Заказы!A:C,3,0)</f>
        <v>2023-04-17 19:50:00</v>
      </c>
      <c r="E863" t="str">
        <f>VLOOKUP(C863,Меню!A:E,4,0)</f>
        <v>Десерт</v>
      </c>
      <c r="F863">
        <f>VLOOKUP(C863,Меню!A:E,5,0)</f>
        <v>150</v>
      </c>
    </row>
    <row r="864" spans="1:6" ht="15.75" hidden="1" customHeight="1" x14ac:dyDescent="0.35">
      <c r="A864" s="1">
        <v>863</v>
      </c>
      <c r="B864" s="1">
        <v>167</v>
      </c>
      <c r="C864" s="1">
        <v>32</v>
      </c>
      <c r="D864" t="str">
        <f>VLOOKUP(B864,Заказы!A:C,3,0)</f>
        <v>2023-04-17 19:50:00</v>
      </c>
      <c r="E864" t="str">
        <f>VLOOKUP(C864,Меню!A:E,4,0)</f>
        <v>Десерт</v>
      </c>
      <c r="F864">
        <f>VLOOKUP(C864,Меню!A:E,5,0)</f>
        <v>150</v>
      </c>
    </row>
    <row r="865" spans="1:6" ht="15.75" hidden="1" customHeight="1" x14ac:dyDescent="0.35">
      <c r="A865" s="1">
        <v>864</v>
      </c>
      <c r="B865" s="1">
        <v>168</v>
      </c>
      <c r="C865" s="1">
        <v>34</v>
      </c>
      <c r="D865" t="str">
        <f>VLOOKUP(B865,Заказы!A:C,3,0)</f>
        <v>2023-04-17 21:15:00</v>
      </c>
      <c r="E865" t="str">
        <f>VLOOKUP(C865,Меню!A:E,4,0)</f>
        <v>Десерт</v>
      </c>
      <c r="F865">
        <f>VLOOKUP(C865,Меню!A:E,5,0)</f>
        <v>150</v>
      </c>
    </row>
    <row r="866" spans="1:6" ht="15.75" hidden="1" customHeight="1" x14ac:dyDescent="0.35">
      <c r="A866" s="1">
        <v>865</v>
      </c>
      <c r="B866" s="1">
        <v>168</v>
      </c>
      <c r="C866" s="1">
        <v>56</v>
      </c>
      <c r="D866" t="str">
        <f>VLOOKUP(B866,Заказы!A:C,3,0)</f>
        <v>2023-04-17 21:15:00</v>
      </c>
      <c r="E866" t="str">
        <f>VLOOKUP(C866,Меню!A:E,4,0)</f>
        <v>Суши</v>
      </c>
      <c r="F866">
        <f>VLOOKUP(C866,Меню!A:E,5,0)</f>
        <v>200</v>
      </c>
    </row>
    <row r="867" spans="1:6" ht="15.75" hidden="1" customHeight="1" x14ac:dyDescent="0.35">
      <c r="A867" s="1">
        <v>866</v>
      </c>
      <c r="B867" s="1">
        <v>168</v>
      </c>
      <c r="C867" s="1">
        <v>46</v>
      </c>
      <c r="D867" t="str">
        <f>VLOOKUP(B867,Заказы!A:C,3,0)</f>
        <v>2023-04-17 21:15:00</v>
      </c>
      <c r="E867" t="str">
        <f>VLOOKUP(C867,Меню!A:E,4,0)</f>
        <v>Суши</v>
      </c>
      <c r="F867">
        <f>VLOOKUP(C867,Меню!A:E,5,0)</f>
        <v>200</v>
      </c>
    </row>
    <row r="868" spans="1:6" ht="15.75" hidden="1" customHeight="1" x14ac:dyDescent="0.35">
      <c r="A868" s="1">
        <v>867</v>
      </c>
      <c r="B868" s="1">
        <v>168</v>
      </c>
      <c r="C868" s="1">
        <v>47</v>
      </c>
      <c r="D868" t="str">
        <f>VLOOKUP(B868,Заказы!A:C,3,0)</f>
        <v>2023-04-17 21:15:00</v>
      </c>
      <c r="E868" t="str">
        <f>VLOOKUP(C868,Меню!A:E,4,0)</f>
        <v>Суши</v>
      </c>
      <c r="F868">
        <f>VLOOKUP(C868,Меню!A:E,5,0)</f>
        <v>200</v>
      </c>
    </row>
    <row r="869" spans="1:6" ht="15.75" hidden="1" customHeight="1" x14ac:dyDescent="0.35">
      <c r="A869" s="1">
        <v>868</v>
      </c>
      <c r="B869" s="1">
        <v>168</v>
      </c>
      <c r="C869" s="1">
        <v>21</v>
      </c>
      <c r="D869" t="str">
        <f>VLOOKUP(B869,Заказы!A:C,3,0)</f>
        <v>2023-04-17 21:15:00</v>
      </c>
      <c r="E869" t="str">
        <f>VLOOKUP(C869,Меню!A:E,4,0)</f>
        <v>Салат</v>
      </c>
      <c r="F869">
        <f>VLOOKUP(C869,Меню!A:E,5,0)</f>
        <v>250</v>
      </c>
    </row>
    <row r="870" spans="1:6" ht="15.75" hidden="1" customHeight="1" x14ac:dyDescent="0.35">
      <c r="A870" s="1">
        <v>869</v>
      </c>
      <c r="B870" s="1">
        <v>168</v>
      </c>
      <c r="C870" s="1">
        <v>22</v>
      </c>
      <c r="D870" t="str">
        <f>VLOOKUP(B870,Заказы!A:C,3,0)</f>
        <v>2023-04-17 21:15:00</v>
      </c>
      <c r="E870" t="str">
        <f>VLOOKUP(C870,Меню!A:E,4,0)</f>
        <v>Салат</v>
      </c>
      <c r="F870">
        <f>VLOOKUP(C870,Меню!A:E,5,0)</f>
        <v>250</v>
      </c>
    </row>
    <row r="871" spans="1:6" ht="15.75" hidden="1" customHeight="1" x14ac:dyDescent="0.35">
      <c r="A871" s="1">
        <v>870</v>
      </c>
      <c r="B871" s="1">
        <v>168</v>
      </c>
      <c r="C871" s="1">
        <v>58</v>
      </c>
      <c r="D871" t="str">
        <f>VLOOKUP(B871,Заказы!A:C,3,0)</f>
        <v>2023-04-17 21:15:00</v>
      </c>
      <c r="E871" t="str">
        <f>VLOOKUP(C871,Меню!A:E,4,0)</f>
        <v>Суши</v>
      </c>
      <c r="F871">
        <f>VLOOKUP(C871,Меню!A:E,5,0)</f>
        <v>200</v>
      </c>
    </row>
    <row r="872" spans="1:6" ht="15.75" hidden="1" customHeight="1" x14ac:dyDescent="0.35">
      <c r="A872" s="1">
        <v>871</v>
      </c>
      <c r="B872" s="1">
        <v>169</v>
      </c>
      <c r="C872" s="1">
        <v>51</v>
      </c>
      <c r="D872" t="str">
        <f>VLOOKUP(B872,Заказы!A:C,3,0)</f>
        <v>2023-04-18 16:25:00</v>
      </c>
      <c r="E872" t="str">
        <f>VLOOKUP(C872,Меню!A:E,4,0)</f>
        <v>Суши</v>
      </c>
      <c r="F872">
        <f>VLOOKUP(C872,Меню!A:E,5,0)</f>
        <v>100</v>
      </c>
    </row>
    <row r="873" spans="1:6" ht="15.75" hidden="1" customHeight="1" x14ac:dyDescent="0.35">
      <c r="A873" s="1">
        <v>872</v>
      </c>
      <c r="B873" s="1">
        <v>169</v>
      </c>
      <c r="C873" s="1">
        <v>39</v>
      </c>
      <c r="D873" t="str">
        <f>VLOOKUP(B873,Заказы!A:C,3,0)</f>
        <v>2023-04-18 16:25:00</v>
      </c>
      <c r="E873" t="str">
        <f>VLOOKUP(C873,Меню!A:E,4,0)</f>
        <v>Десерт</v>
      </c>
      <c r="F873">
        <f>VLOOKUP(C873,Меню!A:E,5,0)</f>
        <v>150</v>
      </c>
    </row>
    <row r="874" spans="1:6" ht="15.75" hidden="1" customHeight="1" x14ac:dyDescent="0.35">
      <c r="A874" s="1">
        <v>873</v>
      </c>
      <c r="B874" s="1">
        <v>169</v>
      </c>
      <c r="C874" s="1">
        <v>31</v>
      </c>
      <c r="D874" t="str">
        <f>VLOOKUP(B874,Заказы!A:C,3,0)</f>
        <v>2023-04-18 16:25:00</v>
      </c>
      <c r="E874" t="str">
        <f>VLOOKUP(C874,Меню!A:E,4,0)</f>
        <v>Десерт</v>
      </c>
      <c r="F874">
        <f>VLOOKUP(C874,Меню!A:E,5,0)</f>
        <v>150</v>
      </c>
    </row>
    <row r="875" spans="1:6" ht="15.75" hidden="1" customHeight="1" x14ac:dyDescent="0.35">
      <c r="A875" s="1">
        <v>874</v>
      </c>
      <c r="B875" s="1">
        <v>169</v>
      </c>
      <c r="C875" s="1">
        <v>17</v>
      </c>
      <c r="D875" t="str">
        <f>VLOOKUP(B875,Заказы!A:C,3,0)</f>
        <v>2023-04-18 16:25:00</v>
      </c>
      <c r="E875" t="str">
        <f>VLOOKUP(C875,Меню!A:E,4,0)</f>
        <v>Первое</v>
      </c>
      <c r="F875">
        <f>VLOOKUP(C875,Меню!A:E,5,0)</f>
        <v>250</v>
      </c>
    </row>
    <row r="876" spans="1:6" ht="15.75" hidden="1" customHeight="1" x14ac:dyDescent="0.35">
      <c r="A876" s="1">
        <v>875</v>
      </c>
      <c r="B876" s="1">
        <v>170</v>
      </c>
      <c r="C876" s="1">
        <v>13</v>
      </c>
      <c r="D876" t="str">
        <f>VLOOKUP(B876,Заказы!A:C,3,0)</f>
        <v>2023-04-18 19:26:00</v>
      </c>
      <c r="E876" t="str">
        <f>VLOOKUP(C876,Меню!A:E,4,0)</f>
        <v>Первое</v>
      </c>
      <c r="F876">
        <f>VLOOKUP(C876,Меню!A:E,5,0)</f>
        <v>280</v>
      </c>
    </row>
    <row r="877" spans="1:6" ht="15.75" hidden="1" customHeight="1" x14ac:dyDescent="0.35">
      <c r="A877" s="1">
        <v>876</v>
      </c>
      <c r="B877" s="1">
        <v>170</v>
      </c>
      <c r="C877" s="1">
        <v>2</v>
      </c>
      <c r="D877" t="str">
        <f>VLOOKUP(B877,Заказы!A:C,3,0)</f>
        <v>2023-04-18 19:26:00</v>
      </c>
      <c r="E877" t="str">
        <f>VLOOKUP(C877,Меню!A:E,4,0)</f>
        <v>Завтрак</v>
      </c>
      <c r="F877">
        <f>VLOOKUP(C877,Меню!A:E,5,0)</f>
        <v>250</v>
      </c>
    </row>
    <row r="878" spans="1:6" ht="15.75" hidden="1" customHeight="1" x14ac:dyDescent="0.35">
      <c r="A878" s="1">
        <v>877</v>
      </c>
      <c r="B878" s="1">
        <v>170</v>
      </c>
      <c r="C878" s="1">
        <v>21</v>
      </c>
      <c r="D878" t="str">
        <f>VLOOKUP(B878,Заказы!A:C,3,0)</f>
        <v>2023-04-18 19:26:00</v>
      </c>
      <c r="E878" t="str">
        <f>VLOOKUP(C878,Меню!A:E,4,0)</f>
        <v>Салат</v>
      </c>
      <c r="F878">
        <f>VLOOKUP(C878,Меню!A:E,5,0)</f>
        <v>250</v>
      </c>
    </row>
    <row r="879" spans="1:6" ht="15.75" hidden="1" customHeight="1" x14ac:dyDescent="0.35">
      <c r="A879" s="1">
        <v>878</v>
      </c>
      <c r="B879" s="1">
        <v>170</v>
      </c>
      <c r="C879" s="1">
        <v>43</v>
      </c>
      <c r="D879" t="str">
        <f>VLOOKUP(B879,Заказы!A:C,3,0)</f>
        <v>2023-04-18 19:26:00</v>
      </c>
      <c r="E879" t="str">
        <f>VLOOKUP(C879,Меню!A:E,4,0)</f>
        <v>Суши</v>
      </c>
      <c r="F879">
        <f>VLOOKUP(C879,Меню!A:E,5,0)</f>
        <v>250</v>
      </c>
    </row>
    <row r="880" spans="1:6" ht="15.75" hidden="1" customHeight="1" x14ac:dyDescent="0.35">
      <c r="A880" s="1">
        <v>879</v>
      </c>
      <c r="B880" s="1">
        <v>170</v>
      </c>
      <c r="C880" s="1">
        <v>33</v>
      </c>
      <c r="D880" t="str">
        <f>VLOOKUP(B880,Заказы!A:C,3,0)</f>
        <v>2023-04-18 19:26:00</v>
      </c>
      <c r="E880" t="str">
        <f>VLOOKUP(C880,Меню!A:E,4,0)</f>
        <v>Десерт</v>
      </c>
      <c r="F880">
        <f>VLOOKUP(C880,Меню!A:E,5,0)</f>
        <v>150</v>
      </c>
    </row>
    <row r="881" spans="1:6" ht="15.75" hidden="1" customHeight="1" x14ac:dyDescent="0.35">
      <c r="A881" s="1">
        <v>880</v>
      </c>
      <c r="B881" s="1">
        <v>170</v>
      </c>
      <c r="C881" s="1">
        <v>43</v>
      </c>
      <c r="D881" t="str">
        <f>VLOOKUP(B881,Заказы!A:C,3,0)</f>
        <v>2023-04-18 19:26:00</v>
      </c>
      <c r="E881" t="str">
        <f>VLOOKUP(C881,Меню!A:E,4,0)</f>
        <v>Суши</v>
      </c>
      <c r="F881">
        <f>VLOOKUP(C881,Меню!A:E,5,0)</f>
        <v>250</v>
      </c>
    </row>
    <row r="882" spans="1:6" ht="15.75" hidden="1" customHeight="1" x14ac:dyDescent="0.35">
      <c r="A882" s="1">
        <v>881</v>
      </c>
      <c r="B882" s="1">
        <v>170</v>
      </c>
      <c r="C882" s="1">
        <v>38</v>
      </c>
      <c r="D882" t="str">
        <f>VLOOKUP(B882,Заказы!A:C,3,0)</f>
        <v>2023-04-18 19:26:00</v>
      </c>
      <c r="E882" t="str">
        <f>VLOOKUP(C882,Меню!A:E,4,0)</f>
        <v>Десерт</v>
      </c>
      <c r="F882">
        <f>VLOOKUP(C882,Меню!A:E,5,0)</f>
        <v>150</v>
      </c>
    </row>
    <row r="883" spans="1:6" ht="15.75" hidden="1" customHeight="1" x14ac:dyDescent="0.35">
      <c r="A883" s="1">
        <v>882</v>
      </c>
      <c r="B883" s="1">
        <v>171</v>
      </c>
      <c r="C883" s="1">
        <v>4</v>
      </c>
      <c r="D883" t="str">
        <f>VLOOKUP(B883,Заказы!A:C,3,0)</f>
        <v>2023-04-18 20:00:00</v>
      </c>
      <c r="E883" t="str">
        <f>VLOOKUP(C883,Меню!A:E,4,0)</f>
        <v>Завтрак</v>
      </c>
      <c r="F883">
        <f>VLOOKUP(C883,Меню!A:E,5,0)</f>
        <v>180</v>
      </c>
    </row>
    <row r="884" spans="1:6" ht="15.75" hidden="1" customHeight="1" x14ac:dyDescent="0.35">
      <c r="A884" s="1">
        <v>883</v>
      </c>
      <c r="B884" s="1">
        <v>171</v>
      </c>
      <c r="C884" s="1">
        <v>19</v>
      </c>
      <c r="D884" t="str">
        <f>VLOOKUP(B884,Заказы!A:C,3,0)</f>
        <v>2023-04-18 20:00:00</v>
      </c>
      <c r="E884" t="str">
        <f>VLOOKUP(C884,Меню!A:E,4,0)</f>
        <v>Первое</v>
      </c>
      <c r="F884">
        <f>VLOOKUP(C884,Меню!A:E,5,0)</f>
        <v>300</v>
      </c>
    </row>
    <row r="885" spans="1:6" ht="15.75" hidden="1" customHeight="1" x14ac:dyDescent="0.35">
      <c r="A885" s="1">
        <v>884</v>
      </c>
      <c r="B885" s="1">
        <v>171</v>
      </c>
      <c r="C885" s="1">
        <v>21</v>
      </c>
      <c r="D885" t="str">
        <f>VLOOKUP(B885,Заказы!A:C,3,0)</f>
        <v>2023-04-18 20:00:00</v>
      </c>
      <c r="E885" t="str">
        <f>VLOOKUP(C885,Меню!A:E,4,0)</f>
        <v>Салат</v>
      </c>
      <c r="F885">
        <f>VLOOKUP(C885,Меню!A:E,5,0)</f>
        <v>250</v>
      </c>
    </row>
    <row r="886" spans="1:6" ht="15.75" hidden="1" customHeight="1" x14ac:dyDescent="0.35">
      <c r="A886" s="1">
        <v>885</v>
      </c>
      <c r="B886" s="1">
        <v>171</v>
      </c>
      <c r="C886" s="1">
        <v>19</v>
      </c>
      <c r="D886" t="str">
        <f>VLOOKUP(B886,Заказы!A:C,3,0)</f>
        <v>2023-04-18 20:00:00</v>
      </c>
      <c r="E886" t="str">
        <f>VLOOKUP(C886,Меню!A:E,4,0)</f>
        <v>Первое</v>
      </c>
      <c r="F886">
        <f>VLOOKUP(C886,Меню!A:E,5,0)</f>
        <v>300</v>
      </c>
    </row>
    <row r="887" spans="1:6" ht="15.75" hidden="1" customHeight="1" x14ac:dyDescent="0.35">
      <c r="A887" s="1">
        <v>886</v>
      </c>
      <c r="B887" s="1">
        <v>171</v>
      </c>
      <c r="C887" s="1">
        <v>37</v>
      </c>
      <c r="D887" t="str">
        <f>VLOOKUP(B887,Заказы!A:C,3,0)</f>
        <v>2023-04-18 20:00:00</v>
      </c>
      <c r="E887" t="str">
        <f>VLOOKUP(C887,Меню!A:E,4,0)</f>
        <v>Десерт</v>
      </c>
      <c r="F887">
        <f>VLOOKUP(C887,Меню!A:E,5,0)</f>
        <v>100</v>
      </c>
    </row>
    <row r="888" spans="1:6" ht="15.75" hidden="1" customHeight="1" x14ac:dyDescent="0.35">
      <c r="A888" s="1">
        <v>887</v>
      </c>
      <c r="B888" s="1">
        <v>171</v>
      </c>
      <c r="C888" s="1">
        <v>39</v>
      </c>
      <c r="D888" t="str">
        <f>VLOOKUP(B888,Заказы!A:C,3,0)</f>
        <v>2023-04-18 20:00:00</v>
      </c>
      <c r="E888" t="str">
        <f>VLOOKUP(C888,Меню!A:E,4,0)</f>
        <v>Десерт</v>
      </c>
      <c r="F888">
        <f>VLOOKUP(C888,Меню!A:E,5,0)</f>
        <v>150</v>
      </c>
    </row>
    <row r="889" spans="1:6" ht="15.75" hidden="1" customHeight="1" x14ac:dyDescent="0.35">
      <c r="A889" s="1">
        <v>888</v>
      </c>
      <c r="B889" s="1">
        <v>172</v>
      </c>
      <c r="C889" s="1">
        <v>53</v>
      </c>
      <c r="D889" t="str">
        <f>VLOOKUP(B889,Заказы!A:C,3,0)</f>
        <v>2023-04-18 20:22:00</v>
      </c>
      <c r="E889" t="str">
        <f>VLOOKUP(C889,Меню!A:E,4,0)</f>
        <v>Суши</v>
      </c>
      <c r="F889">
        <f>VLOOKUP(C889,Меню!A:E,5,0)</f>
        <v>100</v>
      </c>
    </row>
    <row r="890" spans="1:6" ht="15.75" hidden="1" customHeight="1" x14ac:dyDescent="0.35">
      <c r="A890" s="1">
        <v>889</v>
      </c>
      <c r="B890" s="1">
        <v>172</v>
      </c>
      <c r="C890" s="1">
        <v>15</v>
      </c>
      <c r="D890" t="str">
        <f>VLOOKUP(B890,Заказы!A:C,3,0)</f>
        <v>2023-04-18 20:22:00</v>
      </c>
      <c r="E890" t="str">
        <f>VLOOKUP(C890,Меню!A:E,4,0)</f>
        <v>Первое</v>
      </c>
      <c r="F890">
        <f>VLOOKUP(C890,Меню!A:E,5,0)</f>
        <v>250</v>
      </c>
    </row>
    <row r="891" spans="1:6" ht="15.75" hidden="1" customHeight="1" x14ac:dyDescent="0.35">
      <c r="A891" s="1">
        <v>890</v>
      </c>
      <c r="B891" s="1">
        <v>172</v>
      </c>
      <c r="C891" s="1">
        <v>7</v>
      </c>
      <c r="D891" t="str">
        <f>VLOOKUP(B891,Заказы!A:C,3,0)</f>
        <v>2023-04-18 20:22:00</v>
      </c>
      <c r="E891" t="str">
        <f>VLOOKUP(C891,Меню!A:E,4,0)</f>
        <v>Завтрак</v>
      </c>
      <c r="F891">
        <f>VLOOKUP(C891,Меню!A:E,5,0)</f>
        <v>200</v>
      </c>
    </row>
    <row r="892" spans="1:6" ht="15.75" hidden="1" customHeight="1" x14ac:dyDescent="0.35">
      <c r="A892" s="1">
        <v>891</v>
      </c>
      <c r="B892" s="1">
        <v>172</v>
      </c>
      <c r="C892" s="1">
        <v>32</v>
      </c>
      <c r="D892" t="str">
        <f>VLOOKUP(B892,Заказы!A:C,3,0)</f>
        <v>2023-04-18 20:22:00</v>
      </c>
      <c r="E892" t="str">
        <f>VLOOKUP(C892,Меню!A:E,4,0)</f>
        <v>Десерт</v>
      </c>
      <c r="F892">
        <f>VLOOKUP(C892,Меню!A:E,5,0)</f>
        <v>150</v>
      </c>
    </row>
    <row r="893" spans="1:6" ht="15.75" hidden="1" customHeight="1" x14ac:dyDescent="0.35">
      <c r="A893" s="1">
        <v>892</v>
      </c>
      <c r="B893" s="1">
        <v>172</v>
      </c>
      <c r="C893" s="1">
        <v>47</v>
      </c>
      <c r="D893" t="str">
        <f>VLOOKUP(B893,Заказы!A:C,3,0)</f>
        <v>2023-04-18 20:22:00</v>
      </c>
      <c r="E893" t="str">
        <f>VLOOKUP(C893,Меню!A:E,4,0)</f>
        <v>Суши</v>
      </c>
      <c r="F893">
        <f>VLOOKUP(C893,Меню!A:E,5,0)</f>
        <v>200</v>
      </c>
    </row>
    <row r="894" spans="1:6" ht="15.75" hidden="1" customHeight="1" x14ac:dyDescent="0.35">
      <c r="A894" s="1">
        <v>893</v>
      </c>
      <c r="B894" s="1">
        <v>172</v>
      </c>
      <c r="C894" s="1">
        <v>32</v>
      </c>
      <c r="D894" t="str">
        <f>VLOOKUP(B894,Заказы!A:C,3,0)</f>
        <v>2023-04-18 20:22:00</v>
      </c>
      <c r="E894" t="str">
        <f>VLOOKUP(C894,Меню!A:E,4,0)</f>
        <v>Десерт</v>
      </c>
      <c r="F894">
        <f>VLOOKUP(C894,Меню!A:E,5,0)</f>
        <v>150</v>
      </c>
    </row>
    <row r="895" spans="1:6" ht="15.75" hidden="1" customHeight="1" x14ac:dyDescent="0.35">
      <c r="A895" s="1">
        <v>894</v>
      </c>
      <c r="B895" s="1">
        <v>172</v>
      </c>
      <c r="C895" s="1">
        <v>15</v>
      </c>
      <c r="D895" t="str">
        <f>VLOOKUP(B895,Заказы!A:C,3,0)</f>
        <v>2023-04-18 20:22:00</v>
      </c>
      <c r="E895" t="str">
        <f>VLOOKUP(C895,Меню!A:E,4,0)</f>
        <v>Первое</v>
      </c>
      <c r="F895">
        <f>VLOOKUP(C895,Меню!A:E,5,0)</f>
        <v>250</v>
      </c>
    </row>
    <row r="896" spans="1:6" ht="15.75" hidden="1" customHeight="1" x14ac:dyDescent="0.35">
      <c r="A896" s="1">
        <v>895</v>
      </c>
      <c r="B896" s="1">
        <v>173</v>
      </c>
      <c r="C896" s="1">
        <v>60</v>
      </c>
      <c r="D896" t="str">
        <f>VLOOKUP(B896,Заказы!A:C,3,0)</f>
        <v>2023-04-18 20:29:00</v>
      </c>
      <c r="E896" t="str">
        <f>VLOOKUP(C896,Меню!A:E,4,0)</f>
        <v>Суши</v>
      </c>
      <c r="F896">
        <f>VLOOKUP(C896,Меню!A:E,5,0)</f>
        <v>250</v>
      </c>
    </row>
    <row r="897" spans="1:6" ht="15.75" hidden="1" customHeight="1" x14ac:dyDescent="0.35">
      <c r="A897" s="1">
        <v>896</v>
      </c>
      <c r="B897" s="1">
        <v>173</v>
      </c>
      <c r="C897" s="1">
        <v>56</v>
      </c>
      <c r="D897" t="str">
        <f>VLOOKUP(B897,Заказы!A:C,3,0)</f>
        <v>2023-04-18 20:29:00</v>
      </c>
      <c r="E897" t="str">
        <f>VLOOKUP(C897,Меню!A:E,4,0)</f>
        <v>Суши</v>
      </c>
      <c r="F897">
        <f>VLOOKUP(C897,Меню!A:E,5,0)</f>
        <v>200</v>
      </c>
    </row>
    <row r="898" spans="1:6" ht="15.75" hidden="1" customHeight="1" x14ac:dyDescent="0.35">
      <c r="A898" s="1">
        <v>897</v>
      </c>
      <c r="B898" s="1">
        <v>173</v>
      </c>
      <c r="C898" s="1">
        <v>47</v>
      </c>
      <c r="D898" t="str">
        <f>VLOOKUP(B898,Заказы!A:C,3,0)</f>
        <v>2023-04-18 20:29:00</v>
      </c>
      <c r="E898" t="str">
        <f>VLOOKUP(C898,Меню!A:E,4,0)</f>
        <v>Суши</v>
      </c>
      <c r="F898">
        <f>VLOOKUP(C898,Меню!A:E,5,0)</f>
        <v>200</v>
      </c>
    </row>
    <row r="899" spans="1:6" ht="15.75" hidden="1" customHeight="1" x14ac:dyDescent="0.35">
      <c r="A899" s="1">
        <v>898</v>
      </c>
      <c r="B899" s="1">
        <v>173</v>
      </c>
      <c r="C899" s="1">
        <v>23</v>
      </c>
      <c r="D899" t="str">
        <f>VLOOKUP(B899,Заказы!A:C,3,0)</f>
        <v>2023-04-18 20:29:00</v>
      </c>
      <c r="E899" t="str">
        <f>VLOOKUP(C899,Меню!A:E,4,0)</f>
        <v>Салат</v>
      </c>
      <c r="F899">
        <f>VLOOKUP(C899,Меню!A:E,5,0)</f>
        <v>250</v>
      </c>
    </row>
    <row r="900" spans="1:6" ht="15.75" hidden="1" customHeight="1" x14ac:dyDescent="0.35">
      <c r="A900" s="1">
        <v>899</v>
      </c>
      <c r="B900" s="1">
        <v>173</v>
      </c>
      <c r="C900" s="1">
        <v>49</v>
      </c>
      <c r="D900" t="str">
        <f>VLOOKUP(B900,Заказы!A:C,3,0)</f>
        <v>2023-04-18 20:29:00</v>
      </c>
      <c r="E900" t="str">
        <f>VLOOKUP(C900,Меню!A:E,4,0)</f>
        <v>Суши</v>
      </c>
      <c r="F900">
        <f>VLOOKUP(C900,Меню!A:E,5,0)</f>
        <v>200</v>
      </c>
    </row>
    <row r="901" spans="1:6" ht="15.75" hidden="1" customHeight="1" x14ac:dyDescent="0.35">
      <c r="A901" s="1">
        <v>900</v>
      </c>
      <c r="B901" s="1">
        <v>173</v>
      </c>
      <c r="C901" s="1">
        <v>27</v>
      </c>
      <c r="D901" t="str">
        <f>VLOOKUP(B901,Заказы!A:C,3,0)</f>
        <v>2023-04-18 20:29:00</v>
      </c>
      <c r="E901" t="str">
        <f>VLOOKUP(C901,Меню!A:E,4,0)</f>
        <v>Салат</v>
      </c>
      <c r="F901">
        <f>VLOOKUP(C901,Меню!A:E,5,0)</f>
        <v>250</v>
      </c>
    </row>
    <row r="902" spans="1:6" ht="15.75" hidden="1" customHeight="1" x14ac:dyDescent="0.35">
      <c r="A902" s="1">
        <v>901</v>
      </c>
      <c r="B902" s="1">
        <v>173</v>
      </c>
      <c r="C902" s="1">
        <v>34</v>
      </c>
      <c r="D902" t="str">
        <f>VLOOKUP(B902,Заказы!A:C,3,0)</f>
        <v>2023-04-18 20:29:00</v>
      </c>
      <c r="E902" t="str">
        <f>VLOOKUP(C902,Меню!A:E,4,0)</f>
        <v>Десерт</v>
      </c>
      <c r="F902">
        <f>VLOOKUP(C902,Меню!A:E,5,0)</f>
        <v>150</v>
      </c>
    </row>
    <row r="903" spans="1:6" ht="15.75" hidden="1" customHeight="1" x14ac:dyDescent="0.35">
      <c r="A903" s="1">
        <v>902</v>
      </c>
      <c r="B903" s="1">
        <v>173</v>
      </c>
      <c r="C903" s="1">
        <v>16</v>
      </c>
      <c r="D903" t="str">
        <f>VLOOKUP(B903,Заказы!A:C,3,0)</f>
        <v>2023-04-18 20:29:00</v>
      </c>
      <c r="E903" t="str">
        <f>VLOOKUP(C903,Меню!A:E,4,0)</f>
        <v>Первое</v>
      </c>
      <c r="F903">
        <f>VLOOKUP(C903,Меню!A:E,5,0)</f>
        <v>250</v>
      </c>
    </row>
    <row r="904" spans="1:6" ht="15.75" hidden="1" customHeight="1" x14ac:dyDescent="0.35">
      <c r="A904" s="1">
        <v>903</v>
      </c>
      <c r="B904" s="1">
        <v>174</v>
      </c>
      <c r="C904" s="1">
        <v>43</v>
      </c>
      <c r="D904" t="str">
        <f>VLOOKUP(B904,Заказы!A:C,3,0)</f>
        <v>2023-04-18 22:53:00</v>
      </c>
      <c r="E904" t="str">
        <f>VLOOKUP(C904,Меню!A:E,4,0)</f>
        <v>Суши</v>
      </c>
      <c r="F904">
        <f>VLOOKUP(C904,Меню!A:E,5,0)</f>
        <v>250</v>
      </c>
    </row>
    <row r="905" spans="1:6" ht="15.75" hidden="1" customHeight="1" x14ac:dyDescent="0.35">
      <c r="A905" s="1">
        <v>904</v>
      </c>
      <c r="B905" s="1">
        <v>175</v>
      </c>
      <c r="C905" s="1">
        <v>28</v>
      </c>
      <c r="D905" t="str">
        <f>VLOOKUP(B905,Заказы!A:C,3,0)</f>
        <v>2023-04-19 15:52:00</v>
      </c>
      <c r="E905" t="str">
        <f>VLOOKUP(C905,Меню!A:E,4,0)</f>
        <v>Салат</v>
      </c>
      <c r="F905">
        <f>VLOOKUP(C905,Меню!A:E,5,0)</f>
        <v>250</v>
      </c>
    </row>
    <row r="906" spans="1:6" ht="15.75" hidden="1" customHeight="1" x14ac:dyDescent="0.35">
      <c r="A906" s="1">
        <v>905</v>
      </c>
      <c r="B906" s="1">
        <v>175</v>
      </c>
      <c r="C906" s="1">
        <v>44</v>
      </c>
      <c r="D906" t="str">
        <f>VLOOKUP(B906,Заказы!A:C,3,0)</f>
        <v>2023-04-19 15:52:00</v>
      </c>
      <c r="E906" t="str">
        <f>VLOOKUP(C906,Меню!A:E,4,0)</f>
        <v>Суши</v>
      </c>
      <c r="F906">
        <f>VLOOKUP(C906,Меню!A:E,5,0)</f>
        <v>250</v>
      </c>
    </row>
    <row r="907" spans="1:6" ht="15.75" hidden="1" customHeight="1" x14ac:dyDescent="0.35">
      <c r="A907" s="1">
        <v>906</v>
      </c>
      <c r="B907" s="1">
        <v>175</v>
      </c>
      <c r="C907" s="1">
        <v>52</v>
      </c>
      <c r="D907" t="str">
        <f>VLOOKUP(B907,Заказы!A:C,3,0)</f>
        <v>2023-04-19 15:52:00</v>
      </c>
      <c r="E907" t="str">
        <f>VLOOKUP(C907,Меню!A:E,4,0)</f>
        <v>Суши</v>
      </c>
      <c r="F907">
        <f>VLOOKUP(C907,Меню!A:E,5,0)</f>
        <v>100</v>
      </c>
    </row>
    <row r="908" spans="1:6" ht="15.75" hidden="1" customHeight="1" x14ac:dyDescent="0.35">
      <c r="A908" s="1">
        <v>907</v>
      </c>
      <c r="B908" s="1">
        <v>175</v>
      </c>
      <c r="C908" s="1">
        <v>46</v>
      </c>
      <c r="D908" t="str">
        <f>VLOOKUP(B908,Заказы!A:C,3,0)</f>
        <v>2023-04-19 15:52:00</v>
      </c>
      <c r="E908" t="str">
        <f>VLOOKUP(C908,Меню!A:E,4,0)</f>
        <v>Суши</v>
      </c>
      <c r="F908">
        <f>VLOOKUP(C908,Меню!A:E,5,0)</f>
        <v>200</v>
      </c>
    </row>
    <row r="909" spans="1:6" ht="15.75" hidden="1" customHeight="1" x14ac:dyDescent="0.35">
      <c r="A909" s="1">
        <v>908</v>
      </c>
      <c r="B909" s="1">
        <v>176</v>
      </c>
      <c r="C909" s="1">
        <v>1</v>
      </c>
      <c r="D909" t="str">
        <f>VLOOKUP(B909,Заказы!A:C,3,0)</f>
        <v>2023-04-19 16:45:00</v>
      </c>
      <c r="E909" t="str">
        <f>VLOOKUP(C909,Меню!A:E,4,0)</f>
        <v>Завтрак</v>
      </c>
      <c r="F909">
        <f>VLOOKUP(C909,Меню!A:E,5,0)</f>
        <v>200</v>
      </c>
    </row>
    <row r="910" spans="1:6" ht="15.75" hidden="1" customHeight="1" x14ac:dyDescent="0.35">
      <c r="A910" s="1">
        <v>909</v>
      </c>
      <c r="B910" s="1">
        <v>176</v>
      </c>
      <c r="C910" s="1">
        <v>25</v>
      </c>
      <c r="D910" t="str">
        <f>VLOOKUP(B910,Заказы!A:C,3,0)</f>
        <v>2023-04-19 16:45:00</v>
      </c>
      <c r="E910" t="str">
        <f>VLOOKUP(C910,Меню!A:E,4,0)</f>
        <v>Салат</v>
      </c>
      <c r="F910">
        <f>VLOOKUP(C910,Меню!A:E,5,0)</f>
        <v>250</v>
      </c>
    </row>
    <row r="911" spans="1:6" ht="15.75" hidden="1" customHeight="1" x14ac:dyDescent="0.35">
      <c r="A911" s="1">
        <v>910</v>
      </c>
      <c r="B911" s="1">
        <v>176</v>
      </c>
      <c r="C911" s="1">
        <v>60</v>
      </c>
      <c r="D911" t="str">
        <f>VLOOKUP(B911,Заказы!A:C,3,0)</f>
        <v>2023-04-19 16:45:00</v>
      </c>
      <c r="E911" t="str">
        <f>VLOOKUP(C911,Меню!A:E,4,0)</f>
        <v>Суши</v>
      </c>
      <c r="F911">
        <f>VLOOKUP(C911,Меню!A:E,5,0)</f>
        <v>250</v>
      </c>
    </row>
    <row r="912" spans="1:6" ht="15.75" hidden="1" customHeight="1" x14ac:dyDescent="0.35">
      <c r="A912" s="1">
        <v>911</v>
      </c>
      <c r="B912" s="1">
        <v>177</v>
      </c>
      <c r="C912" s="1">
        <v>59</v>
      </c>
      <c r="D912" t="str">
        <f>VLOOKUP(B912,Заказы!A:C,3,0)</f>
        <v>2023-04-19 21:27:00</v>
      </c>
      <c r="E912" t="str">
        <f>VLOOKUP(C912,Меню!A:E,4,0)</f>
        <v>Суши</v>
      </c>
      <c r="F912">
        <f>VLOOKUP(C912,Меню!A:E,5,0)</f>
        <v>300</v>
      </c>
    </row>
    <row r="913" spans="1:6" ht="15.75" hidden="1" customHeight="1" x14ac:dyDescent="0.35">
      <c r="A913" s="1">
        <v>912</v>
      </c>
      <c r="B913" s="1">
        <v>177</v>
      </c>
      <c r="C913" s="1">
        <v>38</v>
      </c>
      <c r="D913" t="str">
        <f>VLOOKUP(B913,Заказы!A:C,3,0)</f>
        <v>2023-04-19 21:27:00</v>
      </c>
      <c r="E913" t="str">
        <f>VLOOKUP(C913,Меню!A:E,4,0)</f>
        <v>Десерт</v>
      </c>
      <c r="F913">
        <f>VLOOKUP(C913,Меню!A:E,5,0)</f>
        <v>150</v>
      </c>
    </row>
    <row r="914" spans="1:6" ht="15.75" hidden="1" customHeight="1" x14ac:dyDescent="0.35">
      <c r="A914" s="1">
        <v>913</v>
      </c>
      <c r="B914" s="1">
        <v>177</v>
      </c>
      <c r="C914" s="1">
        <v>51</v>
      </c>
      <c r="D914" t="str">
        <f>VLOOKUP(B914,Заказы!A:C,3,0)</f>
        <v>2023-04-19 21:27:00</v>
      </c>
      <c r="E914" t="str">
        <f>VLOOKUP(C914,Меню!A:E,4,0)</f>
        <v>Суши</v>
      </c>
      <c r="F914">
        <f>VLOOKUP(C914,Меню!A:E,5,0)</f>
        <v>100</v>
      </c>
    </row>
    <row r="915" spans="1:6" ht="15.75" hidden="1" customHeight="1" x14ac:dyDescent="0.35">
      <c r="A915" s="1">
        <v>914</v>
      </c>
      <c r="B915" s="1">
        <v>177</v>
      </c>
      <c r="C915" s="1">
        <v>31</v>
      </c>
      <c r="D915" t="str">
        <f>VLOOKUP(B915,Заказы!A:C,3,0)</f>
        <v>2023-04-19 21:27:00</v>
      </c>
      <c r="E915" t="str">
        <f>VLOOKUP(C915,Меню!A:E,4,0)</f>
        <v>Десерт</v>
      </c>
      <c r="F915">
        <f>VLOOKUP(C915,Меню!A:E,5,0)</f>
        <v>150</v>
      </c>
    </row>
    <row r="916" spans="1:6" ht="15.75" hidden="1" customHeight="1" x14ac:dyDescent="0.35">
      <c r="A916" s="1">
        <v>915</v>
      </c>
      <c r="B916" s="1">
        <v>177</v>
      </c>
      <c r="C916" s="1">
        <v>5</v>
      </c>
      <c r="D916" t="str">
        <f>VLOOKUP(B916,Заказы!A:C,3,0)</f>
        <v>2023-04-19 21:27:00</v>
      </c>
      <c r="E916" t="str">
        <f>VLOOKUP(C916,Меню!A:E,4,0)</f>
        <v>Завтрак</v>
      </c>
      <c r="F916">
        <f>VLOOKUP(C916,Меню!A:E,5,0)</f>
        <v>220</v>
      </c>
    </row>
    <row r="917" spans="1:6" ht="15.75" hidden="1" customHeight="1" x14ac:dyDescent="0.35">
      <c r="A917" s="1">
        <v>916</v>
      </c>
      <c r="B917" s="1">
        <v>178</v>
      </c>
      <c r="C917" s="1">
        <v>8</v>
      </c>
      <c r="D917" t="str">
        <f>VLOOKUP(B917,Заказы!A:C,3,0)</f>
        <v>2023-04-19 22:29:00</v>
      </c>
      <c r="E917" t="str">
        <f>VLOOKUP(C917,Меню!A:E,4,0)</f>
        <v>Завтрак</v>
      </c>
      <c r="F917">
        <f>VLOOKUP(C917,Меню!A:E,5,0)</f>
        <v>180</v>
      </c>
    </row>
    <row r="918" spans="1:6" ht="15.75" hidden="1" customHeight="1" x14ac:dyDescent="0.35">
      <c r="A918" s="1">
        <v>917</v>
      </c>
      <c r="B918" s="1">
        <v>178</v>
      </c>
      <c r="C918" s="1">
        <v>31</v>
      </c>
      <c r="D918" t="str">
        <f>VLOOKUP(B918,Заказы!A:C,3,0)</f>
        <v>2023-04-19 22:29:00</v>
      </c>
      <c r="E918" t="str">
        <f>VLOOKUP(C918,Меню!A:E,4,0)</f>
        <v>Десерт</v>
      </c>
      <c r="F918">
        <f>VLOOKUP(C918,Меню!A:E,5,0)</f>
        <v>150</v>
      </c>
    </row>
    <row r="919" spans="1:6" ht="15.75" hidden="1" customHeight="1" x14ac:dyDescent="0.35">
      <c r="A919" s="1">
        <v>918</v>
      </c>
      <c r="B919" s="1">
        <v>178</v>
      </c>
      <c r="C919" s="1">
        <v>7</v>
      </c>
      <c r="D919" t="str">
        <f>VLOOKUP(B919,Заказы!A:C,3,0)</f>
        <v>2023-04-19 22:29:00</v>
      </c>
      <c r="E919" t="str">
        <f>VLOOKUP(C919,Меню!A:E,4,0)</f>
        <v>Завтрак</v>
      </c>
      <c r="F919">
        <f>VLOOKUP(C919,Меню!A:E,5,0)</f>
        <v>200</v>
      </c>
    </row>
    <row r="920" spans="1:6" ht="15.75" hidden="1" customHeight="1" x14ac:dyDescent="0.35">
      <c r="A920" s="1">
        <v>919</v>
      </c>
      <c r="B920" s="1">
        <v>178</v>
      </c>
      <c r="C920" s="1">
        <v>16</v>
      </c>
      <c r="D920" t="str">
        <f>VLOOKUP(B920,Заказы!A:C,3,0)</f>
        <v>2023-04-19 22:29:00</v>
      </c>
      <c r="E920" t="str">
        <f>VLOOKUP(C920,Меню!A:E,4,0)</f>
        <v>Первое</v>
      </c>
      <c r="F920">
        <f>VLOOKUP(C920,Меню!A:E,5,0)</f>
        <v>250</v>
      </c>
    </row>
    <row r="921" spans="1:6" ht="15.75" hidden="1" customHeight="1" x14ac:dyDescent="0.35">
      <c r="A921" s="1">
        <v>920</v>
      </c>
      <c r="B921" s="1">
        <v>178</v>
      </c>
      <c r="C921" s="1">
        <v>27</v>
      </c>
      <c r="D921" t="str">
        <f>VLOOKUP(B921,Заказы!A:C,3,0)</f>
        <v>2023-04-19 22:29:00</v>
      </c>
      <c r="E921" t="str">
        <f>VLOOKUP(C921,Меню!A:E,4,0)</f>
        <v>Салат</v>
      </c>
      <c r="F921">
        <f>VLOOKUP(C921,Меню!A:E,5,0)</f>
        <v>250</v>
      </c>
    </row>
    <row r="922" spans="1:6" ht="15.75" hidden="1" customHeight="1" x14ac:dyDescent="0.35">
      <c r="A922" s="1">
        <v>921</v>
      </c>
      <c r="B922" s="1">
        <v>179</v>
      </c>
      <c r="C922" s="1">
        <v>45</v>
      </c>
      <c r="D922" t="str">
        <f>VLOOKUP(B922,Заказы!A:C,3,0)</f>
        <v>2023-04-20 20:14:00</v>
      </c>
      <c r="E922" t="str">
        <f>VLOOKUP(C922,Меню!A:E,4,0)</f>
        <v>Суши</v>
      </c>
      <c r="F922">
        <f>VLOOKUP(C922,Меню!A:E,5,0)</f>
        <v>200</v>
      </c>
    </row>
    <row r="923" spans="1:6" ht="15.75" hidden="1" customHeight="1" x14ac:dyDescent="0.35">
      <c r="A923" s="1">
        <v>922</v>
      </c>
      <c r="B923" s="1">
        <v>179</v>
      </c>
      <c r="C923" s="1">
        <v>3</v>
      </c>
      <c r="D923" t="str">
        <f>VLOOKUP(B923,Заказы!A:C,3,0)</f>
        <v>2023-04-20 20:14:00</v>
      </c>
      <c r="E923" t="str">
        <f>VLOOKUP(C923,Меню!A:E,4,0)</f>
        <v>Завтрак</v>
      </c>
      <c r="F923">
        <f>VLOOKUP(C923,Меню!A:E,5,0)</f>
        <v>150</v>
      </c>
    </row>
    <row r="924" spans="1:6" ht="15.75" hidden="1" customHeight="1" x14ac:dyDescent="0.35">
      <c r="A924" s="1">
        <v>923</v>
      </c>
      <c r="B924" s="1">
        <v>179</v>
      </c>
      <c r="C924" s="1">
        <v>44</v>
      </c>
      <c r="D924" t="str">
        <f>VLOOKUP(B924,Заказы!A:C,3,0)</f>
        <v>2023-04-20 20:14:00</v>
      </c>
      <c r="E924" t="str">
        <f>VLOOKUP(C924,Меню!A:E,4,0)</f>
        <v>Суши</v>
      </c>
      <c r="F924">
        <f>VLOOKUP(C924,Меню!A:E,5,0)</f>
        <v>250</v>
      </c>
    </row>
    <row r="925" spans="1:6" ht="15.75" hidden="1" customHeight="1" x14ac:dyDescent="0.35">
      <c r="A925" s="1">
        <v>924</v>
      </c>
      <c r="B925" s="1">
        <v>179</v>
      </c>
      <c r="C925" s="1">
        <v>46</v>
      </c>
      <c r="D925" t="str">
        <f>VLOOKUP(B925,Заказы!A:C,3,0)</f>
        <v>2023-04-20 20:14:00</v>
      </c>
      <c r="E925" t="str">
        <f>VLOOKUP(C925,Меню!A:E,4,0)</f>
        <v>Суши</v>
      </c>
      <c r="F925">
        <f>VLOOKUP(C925,Меню!A:E,5,0)</f>
        <v>200</v>
      </c>
    </row>
    <row r="926" spans="1:6" ht="15.75" hidden="1" customHeight="1" x14ac:dyDescent="0.35">
      <c r="A926" s="1">
        <v>925</v>
      </c>
      <c r="B926" s="1">
        <v>179</v>
      </c>
      <c r="C926" s="1">
        <v>41</v>
      </c>
      <c r="D926" t="str">
        <f>VLOOKUP(B926,Заказы!A:C,3,0)</f>
        <v>2023-04-20 20:14:00</v>
      </c>
      <c r="E926" t="str">
        <f>VLOOKUP(C926,Меню!A:E,4,0)</f>
        <v>Суши</v>
      </c>
      <c r="F926">
        <f>VLOOKUP(C926,Меню!A:E,5,0)</f>
        <v>220</v>
      </c>
    </row>
    <row r="927" spans="1:6" ht="15.75" hidden="1" customHeight="1" x14ac:dyDescent="0.35">
      <c r="A927" s="1">
        <v>926</v>
      </c>
      <c r="B927" s="1">
        <v>179</v>
      </c>
      <c r="C927" s="1">
        <v>41</v>
      </c>
      <c r="D927" t="str">
        <f>VLOOKUP(B927,Заказы!A:C,3,0)</f>
        <v>2023-04-20 20:14:00</v>
      </c>
      <c r="E927" t="str">
        <f>VLOOKUP(C927,Меню!A:E,4,0)</f>
        <v>Суши</v>
      </c>
      <c r="F927">
        <f>VLOOKUP(C927,Меню!A:E,5,0)</f>
        <v>220</v>
      </c>
    </row>
    <row r="928" spans="1:6" ht="15.75" hidden="1" customHeight="1" x14ac:dyDescent="0.35">
      <c r="A928" s="1">
        <v>927</v>
      </c>
      <c r="B928" s="1">
        <v>179</v>
      </c>
      <c r="C928" s="1">
        <v>35</v>
      </c>
      <c r="D928" t="str">
        <f>VLOOKUP(B928,Заказы!A:C,3,0)</f>
        <v>2023-04-20 20:14:00</v>
      </c>
      <c r="E928" t="str">
        <f>VLOOKUP(C928,Меню!A:E,4,0)</f>
        <v>Десерт</v>
      </c>
      <c r="F928">
        <f>VLOOKUP(C928,Меню!A:E,5,0)</f>
        <v>150</v>
      </c>
    </row>
    <row r="929" spans="1:6" ht="15.75" hidden="1" customHeight="1" x14ac:dyDescent="0.35">
      <c r="A929" s="1">
        <v>928</v>
      </c>
      <c r="B929" s="1">
        <v>180</v>
      </c>
      <c r="C929" s="1">
        <v>25</v>
      </c>
      <c r="D929" t="str">
        <f>VLOOKUP(B929,Заказы!A:C,3,0)</f>
        <v>2023-04-20 22:29:00</v>
      </c>
      <c r="E929" t="str">
        <f>VLOOKUP(C929,Меню!A:E,4,0)</f>
        <v>Салат</v>
      </c>
      <c r="F929">
        <f>VLOOKUP(C929,Меню!A:E,5,0)</f>
        <v>250</v>
      </c>
    </row>
    <row r="930" spans="1:6" ht="15.75" hidden="1" customHeight="1" x14ac:dyDescent="0.35">
      <c r="A930" s="1">
        <v>929</v>
      </c>
      <c r="B930" s="1">
        <v>180</v>
      </c>
      <c r="C930" s="1">
        <v>23</v>
      </c>
      <c r="D930" t="str">
        <f>VLOOKUP(B930,Заказы!A:C,3,0)</f>
        <v>2023-04-20 22:29:00</v>
      </c>
      <c r="E930" t="str">
        <f>VLOOKUP(C930,Меню!A:E,4,0)</f>
        <v>Салат</v>
      </c>
      <c r="F930">
        <f>VLOOKUP(C930,Меню!A:E,5,0)</f>
        <v>250</v>
      </c>
    </row>
    <row r="931" spans="1:6" ht="15.75" hidden="1" customHeight="1" x14ac:dyDescent="0.35">
      <c r="A931" s="1">
        <v>930</v>
      </c>
      <c r="B931" s="1">
        <v>180</v>
      </c>
      <c r="C931" s="1">
        <v>55</v>
      </c>
      <c r="D931" t="str">
        <f>VLOOKUP(B931,Заказы!A:C,3,0)</f>
        <v>2023-04-20 22:29:00</v>
      </c>
      <c r="E931" t="str">
        <f>VLOOKUP(C931,Меню!A:E,4,0)</f>
        <v>Суши</v>
      </c>
      <c r="F931">
        <f>VLOOKUP(C931,Меню!A:E,5,0)</f>
        <v>100</v>
      </c>
    </row>
    <row r="932" spans="1:6" ht="15.75" hidden="1" customHeight="1" x14ac:dyDescent="0.35">
      <c r="A932" s="1">
        <v>931</v>
      </c>
      <c r="B932" s="1">
        <v>180</v>
      </c>
      <c r="C932" s="1">
        <v>22</v>
      </c>
      <c r="D932" t="str">
        <f>VLOOKUP(B932,Заказы!A:C,3,0)</f>
        <v>2023-04-20 22:29:00</v>
      </c>
      <c r="E932" t="str">
        <f>VLOOKUP(C932,Меню!A:E,4,0)</f>
        <v>Салат</v>
      </c>
      <c r="F932">
        <f>VLOOKUP(C932,Меню!A:E,5,0)</f>
        <v>250</v>
      </c>
    </row>
    <row r="933" spans="1:6" ht="15.75" hidden="1" customHeight="1" x14ac:dyDescent="0.35">
      <c r="A933" s="1">
        <v>932</v>
      </c>
      <c r="B933" s="1">
        <v>180</v>
      </c>
      <c r="C933" s="1">
        <v>19</v>
      </c>
      <c r="D933" t="str">
        <f>VLOOKUP(B933,Заказы!A:C,3,0)</f>
        <v>2023-04-20 22:29:00</v>
      </c>
      <c r="E933" t="str">
        <f>VLOOKUP(C933,Меню!A:E,4,0)</f>
        <v>Первое</v>
      </c>
      <c r="F933">
        <f>VLOOKUP(C933,Меню!A:E,5,0)</f>
        <v>300</v>
      </c>
    </row>
    <row r="934" spans="1:6" ht="15.75" hidden="1" customHeight="1" x14ac:dyDescent="0.35">
      <c r="A934" s="1">
        <v>933</v>
      </c>
      <c r="B934" s="1">
        <v>180</v>
      </c>
      <c r="C934" s="1">
        <v>20</v>
      </c>
      <c r="D934" t="str">
        <f>VLOOKUP(B934,Заказы!A:C,3,0)</f>
        <v>2023-04-20 22:29:00</v>
      </c>
      <c r="E934" t="str">
        <f>VLOOKUP(C934,Меню!A:E,4,0)</f>
        <v>Первое</v>
      </c>
      <c r="F934">
        <f>VLOOKUP(C934,Меню!A:E,5,0)</f>
        <v>250</v>
      </c>
    </row>
    <row r="935" spans="1:6" ht="15.75" hidden="1" customHeight="1" x14ac:dyDescent="0.35">
      <c r="A935" s="1">
        <v>934</v>
      </c>
      <c r="B935" s="1">
        <v>181</v>
      </c>
      <c r="C935" s="1">
        <v>55</v>
      </c>
      <c r="D935" t="str">
        <f>VLOOKUP(B935,Заказы!A:C,3,0)</f>
        <v>2023-04-21 15:23:00</v>
      </c>
      <c r="E935" t="str">
        <f>VLOOKUP(C935,Меню!A:E,4,0)</f>
        <v>Суши</v>
      </c>
      <c r="F935">
        <f>VLOOKUP(C935,Меню!A:E,5,0)</f>
        <v>100</v>
      </c>
    </row>
    <row r="936" spans="1:6" ht="15.75" hidden="1" customHeight="1" x14ac:dyDescent="0.35">
      <c r="A936" s="1">
        <v>935</v>
      </c>
      <c r="B936" s="1">
        <v>181</v>
      </c>
      <c r="C936" s="1">
        <v>1</v>
      </c>
      <c r="D936" t="str">
        <f>VLOOKUP(B936,Заказы!A:C,3,0)</f>
        <v>2023-04-21 15:23:00</v>
      </c>
      <c r="E936" t="str">
        <f>VLOOKUP(C936,Меню!A:E,4,0)</f>
        <v>Завтрак</v>
      </c>
      <c r="F936">
        <f>VLOOKUP(C936,Меню!A:E,5,0)</f>
        <v>200</v>
      </c>
    </row>
    <row r="937" spans="1:6" ht="15.75" hidden="1" customHeight="1" x14ac:dyDescent="0.35">
      <c r="A937" s="1">
        <v>936</v>
      </c>
      <c r="B937" s="1">
        <v>181</v>
      </c>
      <c r="C937" s="1">
        <v>12</v>
      </c>
      <c r="D937" t="str">
        <f>VLOOKUP(B937,Заказы!A:C,3,0)</f>
        <v>2023-04-21 15:23:00</v>
      </c>
      <c r="E937" t="str">
        <f>VLOOKUP(C937,Меню!A:E,4,0)</f>
        <v>Первое</v>
      </c>
      <c r="F937">
        <f>VLOOKUP(C937,Меню!A:E,5,0)</f>
        <v>300</v>
      </c>
    </row>
    <row r="938" spans="1:6" ht="15.75" hidden="1" customHeight="1" x14ac:dyDescent="0.35">
      <c r="A938" s="1">
        <v>937</v>
      </c>
      <c r="B938" s="1">
        <v>181</v>
      </c>
      <c r="C938" s="1">
        <v>5</v>
      </c>
      <c r="D938" t="str">
        <f>VLOOKUP(B938,Заказы!A:C,3,0)</f>
        <v>2023-04-21 15:23:00</v>
      </c>
      <c r="E938" t="str">
        <f>VLOOKUP(C938,Меню!A:E,4,0)</f>
        <v>Завтрак</v>
      </c>
      <c r="F938">
        <f>VLOOKUP(C938,Меню!A:E,5,0)</f>
        <v>220</v>
      </c>
    </row>
    <row r="939" spans="1:6" ht="15.75" hidden="1" customHeight="1" x14ac:dyDescent="0.35">
      <c r="A939" s="1">
        <v>938</v>
      </c>
      <c r="B939" s="1">
        <v>181</v>
      </c>
      <c r="C939" s="1">
        <v>59</v>
      </c>
      <c r="D939" t="str">
        <f>VLOOKUP(B939,Заказы!A:C,3,0)</f>
        <v>2023-04-21 15:23:00</v>
      </c>
      <c r="E939" t="str">
        <f>VLOOKUP(C939,Меню!A:E,4,0)</f>
        <v>Суши</v>
      </c>
      <c r="F939">
        <f>VLOOKUP(C939,Меню!A:E,5,0)</f>
        <v>300</v>
      </c>
    </row>
    <row r="940" spans="1:6" ht="15.75" hidden="1" customHeight="1" x14ac:dyDescent="0.35">
      <c r="A940" s="1">
        <v>939</v>
      </c>
      <c r="B940" s="1">
        <v>181</v>
      </c>
      <c r="C940" s="1">
        <v>54</v>
      </c>
      <c r="D940" t="str">
        <f>VLOOKUP(B940,Заказы!A:C,3,0)</f>
        <v>2023-04-21 15:23:00</v>
      </c>
      <c r="E940" t="str">
        <f>VLOOKUP(C940,Меню!A:E,4,0)</f>
        <v>Суши</v>
      </c>
      <c r="F940">
        <f>VLOOKUP(C940,Меню!A:E,5,0)</f>
        <v>100</v>
      </c>
    </row>
    <row r="941" spans="1:6" ht="15.75" hidden="1" customHeight="1" x14ac:dyDescent="0.35">
      <c r="A941" s="1">
        <v>940</v>
      </c>
      <c r="B941" s="1">
        <v>181</v>
      </c>
      <c r="C941" s="1">
        <v>5</v>
      </c>
      <c r="D941" t="str">
        <f>VLOOKUP(B941,Заказы!A:C,3,0)</f>
        <v>2023-04-21 15:23:00</v>
      </c>
      <c r="E941" t="str">
        <f>VLOOKUP(C941,Меню!A:E,4,0)</f>
        <v>Завтрак</v>
      </c>
      <c r="F941">
        <f>VLOOKUP(C941,Меню!A:E,5,0)</f>
        <v>220</v>
      </c>
    </row>
    <row r="942" spans="1:6" ht="15.75" hidden="1" customHeight="1" x14ac:dyDescent="0.35">
      <c r="A942" s="1">
        <v>941</v>
      </c>
      <c r="B942" s="1">
        <v>181</v>
      </c>
      <c r="C942" s="1">
        <v>40</v>
      </c>
      <c r="D942" t="str">
        <f>VLOOKUP(B942,Заказы!A:C,3,0)</f>
        <v>2023-04-21 15:23:00</v>
      </c>
      <c r="E942" t="str">
        <f>VLOOKUP(C942,Меню!A:E,4,0)</f>
        <v>Десерт</v>
      </c>
      <c r="F942">
        <f>VLOOKUP(C942,Меню!A:E,5,0)</f>
        <v>150</v>
      </c>
    </row>
    <row r="943" spans="1:6" ht="15.75" hidden="1" customHeight="1" x14ac:dyDescent="0.35">
      <c r="A943" s="1">
        <v>942</v>
      </c>
      <c r="B943" s="1">
        <v>181</v>
      </c>
      <c r="C943" s="1">
        <v>12</v>
      </c>
      <c r="D943" t="str">
        <f>VLOOKUP(B943,Заказы!A:C,3,0)</f>
        <v>2023-04-21 15:23:00</v>
      </c>
      <c r="E943" t="str">
        <f>VLOOKUP(C943,Меню!A:E,4,0)</f>
        <v>Первое</v>
      </c>
      <c r="F943">
        <f>VLOOKUP(C943,Меню!A:E,5,0)</f>
        <v>300</v>
      </c>
    </row>
    <row r="944" spans="1:6" ht="15.75" hidden="1" customHeight="1" x14ac:dyDescent="0.35">
      <c r="A944" s="1">
        <v>943</v>
      </c>
      <c r="B944" s="1">
        <v>181</v>
      </c>
      <c r="C944" s="1">
        <v>3</v>
      </c>
      <c r="D944" t="str">
        <f>VLOOKUP(B944,Заказы!A:C,3,0)</f>
        <v>2023-04-21 15:23:00</v>
      </c>
      <c r="E944" t="str">
        <f>VLOOKUP(C944,Меню!A:E,4,0)</f>
        <v>Завтрак</v>
      </c>
      <c r="F944">
        <f>VLOOKUP(C944,Меню!A:E,5,0)</f>
        <v>150</v>
      </c>
    </row>
    <row r="945" spans="1:6" ht="15.75" hidden="1" customHeight="1" x14ac:dyDescent="0.35">
      <c r="A945" s="1">
        <v>944</v>
      </c>
      <c r="B945" s="1">
        <v>182</v>
      </c>
      <c r="C945" s="1">
        <v>36</v>
      </c>
      <c r="D945" t="str">
        <f>VLOOKUP(B945,Заказы!A:C,3,0)</f>
        <v>2023-04-21 15:42:00</v>
      </c>
      <c r="E945" t="str">
        <f>VLOOKUP(C945,Меню!A:E,4,0)</f>
        <v>Десерт</v>
      </c>
      <c r="F945">
        <f>VLOOKUP(C945,Меню!A:E,5,0)</f>
        <v>150</v>
      </c>
    </row>
    <row r="946" spans="1:6" ht="15.75" hidden="1" customHeight="1" x14ac:dyDescent="0.35">
      <c r="A946" s="1">
        <v>945</v>
      </c>
      <c r="B946" s="1">
        <v>183</v>
      </c>
      <c r="C946" s="1">
        <v>6</v>
      </c>
      <c r="D946" t="str">
        <f>VLOOKUP(B946,Заказы!A:C,3,0)</f>
        <v>2023-04-21 20:50:00</v>
      </c>
      <c r="E946" t="str">
        <f>VLOOKUP(C946,Меню!A:E,4,0)</f>
        <v>Завтрак</v>
      </c>
      <c r="F946">
        <f>VLOOKUP(C946,Меню!A:E,5,0)</f>
        <v>300</v>
      </c>
    </row>
    <row r="947" spans="1:6" ht="15.75" hidden="1" customHeight="1" x14ac:dyDescent="0.35">
      <c r="A947" s="1">
        <v>946</v>
      </c>
      <c r="B947" s="1">
        <v>183</v>
      </c>
      <c r="C947" s="1">
        <v>48</v>
      </c>
      <c r="D947" t="str">
        <f>VLOOKUP(B947,Заказы!A:C,3,0)</f>
        <v>2023-04-21 20:50:00</v>
      </c>
      <c r="E947" t="str">
        <f>VLOOKUP(C947,Меню!A:E,4,0)</f>
        <v>Суши</v>
      </c>
      <c r="F947">
        <f>VLOOKUP(C947,Меню!A:E,5,0)</f>
        <v>200</v>
      </c>
    </row>
    <row r="948" spans="1:6" ht="15.75" hidden="1" customHeight="1" x14ac:dyDescent="0.35">
      <c r="A948" s="1">
        <v>947</v>
      </c>
      <c r="B948" s="1">
        <v>183</v>
      </c>
      <c r="C948" s="1">
        <v>10</v>
      </c>
      <c r="D948" t="str">
        <f>VLOOKUP(B948,Заказы!A:C,3,0)</f>
        <v>2023-04-21 20:50:00</v>
      </c>
      <c r="E948" t="str">
        <f>VLOOKUP(C948,Меню!A:E,4,0)</f>
        <v>Завтрак</v>
      </c>
      <c r="F948">
        <f>VLOOKUP(C948,Меню!A:E,5,0)</f>
        <v>200</v>
      </c>
    </row>
    <row r="949" spans="1:6" ht="15.75" hidden="1" customHeight="1" x14ac:dyDescent="0.35">
      <c r="A949" s="1">
        <v>948</v>
      </c>
      <c r="B949" s="1">
        <v>183</v>
      </c>
      <c r="C949" s="1">
        <v>6</v>
      </c>
      <c r="D949" t="str">
        <f>VLOOKUP(B949,Заказы!A:C,3,0)</f>
        <v>2023-04-21 20:50:00</v>
      </c>
      <c r="E949" t="str">
        <f>VLOOKUP(C949,Меню!A:E,4,0)</f>
        <v>Завтрак</v>
      </c>
      <c r="F949">
        <f>VLOOKUP(C949,Меню!A:E,5,0)</f>
        <v>300</v>
      </c>
    </row>
    <row r="950" spans="1:6" ht="15.75" hidden="1" customHeight="1" x14ac:dyDescent="0.35">
      <c r="A950" s="1">
        <v>949</v>
      </c>
      <c r="B950" s="1">
        <v>183</v>
      </c>
      <c r="C950" s="1">
        <v>5</v>
      </c>
      <c r="D950" t="str">
        <f>VLOOKUP(B950,Заказы!A:C,3,0)</f>
        <v>2023-04-21 20:50:00</v>
      </c>
      <c r="E950" t="str">
        <f>VLOOKUP(C950,Меню!A:E,4,0)</f>
        <v>Завтрак</v>
      </c>
      <c r="F950">
        <f>VLOOKUP(C950,Меню!A:E,5,0)</f>
        <v>220</v>
      </c>
    </row>
    <row r="951" spans="1:6" ht="15.75" hidden="1" customHeight="1" x14ac:dyDescent="0.35">
      <c r="A951" s="1">
        <v>950</v>
      </c>
      <c r="B951" s="1">
        <v>183</v>
      </c>
      <c r="C951" s="1">
        <v>58</v>
      </c>
      <c r="D951" t="str">
        <f>VLOOKUP(B951,Заказы!A:C,3,0)</f>
        <v>2023-04-21 20:50:00</v>
      </c>
      <c r="E951" t="str">
        <f>VLOOKUP(C951,Меню!A:E,4,0)</f>
        <v>Суши</v>
      </c>
      <c r="F951">
        <f>VLOOKUP(C951,Меню!A:E,5,0)</f>
        <v>200</v>
      </c>
    </row>
    <row r="952" spans="1:6" ht="15.75" hidden="1" customHeight="1" x14ac:dyDescent="0.35">
      <c r="A952" s="1">
        <v>951</v>
      </c>
      <c r="B952" s="1">
        <v>183</v>
      </c>
      <c r="C952" s="1">
        <v>48</v>
      </c>
      <c r="D952" t="str">
        <f>VLOOKUP(B952,Заказы!A:C,3,0)</f>
        <v>2023-04-21 20:50:00</v>
      </c>
      <c r="E952" t="str">
        <f>VLOOKUP(C952,Меню!A:E,4,0)</f>
        <v>Суши</v>
      </c>
      <c r="F952">
        <f>VLOOKUP(C952,Меню!A:E,5,0)</f>
        <v>200</v>
      </c>
    </row>
    <row r="953" spans="1:6" ht="15.75" hidden="1" customHeight="1" x14ac:dyDescent="0.35">
      <c r="A953" s="1">
        <v>952</v>
      </c>
      <c r="B953" s="1">
        <v>184</v>
      </c>
      <c r="C953" s="1">
        <v>11</v>
      </c>
      <c r="D953" t="str">
        <f>VLOOKUP(B953,Заказы!A:C,3,0)</f>
        <v>2023-04-21 22:41:00</v>
      </c>
      <c r="E953" t="str">
        <f>VLOOKUP(C953,Меню!A:E,4,0)</f>
        <v>Первое</v>
      </c>
      <c r="F953">
        <f>VLOOKUP(C953,Меню!A:E,5,0)</f>
        <v>300</v>
      </c>
    </row>
    <row r="954" spans="1:6" ht="15.75" hidden="1" customHeight="1" x14ac:dyDescent="0.35">
      <c r="A954" s="1">
        <v>953</v>
      </c>
      <c r="B954" s="1">
        <v>184</v>
      </c>
      <c r="C954" s="1">
        <v>37</v>
      </c>
      <c r="D954" t="str">
        <f>VLOOKUP(B954,Заказы!A:C,3,0)</f>
        <v>2023-04-21 22:41:00</v>
      </c>
      <c r="E954" t="str">
        <f>VLOOKUP(C954,Меню!A:E,4,0)</f>
        <v>Десерт</v>
      </c>
      <c r="F954">
        <f>VLOOKUP(C954,Меню!A:E,5,0)</f>
        <v>100</v>
      </c>
    </row>
    <row r="955" spans="1:6" ht="15.75" hidden="1" customHeight="1" x14ac:dyDescent="0.35">
      <c r="A955" s="1">
        <v>954</v>
      </c>
      <c r="B955" s="1">
        <v>184</v>
      </c>
      <c r="C955" s="1">
        <v>33</v>
      </c>
      <c r="D955" t="str">
        <f>VLOOKUP(B955,Заказы!A:C,3,0)</f>
        <v>2023-04-21 22:41:00</v>
      </c>
      <c r="E955" t="str">
        <f>VLOOKUP(C955,Меню!A:E,4,0)</f>
        <v>Десерт</v>
      </c>
      <c r="F955">
        <f>VLOOKUP(C955,Меню!A:E,5,0)</f>
        <v>150</v>
      </c>
    </row>
    <row r="956" spans="1:6" ht="15.75" hidden="1" customHeight="1" x14ac:dyDescent="0.35">
      <c r="A956" s="1">
        <v>955</v>
      </c>
      <c r="B956" s="1">
        <v>184</v>
      </c>
      <c r="C956" s="1">
        <v>51</v>
      </c>
      <c r="D956" t="str">
        <f>VLOOKUP(B956,Заказы!A:C,3,0)</f>
        <v>2023-04-21 22:41:00</v>
      </c>
      <c r="E956" t="str">
        <f>VLOOKUP(C956,Меню!A:E,4,0)</f>
        <v>Суши</v>
      </c>
      <c r="F956">
        <f>VLOOKUP(C956,Меню!A:E,5,0)</f>
        <v>100</v>
      </c>
    </row>
    <row r="957" spans="1:6" ht="15.75" hidden="1" customHeight="1" x14ac:dyDescent="0.35">
      <c r="A957" s="1">
        <v>956</v>
      </c>
      <c r="B957" s="1">
        <v>185</v>
      </c>
      <c r="C957" s="1">
        <v>8</v>
      </c>
      <c r="D957" t="str">
        <f>VLOOKUP(B957,Заказы!A:C,3,0)</f>
        <v>2023-04-21 22:51:00</v>
      </c>
      <c r="E957" t="str">
        <f>VLOOKUP(C957,Меню!A:E,4,0)</f>
        <v>Завтрак</v>
      </c>
      <c r="F957">
        <f>VLOOKUP(C957,Меню!A:E,5,0)</f>
        <v>180</v>
      </c>
    </row>
    <row r="958" spans="1:6" ht="15.75" hidden="1" customHeight="1" x14ac:dyDescent="0.35">
      <c r="A958" s="1">
        <v>957</v>
      </c>
      <c r="B958" s="1">
        <v>186</v>
      </c>
      <c r="C958" s="1">
        <v>18</v>
      </c>
      <c r="D958" t="str">
        <f>VLOOKUP(B958,Заказы!A:C,3,0)</f>
        <v>2023-04-22 16:26:00</v>
      </c>
      <c r="E958" t="str">
        <f>VLOOKUP(C958,Меню!A:E,4,0)</f>
        <v>Первое</v>
      </c>
      <c r="F958">
        <f>VLOOKUP(C958,Меню!A:E,5,0)</f>
        <v>300</v>
      </c>
    </row>
    <row r="959" spans="1:6" ht="15.75" hidden="1" customHeight="1" x14ac:dyDescent="0.35">
      <c r="A959" s="1">
        <v>958</v>
      </c>
      <c r="B959" s="1">
        <v>186</v>
      </c>
      <c r="C959" s="1">
        <v>20</v>
      </c>
      <c r="D959" t="str">
        <f>VLOOKUP(B959,Заказы!A:C,3,0)</f>
        <v>2023-04-22 16:26:00</v>
      </c>
      <c r="E959" t="str">
        <f>VLOOKUP(C959,Меню!A:E,4,0)</f>
        <v>Первое</v>
      </c>
      <c r="F959">
        <f>VLOOKUP(C959,Меню!A:E,5,0)</f>
        <v>250</v>
      </c>
    </row>
    <row r="960" spans="1:6" ht="15.75" hidden="1" customHeight="1" x14ac:dyDescent="0.35">
      <c r="A960" s="1">
        <v>959</v>
      </c>
      <c r="B960" s="1">
        <v>186</v>
      </c>
      <c r="C960" s="1">
        <v>1</v>
      </c>
      <c r="D960" t="str">
        <f>VLOOKUP(B960,Заказы!A:C,3,0)</f>
        <v>2023-04-22 16:26:00</v>
      </c>
      <c r="E960" t="str">
        <f>VLOOKUP(C960,Меню!A:E,4,0)</f>
        <v>Завтрак</v>
      </c>
      <c r="F960">
        <f>VLOOKUP(C960,Меню!A:E,5,0)</f>
        <v>200</v>
      </c>
    </row>
    <row r="961" spans="1:6" ht="15.75" hidden="1" customHeight="1" x14ac:dyDescent="0.35">
      <c r="A961" s="1">
        <v>960</v>
      </c>
      <c r="B961" s="1">
        <v>186</v>
      </c>
      <c r="C961" s="1">
        <v>12</v>
      </c>
      <c r="D961" t="str">
        <f>VLOOKUP(B961,Заказы!A:C,3,0)</f>
        <v>2023-04-22 16:26:00</v>
      </c>
      <c r="E961" t="str">
        <f>VLOOKUP(C961,Меню!A:E,4,0)</f>
        <v>Первое</v>
      </c>
      <c r="F961">
        <f>VLOOKUP(C961,Меню!A:E,5,0)</f>
        <v>300</v>
      </c>
    </row>
    <row r="962" spans="1:6" ht="15.75" hidden="1" customHeight="1" x14ac:dyDescent="0.35">
      <c r="A962" s="1">
        <v>961</v>
      </c>
      <c r="B962" s="1">
        <v>186</v>
      </c>
      <c r="C962" s="1">
        <v>11</v>
      </c>
      <c r="D962" t="str">
        <f>VLOOKUP(B962,Заказы!A:C,3,0)</f>
        <v>2023-04-22 16:26:00</v>
      </c>
      <c r="E962" t="str">
        <f>VLOOKUP(C962,Меню!A:E,4,0)</f>
        <v>Первое</v>
      </c>
      <c r="F962">
        <f>VLOOKUP(C962,Меню!A:E,5,0)</f>
        <v>300</v>
      </c>
    </row>
    <row r="963" spans="1:6" ht="15.75" hidden="1" customHeight="1" x14ac:dyDescent="0.35">
      <c r="A963" s="1">
        <v>962</v>
      </c>
      <c r="B963" s="1">
        <v>186</v>
      </c>
      <c r="C963" s="1">
        <v>12</v>
      </c>
      <c r="D963" t="str">
        <f>VLOOKUP(B963,Заказы!A:C,3,0)</f>
        <v>2023-04-22 16:26:00</v>
      </c>
      <c r="E963" t="str">
        <f>VLOOKUP(C963,Меню!A:E,4,0)</f>
        <v>Первое</v>
      </c>
      <c r="F963">
        <f>VLOOKUP(C963,Меню!A:E,5,0)</f>
        <v>300</v>
      </c>
    </row>
    <row r="964" spans="1:6" ht="15.75" hidden="1" customHeight="1" x14ac:dyDescent="0.35">
      <c r="A964" s="1">
        <v>963</v>
      </c>
      <c r="B964" s="1">
        <v>186</v>
      </c>
      <c r="C964" s="1">
        <v>19</v>
      </c>
      <c r="D964" t="str">
        <f>VLOOKUP(B964,Заказы!A:C,3,0)</f>
        <v>2023-04-22 16:26:00</v>
      </c>
      <c r="E964" t="str">
        <f>VLOOKUP(C964,Меню!A:E,4,0)</f>
        <v>Первое</v>
      </c>
      <c r="F964">
        <f>VLOOKUP(C964,Меню!A:E,5,0)</f>
        <v>300</v>
      </c>
    </row>
    <row r="965" spans="1:6" ht="15.75" hidden="1" customHeight="1" x14ac:dyDescent="0.35">
      <c r="A965" s="1">
        <v>964</v>
      </c>
      <c r="B965" s="1">
        <v>186</v>
      </c>
      <c r="C965" s="1">
        <v>57</v>
      </c>
      <c r="D965" t="str">
        <f>VLOOKUP(B965,Заказы!A:C,3,0)</f>
        <v>2023-04-22 16:26:00</v>
      </c>
      <c r="E965" t="str">
        <f>VLOOKUP(C965,Меню!A:E,4,0)</f>
        <v>Суши</v>
      </c>
      <c r="F965">
        <f>VLOOKUP(C965,Меню!A:E,5,0)</f>
        <v>200</v>
      </c>
    </row>
    <row r="966" spans="1:6" ht="15.75" hidden="1" customHeight="1" x14ac:dyDescent="0.35">
      <c r="A966" s="1">
        <v>965</v>
      </c>
      <c r="B966" s="1">
        <v>187</v>
      </c>
      <c r="C966" s="1">
        <v>31</v>
      </c>
      <c r="D966" t="str">
        <f>VLOOKUP(B966,Заказы!A:C,3,0)</f>
        <v>2023-04-22 17:39:00</v>
      </c>
      <c r="E966" t="str">
        <f>VLOOKUP(C966,Меню!A:E,4,0)</f>
        <v>Десерт</v>
      </c>
      <c r="F966">
        <f>VLOOKUP(C966,Меню!A:E,5,0)</f>
        <v>150</v>
      </c>
    </row>
    <row r="967" spans="1:6" ht="15.75" hidden="1" customHeight="1" x14ac:dyDescent="0.35">
      <c r="A967" s="1">
        <v>966</v>
      </c>
      <c r="B967" s="1">
        <v>187</v>
      </c>
      <c r="C967" s="1">
        <v>12</v>
      </c>
      <c r="D967" t="str">
        <f>VLOOKUP(B967,Заказы!A:C,3,0)</f>
        <v>2023-04-22 17:39:00</v>
      </c>
      <c r="E967" t="str">
        <f>VLOOKUP(C967,Меню!A:E,4,0)</f>
        <v>Первое</v>
      </c>
      <c r="F967">
        <f>VLOOKUP(C967,Меню!A:E,5,0)</f>
        <v>300</v>
      </c>
    </row>
    <row r="968" spans="1:6" ht="15.75" hidden="1" customHeight="1" x14ac:dyDescent="0.35">
      <c r="A968" s="1">
        <v>967</v>
      </c>
      <c r="B968" s="1">
        <v>187</v>
      </c>
      <c r="C968" s="1">
        <v>49</v>
      </c>
      <c r="D968" t="str">
        <f>VLOOKUP(B968,Заказы!A:C,3,0)</f>
        <v>2023-04-22 17:39:00</v>
      </c>
      <c r="E968" t="str">
        <f>VLOOKUP(C968,Меню!A:E,4,0)</f>
        <v>Суши</v>
      </c>
      <c r="F968">
        <f>VLOOKUP(C968,Меню!A:E,5,0)</f>
        <v>200</v>
      </c>
    </row>
    <row r="969" spans="1:6" ht="15.75" hidden="1" customHeight="1" x14ac:dyDescent="0.35">
      <c r="A969" s="1">
        <v>968</v>
      </c>
      <c r="B969" s="1">
        <v>187</v>
      </c>
      <c r="C969" s="1">
        <v>11</v>
      </c>
      <c r="D969" t="str">
        <f>VLOOKUP(B969,Заказы!A:C,3,0)</f>
        <v>2023-04-22 17:39:00</v>
      </c>
      <c r="E969" t="str">
        <f>VLOOKUP(C969,Меню!A:E,4,0)</f>
        <v>Первое</v>
      </c>
      <c r="F969">
        <f>VLOOKUP(C969,Меню!A:E,5,0)</f>
        <v>300</v>
      </c>
    </row>
    <row r="970" spans="1:6" ht="15.75" hidden="1" customHeight="1" x14ac:dyDescent="0.35">
      <c r="A970" s="1">
        <v>969</v>
      </c>
      <c r="B970" s="1">
        <v>187</v>
      </c>
      <c r="C970" s="1">
        <v>57</v>
      </c>
      <c r="D970" t="str">
        <f>VLOOKUP(B970,Заказы!A:C,3,0)</f>
        <v>2023-04-22 17:39:00</v>
      </c>
      <c r="E970" t="str">
        <f>VLOOKUP(C970,Меню!A:E,4,0)</f>
        <v>Суши</v>
      </c>
      <c r="F970">
        <f>VLOOKUP(C970,Меню!A:E,5,0)</f>
        <v>200</v>
      </c>
    </row>
    <row r="971" spans="1:6" ht="15.75" hidden="1" customHeight="1" x14ac:dyDescent="0.35">
      <c r="A971" s="1">
        <v>970</v>
      </c>
      <c r="B971" s="1">
        <v>187</v>
      </c>
      <c r="C971" s="1">
        <v>43</v>
      </c>
      <c r="D971" t="str">
        <f>VLOOKUP(B971,Заказы!A:C,3,0)</f>
        <v>2023-04-22 17:39:00</v>
      </c>
      <c r="E971" t="str">
        <f>VLOOKUP(C971,Меню!A:E,4,0)</f>
        <v>Суши</v>
      </c>
      <c r="F971">
        <f>VLOOKUP(C971,Меню!A:E,5,0)</f>
        <v>250</v>
      </c>
    </row>
    <row r="972" spans="1:6" ht="15.75" hidden="1" customHeight="1" x14ac:dyDescent="0.35">
      <c r="A972" s="1">
        <v>971</v>
      </c>
      <c r="B972" s="1">
        <v>188</v>
      </c>
      <c r="C972" s="1">
        <v>38</v>
      </c>
      <c r="D972" t="str">
        <f>VLOOKUP(B972,Заказы!A:C,3,0)</f>
        <v>2023-04-22 20:50:00</v>
      </c>
      <c r="E972" t="str">
        <f>VLOOKUP(C972,Меню!A:E,4,0)</f>
        <v>Десерт</v>
      </c>
      <c r="F972">
        <f>VLOOKUP(C972,Меню!A:E,5,0)</f>
        <v>150</v>
      </c>
    </row>
    <row r="973" spans="1:6" ht="15.75" hidden="1" customHeight="1" x14ac:dyDescent="0.35">
      <c r="A973" s="1">
        <v>972</v>
      </c>
      <c r="B973" s="1">
        <v>188</v>
      </c>
      <c r="C973" s="1">
        <v>15</v>
      </c>
      <c r="D973" t="str">
        <f>VLOOKUP(B973,Заказы!A:C,3,0)</f>
        <v>2023-04-22 20:50:00</v>
      </c>
      <c r="E973" t="str">
        <f>VLOOKUP(C973,Меню!A:E,4,0)</f>
        <v>Первое</v>
      </c>
      <c r="F973">
        <f>VLOOKUP(C973,Меню!A:E,5,0)</f>
        <v>250</v>
      </c>
    </row>
    <row r="974" spans="1:6" ht="15.75" hidden="1" customHeight="1" x14ac:dyDescent="0.35">
      <c r="A974" s="1">
        <v>973</v>
      </c>
      <c r="B974" s="1">
        <v>188</v>
      </c>
      <c r="C974" s="1">
        <v>27</v>
      </c>
      <c r="D974" t="str">
        <f>VLOOKUP(B974,Заказы!A:C,3,0)</f>
        <v>2023-04-22 20:50:00</v>
      </c>
      <c r="E974" t="str">
        <f>VLOOKUP(C974,Меню!A:E,4,0)</f>
        <v>Салат</v>
      </c>
      <c r="F974">
        <f>VLOOKUP(C974,Меню!A:E,5,0)</f>
        <v>250</v>
      </c>
    </row>
    <row r="975" spans="1:6" ht="15.75" hidden="1" customHeight="1" x14ac:dyDescent="0.35">
      <c r="A975" s="1">
        <v>974</v>
      </c>
      <c r="B975" s="1">
        <v>188</v>
      </c>
      <c r="C975" s="1">
        <v>46</v>
      </c>
      <c r="D975" t="str">
        <f>VLOOKUP(B975,Заказы!A:C,3,0)</f>
        <v>2023-04-22 20:50:00</v>
      </c>
      <c r="E975" t="str">
        <f>VLOOKUP(C975,Меню!A:E,4,0)</f>
        <v>Суши</v>
      </c>
      <c r="F975">
        <f>VLOOKUP(C975,Меню!A:E,5,0)</f>
        <v>200</v>
      </c>
    </row>
    <row r="976" spans="1:6" ht="15.75" hidden="1" customHeight="1" x14ac:dyDescent="0.35">
      <c r="A976" s="1">
        <v>975</v>
      </c>
      <c r="B976" s="1">
        <v>188</v>
      </c>
      <c r="C976" s="1">
        <v>11</v>
      </c>
      <c r="D976" t="str">
        <f>VLOOKUP(B976,Заказы!A:C,3,0)</f>
        <v>2023-04-22 20:50:00</v>
      </c>
      <c r="E976" t="str">
        <f>VLOOKUP(C976,Меню!A:E,4,0)</f>
        <v>Первое</v>
      </c>
      <c r="F976">
        <f>VLOOKUP(C976,Меню!A:E,5,0)</f>
        <v>300</v>
      </c>
    </row>
    <row r="977" spans="1:6" ht="15.75" hidden="1" customHeight="1" x14ac:dyDescent="0.35">
      <c r="A977" s="1">
        <v>976</v>
      </c>
      <c r="B977" s="1">
        <v>188</v>
      </c>
      <c r="C977" s="1">
        <v>20</v>
      </c>
      <c r="D977" t="str">
        <f>VLOOKUP(B977,Заказы!A:C,3,0)</f>
        <v>2023-04-22 20:50:00</v>
      </c>
      <c r="E977" t="str">
        <f>VLOOKUP(C977,Меню!A:E,4,0)</f>
        <v>Первое</v>
      </c>
      <c r="F977">
        <f>VLOOKUP(C977,Меню!A:E,5,0)</f>
        <v>250</v>
      </c>
    </row>
    <row r="978" spans="1:6" ht="15.75" hidden="1" customHeight="1" x14ac:dyDescent="0.35">
      <c r="A978" s="1">
        <v>977</v>
      </c>
      <c r="B978" s="1">
        <v>188</v>
      </c>
      <c r="C978" s="1">
        <v>38</v>
      </c>
      <c r="D978" t="str">
        <f>VLOOKUP(B978,Заказы!A:C,3,0)</f>
        <v>2023-04-22 20:50:00</v>
      </c>
      <c r="E978" t="str">
        <f>VLOOKUP(C978,Меню!A:E,4,0)</f>
        <v>Десерт</v>
      </c>
      <c r="F978">
        <f>VLOOKUP(C978,Меню!A:E,5,0)</f>
        <v>150</v>
      </c>
    </row>
    <row r="979" spans="1:6" ht="15.75" hidden="1" customHeight="1" x14ac:dyDescent="0.35">
      <c r="A979" s="1">
        <v>978</v>
      </c>
      <c r="B979" s="1">
        <v>188</v>
      </c>
      <c r="C979" s="1">
        <v>42</v>
      </c>
      <c r="D979" t="str">
        <f>VLOOKUP(B979,Заказы!A:C,3,0)</f>
        <v>2023-04-22 20:50:00</v>
      </c>
      <c r="E979" t="str">
        <f>VLOOKUP(C979,Меню!A:E,4,0)</f>
        <v>Суши</v>
      </c>
      <c r="F979">
        <f>VLOOKUP(C979,Меню!A:E,5,0)</f>
        <v>250</v>
      </c>
    </row>
    <row r="980" spans="1:6" ht="15.75" hidden="1" customHeight="1" x14ac:dyDescent="0.35">
      <c r="A980" s="1">
        <v>979</v>
      </c>
      <c r="B980" s="1">
        <v>188</v>
      </c>
      <c r="C980" s="1">
        <v>23</v>
      </c>
      <c r="D980" t="str">
        <f>VLOOKUP(B980,Заказы!A:C,3,0)</f>
        <v>2023-04-22 20:50:00</v>
      </c>
      <c r="E980" t="str">
        <f>VLOOKUP(C980,Меню!A:E,4,0)</f>
        <v>Салат</v>
      </c>
      <c r="F980">
        <f>VLOOKUP(C980,Меню!A:E,5,0)</f>
        <v>250</v>
      </c>
    </row>
    <row r="981" spans="1:6" ht="15.75" hidden="1" customHeight="1" x14ac:dyDescent="0.35">
      <c r="A981" s="1">
        <v>980</v>
      </c>
      <c r="B981" s="1">
        <v>188</v>
      </c>
      <c r="C981" s="1">
        <v>34</v>
      </c>
      <c r="D981" t="str">
        <f>VLOOKUP(B981,Заказы!A:C,3,0)</f>
        <v>2023-04-22 20:50:00</v>
      </c>
      <c r="E981" t="str">
        <f>VLOOKUP(C981,Меню!A:E,4,0)</f>
        <v>Десерт</v>
      </c>
      <c r="F981">
        <f>VLOOKUP(C981,Меню!A:E,5,0)</f>
        <v>150</v>
      </c>
    </row>
    <row r="982" spans="1:6" ht="15.75" hidden="1" customHeight="1" x14ac:dyDescent="0.35">
      <c r="A982" s="1">
        <v>981</v>
      </c>
      <c r="B982" s="1">
        <v>188</v>
      </c>
      <c r="C982" s="1">
        <v>3</v>
      </c>
      <c r="D982" t="str">
        <f>VLOOKUP(B982,Заказы!A:C,3,0)</f>
        <v>2023-04-22 20:50:00</v>
      </c>
      <c r="E982" t="str">
        <f>VLOOKUP(C982,Меню!A:E,4,0)</f>
        <v>Завтрак</v>
      </c>
      <c r="F982">
        <f>VLOOKUP(C982,Меню!A:E,5,0)</f>
        <v>150</v>
      </c>
    </row>
    <row r="983" spans="1:6" ht="15.75" hidden="1" customHeight="1" x14ac:dyDescent="0.35">
      <c r="A983" s="1">
        <v>982</v>
      </c>
      <c r="B983" s="1">
        <v>189</v>
      </c>
      <c r="C983" s="1">
        <v>45</v>
      </c>
      <c r="D983" t="str">
        <f>VLOOKUP(B983,Заказы!A:C,3,0)</f>
        <v>2023-04-22 21:32:00</v>
      </c>
      <c r="E983" t="str">
        <f>VLOOKUP(C983,Меню!A:E,4,0)</f>
        <v>Суши</v>
      </c>
      <c r="F983">
        <f>VLOOKUP(C983,Меню!A:E,5,0)</f>
        <v>200</v>
      </c>
    </row>
    <row r="984" spans="1:6" ht="15.75" hidden="1" customHeight="1" x14ac:dyDescent="0.35">
      <c r="A984" s="1">
        <v>983</v>
      </c>
      <c r="B984" s="1">
        <v>189</v>
      </c>
      <c r="C984" s="1">
        <v>54</v>
      </c>
      <c r="D984" t="str">
        <f>VLOOKUP(B984,Заказы!A:C,3,0)</f>
        <v>2023-04-22 21:32:00</v>
      </c>
      <c r="E984" t="str">
        <f>VLOOKUP(C984,Меню!A:E,4,0)</f>
        <v>Суши</v>
      </c>
      <c r="F984">
        <f>VLOOKUP(C984,Меню!A:E,5,0)</f>
        <v>100</v>
      </c>
    </row>
    <row r="985" spans="1:6" ht="15.75" hidden="1" customHeight="1" x14ac:dyDescent="0.35">
      <c r="A985" s="1">
        <v>984</v>
      </c>
      <c r="B985" s="1">
        <v>189</v>
      </c>
      <c r="C985" s="1">
        <v>1</v>
      </c>
      <c r="D985" t="str">
        <f>VLOOKUP(B985,Заказы!A:C,3,0)</f>
        <v>2023-04-22 21:32:00</v>
      </c>
      <c r="E985" t="str">
        <f>VLOOKUP(C985,Меню!A:E,4,0)</f>
        <v>Завтрак</v>
      </c>
      <c r="F985">
        <f>VLOOKUP(C985,Меню!A:E,5,0)</f>
        <v>200</v>
      </c>
    </row>
    <row r="986" spans="1:6" ht="15.75" hidden="1" customHeight="1" x14ac:dyDescent="0.35">
      <c r="A986" s="1">
        <v>985</v>
      </c>
      <c r="B986" s="1">
        <v>190</v>
      </c>
      <c r="C986" s="1">
        <v>35</v>
      </c>
      <c r="D986" t="str">
        <f>VLOOKUP(B986,Заказы!A:C,3,0)</f>
        <v>2023-04-23 16:26:00</v>
      </c>
      <c r="E986" t="str">
        <f>VLOOKUP(C986,Меню!A:E,4,0)</f>
        <v>Десерт</v>
      </c>
      <c r="F986">
        <f>VLOOKUP(C986,Меню!A:E,5,0)</f>
        <v>150</v>
      </c>
    </row>
    <row r="987" spans="1:6" ht="15.75" hidden="1" customHeight="1" x14ac:dyDescent="0.35">
      <c r="A987" s="1">
        <v>986</v>
      </c>
      <c r="B987" s="1">
        <v>190</v>
      </c>
      <c r="C987" s="1">
        <v>50</v>
      </c>
      <c r="D987" t="str">
        <f>VLOOKUP(B987,Заказы!A:C,3,0)</f>
        <v>2023-04-23 16:26:00</v>
      </c>
      <c r="E987" t="str">
        <f>VLOOKUP(C987,Меню!A:E,4,0)</f>
        <v>Суши</v>
      </c>
      <c r="F987">
        <f>VLOOKUP(C987,Меню!A:E,5,0)</f>
        <v>200</v>
      </c>
    </row>
    <row r="988" spans="1:6" ht="15.75" hidden="1" customHeight="1" x14ac:dyDescent="0.35">
      <c r="A988" s="1">
        <v>987</v>
      </c>
      <c r="B988" s="1">
        <v>190</v>
      </c>
      <c r="C988" s="1">
        <v>15</v>
      </c>
      <c r="D988" t="str">
        <f>VLOOKUP(B988,Заказы!A:C,3,0)</f>
        <v>2023-04-23 16:26:00</v>
      </c>
      <c r="E988" t="str">
        <f>VLOOKUP(C988,Меню!A:E,4,0)</f>
        <v>Первое</v>
      </c>
      <c r="F988">
        <f>VLOOKUP(C988,Меню!A:E,5,0)</f>
        <v>250</v>
      </c>
    </row>
    <row r="989" spans="1:6" ht="15.75" hidden="1" customHeight="1" x14ac:dyDescent="0.35">
      <c r="A989" s="1">
        <v>988</v>
      </c>
      <c r="B989" s="1">
        <v>190</v>
      </c>
      <c r="C989" s="1">
        <v>8</v>
      </c>
      <c r="D989" t="str">
        <f>VLOOKUP(B989,Заказы!A:C,3,0)</f>
        <v>2023-04-23 16:26:00</v>
      </c>
      <c r="E989" t="str">
        <f>VLOOKUP(C989,Меню!A:E,4,0)</f>
        <v>Завтрак</v>
      </c>
      <c r="F989">
        <f>VLOOKUP(C989,Меню!A:E,5,0)</f>
        <v>180</v>
      </c>
    </row>
    <row r="990" spans="1:6" ht="15.75" hidden="1" customHeight="1" x14ac:dyDescent="0.35">
      <c r="A990" s="1">
        <v>989</v>
      </c>
      <c r="B990" s="1">
        <v>190</v>
      </c>
      <c r="C990" s="1">
        <v>59</v>
      </c>
      <c r="D990" t="str">
        <f>VLOOKUP(B990,Заказы!A:C,3,0)</f>
        <v>2023-04-23 16:26:00</v>
      </c>
      <c r="E990" t="str">
        <f>VLOOKUP(C990,Меню!A:E,4,0)</f>
        <v>Суши</v>
      </c>
      <c r="F990">
        <f>VLOOKUP(C990,Меню!A:E,5,0)</f>
        <v>300</v>
      </c>
    </row>
    <row r="991" spans="1:6" ht="15.75" hidden="1" customHeight="1" x14ac:dyDescent="0.35">
      <c r="A991" s="1">
        <v>990</v>
      </c>
      <c r="B991" s="1">
        <v>190</v>
      </c>
      <c r="C991" s="1">
        <v>25</v>
      </c>
      <c r="D991" t="str">
        <f>VLOOKUP(B991,Заказы!A:C,3,0)</f>
        <v>2023-04-23 16:26:00</v>
      </c>
      <c r="E991" t="str">
        <f>VLOOKUP(C991,Меню!A:E,4,0)</f>
        <v>Салат</v>
      </c>
      <c r="F991">
        <f>VLOOKUP(C991,Меню!A:E,5,0)</f>
        <v>250</v>
      </c>
    </row>
    <row r="992" spans="1:6" ht="15.75" hidden="1" customHeight="1" x14ac:dyDescent="0.35">
      <c r="A992" s="1">
        <v>991</v>
      </c>
      <c r="B992" s="1">
        <v>190</v>
      </c>
      <c r="C992" s="1">
        <v>19</v>
      </c>
      <c r="D992" t="str">
        <f>VLOOKUP(B992,Заказы!A:C,3,0)</f>
        <v>2023-04-23 16:26:00</v>
      </c>
      <c r="E992" t="str">
        <f>VLOOKUP(C992,Меню!A:E,4,0)</f>
        <v>Первое</v>
      </c>
      <c r="F992">
        <f>VLOOKUP(C992,Меню!A:E,5,0)</f>
        <v>300</v>
      </c>
    </row>
    <row r="993" spans="1:6" ht="15.75" hidden="1" customHeight="1" x14ac:dyDescent="0.35">
      <c r="A993" s="1">
        <v>992</v>
      </c>
      <c r="B993" s="1">
        <v>191</v>
      </c>
      <c r="C993" s="1">
        <v>21</v>
      </c>
      <c r="D993" t="str">
        <f>VLOOKUP(B993,Заказы!A:C,3,0)</f>
        <v>2023-04-23 18:15:00</v>
      </c>
      <c r="E993" t="str">
        <f>VLOOKUP(C993,Меню!A:E,4,0)</f>
        <v>Салат</v>
      </c>
      <c r="F993">
        <f>VLOOKUP(C993,Меню!A:E,5,0)</f>
        <v>250</v>
      </c>
    </row>
    <row r="994" spans="1:6" ht="15.75" hidden="1" customHeight="1" x14ac:dyDescent="0.35">
      <c r="A994" s="1">
        <v>993</v>
      </c>
      <c r="B994" s="1">
        <v>191</v>
      </c>
      <c r="C994" s="1">
        <v>60</v>
      </c>
      <c r="D994" t="str">
        <f>VLOOKUP(B994,Заказы!A:C,3,0)</f>
        <v>2023-04-23 18:15:00</v>
      </c>
      <c r="E994" t="str">
        <f>VLOOKUP(C994,Меню!A:E,4,0)</f>
        <v>Суши</v>
      </c>
      <c r="F994">
        <f>VLOOKUP(C994,Меню!A:E,5,0)</f>
        <v>250</v>
      </c>
    </row>
    <row r="995" spans="1:6" ht="15.75" hidden="1" customHeight="1" x14ac:dyDescent="0.35">
      <c r="A995" s="1">
        <v>994</v>
      </c>
      <c r="B995" s="1">
        <v>191</v>
      </c>
      <c r="C995" s="1">
        <v>4</v>
      </c>
      <c r="D995" t="str">
        <f>VLOOKUP(B995,Заказы!A:C,3,0)</f>
        <v>2023-04-23 18:15:00</v>
      </c>
      <c r="E995" t="str">
        <f>VLOOKUP(C995,Меню!A:E,4,0)</f>
        <v>Завтрак</v>
      </c>
      <c r="F995">
        <f>VLOOKUP(C995,Меню!A:E,5,0)</f>
        <v>180</v>
      </c>
    </row>
    <row r="996" spans="1:6" ht="15.75" hidden="1" customHeight="1" x14ac:dyDescent="0.35">
      <c r="A996" s="1">
        <v>995</v>
      </c>
      <c r="B996" s="1">
        <v>191</v>
      </c>
      <c r="C996" s="1">
        <v>30</v>
      </c>
      <c r="D996" t="str">
        <f>VLOOKUP(B996,Заказы!A:C,3,0)</f>
        <v>2023-04-23 18:15:00</v>
      </c>
      <c r="E996" t="str">
        <f>VLOOKUP(C996,Меню!A:E,4,0)</f>
        <v>Салат</v>
      </c>
      <c r="F996">
        <f>VLOOKUP(C996,Меню!A:E,5,0)</f>
        <v>250</v>
      </c>
    </row>
    <row r="997" spans="1:6" ht="15.75" hidden="1" customHeight="1" x14ac:dyDescent="0.35">
      <c r="A997" s="1">
        <v>996</v>
      </c>
      <c r="B997" s="1">
        <v>191</v>
      </c>
      <c r="C997" s="1">
        <v>50</v>
      </c>
      <c r="D997" t="str">
        <f>VLOOKUP(B997,Заказы!A:C,3,0)</f>
        <v>2023-04-23 18:15:00</v>
      </c>
      <c r="E997" t="str">
        <f>VLOOKUP(C997,Меню!A:E,4,0)</f>
        <v>Суши</v>
      </c>
      <c r="F997">
        <f>VLOOKUP(C997,Меню!A:E,5,0)</f>
        <v>200</v>
      </c>
    </row>
    <row r="998" spans="1:6" ht="15.75" hidden="1" customHeight="1" x14ac:dyDescent="0.35">
      <c r="A998" s="1">
        <v>997</v>
      </c>
      <c r="B998" s="1">
        <v>191</v>
      </c>
      <c r="C998" s="1">
        <v>58</v>
      </c>
      <c r="D998" t="str">
        <f>VLOOKUP(B998,Заказы!A:C,3,0)</f>
        <v>2023-04-23 18:15:00</v>
      </c>
      <c r="E998" t="str">
        <f>VLOOKUP(C998,Меню!A:E,4,0)</f>
        <v>Суши</v>
      </c>
      <c r="F998">
        <f>VLOOKUP(C998,Меню!A:E,5,0)</f>
        <v>200</v>
      </c>
    </row>
    <row r="999" spans="1:6" ht="15.75" hidden="1" customHeight="1" x14ac:dyDescent="0.35">
      <c r="A999" s="1">
        <v>998</v>
      </c>
      <c r="B999" s="1">
        <v>191</v>
      </c>
      <c r="C999" s="1">
        <v>45</v>
      </c>
      <c r="D999" t="str">
        <f>VLOOKUP(B999,Заказы!A:C,3,0)</f>
        <v>2023-04-23 18:15:00</v>
      </c>
      <c r="E999" t="str">
        <f>VLOOKUP(C999,Меню!A:E,4,0)</f>
        <v>Суши</v>
      </c>
      <c r="F999">
        <f>VLOOKUP(C999,Меню!A:E,5,0)</f>
        <v>200</v>
      </c>
    </row>
    <row r="1000" spans="1:6" ht="15.75" hidden="1" customHeight="1" x14ac:dyDescent="0.35">
      <c r="A1000" s="1">
        <v>999</v>
      </c>
      <c r="B1000" s="1">
        <v>192</v>
      </c>
      <c r="C1000" s="1">
        <v>14</v>
      </c>
      <c r="D1000" t="str">
        <f>VLOOKUP(B1000,Заказы!A:C,3,0)</f>
        <v>2023-04-23 19:03:00</v>
      </c>
      <c r="E1000" t="str">
        <f>VLOOKUP(C1000,Меню!A:E,4,0)</f>
        <v>Первое</v>
      </c>
      <c r="F1000">
        <f>VLOOKUP(C1000,Меню!A:E,5,0)</f>
        <v>350</v>
      </c>
    </row>
    <row r="1001" spans="1:6" ht="15.75" hidden="1" customHeight="1" x14ac:dyDescent="0.35">
      <c r="A1001" s="1">
        <v>1000</v>
      </c>
      <c r="B1001" s="1">
        <v>192</v>
      </c>
      <c r="C1001" s="1">
        <v>34</v>
      </c>
      <c r="D1001" t="str">
        <f>VLOOKUP(B1001,Заказы!A:C,3,0)</f>
        <v>2023-04-23 19:03:00</v>
      </c>
      <c r="E1001" t="str">
        <f>VLOOKUP(C1001,Меню!A:E,4,0)</f>
        <v>Десерт</v>
      </c>
      <c r="F1001">
        <f>VLOOKUP(C1001,Меню!A:E,5,0)</f>
        <v>150</v>
      </c>
    </row>
    <row r="1002" spans="1:6" ht="15.75" hidden="1" customHeight="1" x14ac:dyDescent="0.35">
      <c r="A1002" s="1">
        <v>1001</v>
      </c>
      <c r="B1002" s="1">
        <v>192</v>
      </c>
      <c r="C1002" s="1">
        <v>55</v>
      </c>
      <c r="D1002" t="str">
        <f>VLOOKUP(B1002,Заказы!A:C,3,0)</f>
        <v>2023-04-23 19:03:00</v>
      </c>
      <c r="E1002" t="str">
        <f>VLOOKUP(C1002,Меню!A:E,4,0)</f>
        <v>Суши</v>
      </c>
      <c r="F1002">
        <f>VLOOKUP(C1002,Меню!A:E,5,0)</f>
        <v>100</v>
      </c>
    </row>
    <row r="1003" spans="1:6" ht="15.75" hidden="1" customHeight="1" x14ac:dyDescent="0.35">
      <c r="A1003" s="1">
        <v>1002</v>
      </c>
      <c r="B1003" s="1">
        <v>192</v>
      </c>
      <c r="C1003" s="1">
        <v>39</v>
      </c>
      <c r="D1003" t="str">
        <f>VLOOKUP(B1003,Заказы!A:C,3,0)</f>
        <v>2023-04-23 19:03:00</v>
      </c>
      <c r="E1003" t="str">
        <f>VLOOKUP(C1003,Меню!A:E,4,0)</f>
        <v>Десерт</v>
      </c>
      <c r="F1003">
        <f>VLOOKUP(C1003,Меню!A:E,5,0)</f>
        <v>150</v>
      </c>
    </row>
    <row r="1004" spans="1:6" ht="15.75" hidden="1" customHeight="1" x14ac:dyDescent="0.35">
      <c r="A1004" s="1">
        <v>1003</v>
      </c>
      <c r="B1004" s="1">
        <v>193</v>
      </c>
      <c r="C1004" s="1">
        <v>1</v>
      </c>
      <c r="D1004" t="str">
        <f>VLOOKUP(B1004,Заказы!A:C,3,0)</f>
        <v>2023-04-23 20:53:00</v>
      </c>
      <c r="E1004" t="str">
        <f>VLOOKUP(C1004,Меню!A:E,4,0)</f>
        <v>Завтрак</v>
      </c>
      <c r="F1004">
        <f>VLOOKUP(C1004,Меню!A:E,5,0)</f>
        <v>200</v>
      </c>
    </row>
    <row r="1005" spans="1:6" ht="15.75" hidden="1" customHeight="1" x14ac:dyDescent="0.35">
      <c r="A1005" s="1">
        <v>1004</v>
      </c>
      <c r="B1005" s="1">
        <v>193</v>
      </c>
      <c r="C1005" s="1">
        <v>10</v>
      </c>
      <c r="D1005" t="str">
        <f>VLOOKUP(B1005,Заказы!A:C,3,0)</f>
        <v>2023-04-23 20:53:00</v>
      </c>
      <c r="E1005" t="str">
        <f>VLOOKUP(C1005,Меню!A:E,4,0)</f>
        <v>Завтрак</v>
      </c>
      <c r="F1005">
        <f>VLOOKUP(C1005,Меню!A:E,5,0)</f>
        <v>200</v>
      </c>
    </row>
    <row r="1006" spans="1:6" ht="15.75" hidden="1" customHeight="1" x14ac:dyDescent="0.35">
      <c r="A1006" s="1">
        <v>1005</v>
      </c>
      <c r="B1006" s="1">
        <v>193</v>
      </c>
      <c r="C1006" s="1">
        <v>51</v>
      </c>
      <c r="D1006" t="str">
        <f>VLOOKUP(B1006,Заказы!A:C,3,0)</f>
        <v>2023-04-23 20:53:00</v>
      </c>
      <c r="E1006" t="str">
        <f>VLOOKUP(C1006,Меню!A:E,4,0)</f>
        <v>Суши</v>
      </c>
      <c r="F1006">
        <f>VLOOKUP(C1006,Меню!A:E,5,0)</f>
        <v>100</v>
      </c>
    </row>
    <row r="1007" spans="1:6" ht="15.75" hidden="1" customHeight="1" x14ac:dyDescent="0.35">
      <c r="A1007" s="1">
        <v>1006</v>
      </c>
      <c r="B1007" s="1">
        <v>193</v>
      </c>
      <c r="C1007" s="1">
        <v>1</v>
      </c>
      <c r="D1007" t="str">
        <f>VLOOKUP(B1007,Заказы!A:C,3,0)</f>
        <v>2023-04-23 20:53:00</v>
      </c>
      <c r="E1007" t="str">
        <f>VLOOKUP(C1007,Меню!A:E,4,0)</f>
        <v>Завтрак</v>
      </c>
      <c r="F1007">
        <f>VLOOKUP(C1007,Меню!A:E,5,0)</f>
        <v>200</v>
      </c>
    </row>
    <row r="1008" spans="1:6" ht="15.75" hidden="1" customHeight="1" x14ac:dyDescent="0.35">
      <c r="A1008" s="1">
        <v>1007</v>
      </c>
      <c r="B1008" s="1">
        <v>193</v>
      </c>
      <c r="C1008" s="1">
        <v>55</v>
      </c>
      <c r="D1008" t="str">
        <f>VLOOKUP(B1008,Заказы!A:C,3,0)</f>
        <v>2023-04-23 20:53:00</v>
      </c>
      <c r="E1008" t="str">
        <f>VLOOKUP(C1008,Меню!A:E,4,0)</f>
        <v>Суши</v>
      </c>
      <c r="F1008">
        <f>VLOOKUP(C1008,Меню!A:E,5,0)</f>
        <v>100</v>
      </c>
    </row>
    <row r="1009" spans="1:6" ht="15.75" hidden="1" customHeight="1" x14ac:dyDescent="0.35">
      <c r="A1009" s="1">
        <v>1008</v>
      </c>
      <c r="B1009" s="1">
        <v>193</v>
      </c>
      <c r="C1009" s="1">
        <v>14</v>
      </c>
      <c r="D1009" t="str">
        <f>VLOOKUP(B1009,Заказы!A:C,3,0)</f>
        <v>2023-04-23 20:53:00</v>
      </c>
      <c r="E1009" t="str">
        <f>VLOOKUP(C1009,Меню!A:E,4,0)</f>
        <v>Первое</v>
      </c>
      <c r="F1009">
        <f>VLOOKUP(C1009,Меню!A:E,5,0)</f>
        <v>350</v>
      </c>
    </row>
    <row r="1010" spans="1:6" ht="15.75" hidden="1" customHeight="1" x14ac:dyDescent="0.35">
      <c r="A1010" s="1">
        <v>1009</v>
      </c>
      <c r="B1010" s="1">
        <v>193</v>
      </c>
      <c r="C1010" s="1">
        <v>50</v>
      </c>
      <c r="D1010" t="str">
        <f>VLOOKUP(B1010,Заказы!A:C,3,0)</f>
        <v>2023-04-23 20:53:00</v>
      </c>
      <c r="E1010" t="str">
        <f>VLOOKUP(C1010,Меню!A:E,4,0)</f>
        <v>Суши</v>
      </c>
      <c r="F1010">
        <f>VLOOKUP(C1010,Меню!A:E,5,0)</f>
        <v>200</v>
      </c>
    </row>
    <row r="1011" spans="1:6" ht="15.75" hidden="1" customHeight="1" x14ac:dyDescent="0.35">
      <c r="A1011" s="1">
        <v>1010</v>
      </c>
      <c r="B1011" s="1">
        <v>193</v>
      </c>
      <c r="C1011" s="1">
        <v>51</v>
      </c>
      <c r="D1011" t="str">
        <f>VLOOKUP(B1011,Заказы!A:C,3,0)</f>
        <v>2023-04-23 20:53:00</v>
      </c>
      <c r="E1011" t="str">
        <f>VLOOKUP(C1011,Меню!A:E,4,0)</f>
        <v>Суши</v>
      </c>
      <c r="F1011">
        <f>VLOOKUP(C1011,Меню!A:E,5,0)</f>
        <v>100</v>
      </c>
    </row>
    <row r="1012" spans="1:6" ht="15.75" hidden="1" customHeight="1" x14ac:dyDescent="0.35">
      <c r="A1012" s="1">
        <v>1011</v>
      </c>
      <c r="B1012" s="1">
        <v>194</v>
      </c>
      <c r="C1012" s="1">
        <v>31</v>
      </c>
      <c r="D1012" t="str">
        <f>VLOOKUP(B1012,Заказы!A:C,3,0)</f>
        <v>2023-04-23 21:04:00</v>
      </c>
      <c r="E1012" t="str">
        <f>VLOOKUP(C1012,Меню!A:E,4,0)</f>
        <v>Десерт</v>
      </c>
      <c r="F1012">
        <f>VLOOKUP(C1012,Меню!A:E,5,0)</f>
        <v>150</v>
      </c>
    </row>
    <row r="1013" spans="1:6" ht="15.75" hidden="1" customHeight="1" x14ac:dyDescent="0.35">
      <c r="A1013" s="1">
        <v>1012</v>
      </c>
      <c r="B1013" s="1">
        <v>194</v>
      </c>
      <c r="C1013" s="1">
        <v>40</v>
      </c>
      <c r="D1013" t="str">
        <f>VLOOKUP(B1013,Заказы!A:C,3,0)</f>
        <v>2023-04-23 21:04:00</v>
      </c>
      <c r="E1013" t="str">
        <f>VLOOKUP(C1013,Меню!A:E,4,0)</f>
        <v>Десерт</v>
      </c>
      <c r="F1013">
        <f>VLOOKUP(C1013,Меню!A:E,5,0)</f>
        <v>150</v>
      </c>
    </row>
    <row r="1014" spans="1:6" ht="15.75" hidden="1" customHeight="1" x14ac:dyDescent="0.35">
      <c r="A1014" s="1">
        <v>1013</v>
      </c>
      <c r="B1014" s="1">
        <v>194</v>
      </c>
      <c r="C1014" s="1">
        <v>45</v>
      </c>
      <c r="D1014" t="str">
        <f>VLOOKUP(B1014,Заказы!A:C,3,0)</f>
        <v>2023-04-23 21:04:00</v>
      </c>
      <c r="E1014" t="str">
        <f>VLOOKUP(C1014,Меню!A:E,4,0)</f>
        <v>Суши</v>
      </c>
      <c r="F1014">
        <f>VLOOKUP(C1014,Меню!A:E,5,0)</f>
        <v>200</v>
      </c>
    </row>
    <row r="1015" spans="1:6" ht="15.75" hidden="1" customHeight="1" x14ac:dyDescent="0.35">
      <c r="A1015" s="1">
        <v>1014</v>
      </c>
      <c r="B1015" s="1">
        <v>194</v>
      </c>
      <c r="C1015" s="1">
        <v>60</v>
      </c>
      <c r="D1015" t="str">
        <f>VLOOKUP(B1015,Заказы!A:C,3,0)</f>
        <v>2023-04-23 21:04:00</v>
      </c>
      <c r="E1015" t="str">
        <f>VLOOKUP(C1015,Меню!A:E,4,0)</f>
        <v>Суши</v>
      </c>
      <c r="F1015">
        <f>VLOOKUP(C1015,Меню!A:E,5,0)</f>
        <v>250</v>
      </c>
    </row>
    <row r="1016" spans="1:6" ht="15.75" hidden="1" customHeight="1" x14ac:dyDescent="0.35">
      <c r="A1016" s="1">
        <v>1015</v>
      </c>
      <c r="B1016" s="1">
        <v>194</v>
      </c>
      <c r="C1016" s="1">
        <v>28</v>
      </c>
      <c r="D1016" t="str">
        <f>VLOOKUP(B1016,Заказы!A:C,3,0)</f>
        <v>2023-04-23 21:04:00</v>
      </c>
      <c r="E1016" t="str">
        <f>VLOOKUP(C1016,Меню!A:E,4,0)</f>
        <v>Салат</v>
      </c>
      <c r="F1016">
        <f>VLOOKUP(C1016,Меню!A:E,5,0)</f>
        <v>250</v>
      </c>
    </row>
    <row r="1017" spans="1:6" ht="15.75" hidden="1" customHeight="1" x14ac:dyDescent="0.35">
      <c r="A1017" s="1">
        <v>1016</v>
      </c>
      <c r="B1017" s="1">
        <v>194</v>
      </c>
      <c r="C1017" s="1">
        <v>32</v>
      </c>
      <c r="D1017" t="str">
        <f>VLOOKUP(B1017,Заказы!A:C,3,0)</f>
        <v>2023-04-23 21:04:00</v>
      </c>
      <c r="E1017" t="str">
        <f>VLOOKUP(C1017,Меню!A:E,4,0)</f>
        <v>Десерт</v>
      </c>
      <c r="F1017">
        <f>VLOOKUP(C1017,Меню!A:E,5,0)</f>
        <v>150</v>
      </c>
    </row>
    <row r="1018" spans="1:6" ht="15.75" hidden="1" customHeight="1" x14ac:dyDescent="0.35">
      <c r="A1018" s="1">
        <v>1017</v>
      </c>
      <c r="B1018" s="1">
        <v>195</v>
      </c>
      <c r="C1018" s="1">
        <v>25</v>
      </c>
      <c r="D1018" t="str">
        <f>VLOOKUP(B1018,Заказы!A:C,3,0)</f>
        <v>2023-04-24 15:08:00</v>
      </c>
      <c r="E1018" t="str">
        <f>VLOOKUP(C1018,Меню!A:E,4,0)</f>
        <v>Салат</v>
      </c>
      <c r="F1018">
        <f>VLOOKUP(C1018,Меню!A:E,5,0)</f>
        <v>250</v>
      </c>
    </row>
    <row r="1019" spans="1:6" ht="15.75" hidden="1" customHeight="1" x14ac:dyDescent="0.35">
      <c r="A1019" s="1">
        <v>1018</v>
      </c>
      <c r="B1019" s="1">
        <v>195</v>
      </c>
      <c r="C1019" s="1">
        <v>32</v>
      </c>
      <c r="D1019" t="str">
        <f>VLOOKUP(B1019,Заказы!A:C,3,0)</f>
        <v>2023-04-24 15:08:00</v>
      </c>
      <c r="E1019" t="str">
        <f>VLOOKUP(C1019,Меню!A:E,4,0)</f>
        <v>Десерт</v>
      </c>
      <c r="F1019">
        <f>VLOOKUP(C1019,Меню!A:E,5,0)</f>
        <v>150</v>
      </c>
    </row>
    <row r="1020" spans="1:6" ht="15.75" hidden="1" customHeight="1" x14ac:dyDescent="0.35">
      <c r="A1020" s="1">
        <v>1019</v>
      </c>
      <c r="B1020" s="1">
        <v>195</v>
      </c>
      <c r="C1020" s="1">
        <v>26</v>
      </c>
      <c r="D1020" t="str">
        <f>VLOOKUP(B1020,Заказы!A:C,3,0)</f>
        <v>2023-04-24 15:08:00</v>
      </c>
      <c r="E1020" t="str">
        <f>VLOOKUP(C1020,Меню!A:E,4,0)</f>
        <v>Салат</v>
      </c>
      <c r="F1020">
        <f>VLOOKUP(C1020,Меню!A:E,5,0)</f>
        <v>250</v>
      </c>
    </row>
    <row r="1021" spans="1:6" ht="15.75" hidden="1" customHeight="1" x14ac:dyDescent="0.35">
      <c r="A1021" s="1">
        <v>1020</v>
      </c>
      <c r="B1021" s="1">
        <v>195</v>
      </c>
      <c r="C1021" s="1">
        <v>16</v>
      </c>
      <c r="D1021" t="str">
        <f>VLOOKUP(B1021,Заказы!A:C,3,0)</f>
        <v>2023-04-24 15:08:00</v>
      </c>
      <c r="E1021" t="str">
        <f>VLOOKUP(C1021,Меню!A:E,4,0)</f>
        <v>Первое</v>
      </c>
      <c r="F1021">
        <f>VLOOKUP(C1021,Меню!A:E,5,0)</f>
        <v>250</v>
      </c>
    </row>
    <row r="1022" spans="1:6" ht="15.75" hidden="1" customHeight="1" x14ac:dyDescent="0.35">
      <c r="A1022" s="1">
        <v>1021</v>
      </c>
      <c r="B1022" s="1">
        <v>195</v>
      </c>
      <c r="C1022" s="1">
        <v>9</v>
      </c>
      <c r="D1022" t="str">
        <f>VLOOKUP(B1022,Заказы!A:C,3,0)</f>
        <v>2023-04-24 15:08:00</v>
      </c>
      <c r="E1022" t="str">
        <f>VLOOKUP(C1022,Меню!A:E,4,0)</f>
        <v>Завтрак</v>
      </c>
      <c r="F1022">
        <f>VLOOKUP(C1022,Меню!A:E,5,0)</f>
        <v>220</v>
      </c>
    </row>
    <row r="1023" spans="1:6" ht="15.75" hidden="1" customHeight="1" x14ac:dyDescent="0.35">
      <c r="A1023" s="1">
        <v>1022</v>
      </c>
      <c r="B1023" s="1">
        <v>195</v>
      </c>
      <c r="C1023" s="1">
        <v>41</v>
      </c>
      <c r="D1023" t="str">
        <f>VLOOKUP(B1023,Заказы!A:C,3,0)</f>
        <v>2023-04-24 15:08:00</v>
      </c>
      <c r="E1023" t="str">
        <f>VLOOKUP(C1023,Меню!A:E,4,0)</f>
        <v>Суши</v>
      </c>
      <c r="F1023">
        <f>VLOOKUP(C1023,Меню!A:E,5,0)</f>
        <v>220</v>
      </c>
    </row>
    <row r="1024" spans="1:6" ht="15.75" hidden="1" customHeight="1" x14ac:dyDescent="0.35">
      <c r="A1024" s="1">
        <v>1023</v>
      </c>
      <c r="B1024" s="1">
        <v>196</v>
      </c>
      <c r="C1024" s="1">
        <v>46</v>
      </c>
      <c r="D1024" t="str">
        <f>VLOOKUP(B1024,Заказы!A:C,3,0)</f>
        <v>2023-04-24 18:29:00</v>
      </c>
      <c r="E1024" t="str">
        <f>VLOOKUP(C1024,Меню!A:E,4,0)</f>
        <v>Суши</v>
      </c>
      <c r="F1024">
        <f>VLOOKUP(C1024,Меню!A:E,5,0)</f>
        <v>200</v>
      </c>
    </row>
    <row r="1025" spans="1:6" ht="15.75" hidden="1" customHeight="1" x14ac:dyDescent="0.35">
      <c r="A1025" s="1">
        <v>1024</v>
      </c>
      <c r="B1025" s="1">
        <v>196</v>
      </c>
      <c r="C1025" s="1">
        <v>51</v>
      </c>
      <c r="D1025" t="str">
        <f>VLOOKUP(B1025,Заказы!A:C,3,0)</f>
        <v>2023-04-24 18:29:00</v>
      </c>
      <c r="E1025" t="str">
        <f>VLOOKUP(C1025,Меню!A:E,4,0)</f>
        <v>Суши</v>
      </c>
      <c r="F1025">
        <f>VLOOKUP(C1025,Меню!A:E,5,0)</f>
        <v>100</v>
      </c>
    </row>
    <row r="1026" spans="1:6" ht="15.75" hidden="1" customHeight="1" x14ac:dyDescent="0.35">
      <c r="A1026" s="1">
        <v>1025</v>
      </c>
      <c r="B1026" s="1">
        <v>196</v>
      </c>
      <c r="C1026" s="1">
        <v>60</v>
      </c>
      <c r="D1026" t="str">
        <f>VLOOKUP(B1026,Заказы!A:C,3,0)</f>
        <v>2023-04-24 18:29:00</v>
      </c>
      <c r="E1026" t="str">
        <f>VLOOKUP(C1026,Меню!A:E,4,0)</f>
        <v>Суши</v>
      </c>
      <c r="F1026">
        <f>VLOOKUP(C1026,Меню!A:E,5,0)</f>
        <v>250</v>
      </c>
    </row>
    <row r="1027" spans="1:6" ht="15.75" hidden="1" customHeight="1" x14ac:dyDescent="0.35">
      <c r="A1027" s="1">
        <v>1026</v>
      </c>
      <c r="B1027" s="1">
        <v>196</v>
      </c>
      <c r="C1027" s="1">
        <v>18</v>
      </c>
      <c r="D1027" t="str">
        <f>VLOOKUP(B1027,Заказы!A:C,3,0)</f>
        <v>2023-04-24 18:29:00</v>
      </c>
      <c r="E1027" t="str">
        <f>VLOOKUP(C1027,Меню!A:E,4,0)</f>
        <v>Первое</v>
      </c>
      <c r="F1027">
        <f>VLOOKUP(C1027,Меню!A:E,5,0)</f>
        <v>300</v>
      </c>
    </row>
    <row r="1028" spans="1:6" ht="15.75" hidden="1" customHeight="1" x14ac:dyDescent="0.35">
      <c r="A1028" s="1">
        <v>1027</v>
      </c>
      <c r="B1028" s="1">
        <v>196</v>
      </c>
      <c r="C1028" s="1">
        <v>53</v>
      </c>
      <c r="D1028" t="str">
        <f>VLOOKUP(B1028,Заказы!A:C,3,0)</f>
        <v>2023-04-24 18:29:00</v>
      </c>
      <c r="E1028" t="str">
        <f>VLOOKUP(C1028,Меню!A:E,4,0)</f>
        <v>Суши</v>
      </c>
      <c r="F1028">
        <f>VLOOKUP(C1028,Меню!A:E,5,0)</f>
        <v>100</v>
      </c>
    </row>
    <row r="1029" spans="1:6" ht="15.75" hidden="1" customHeight="1" x14ac:dyDescent="0.35">
      <c r="A1029" s="1">
        <v>1028</v>
      </c>
      <c r="B1029" s="1">
        <v>196</v>
      </c>
      <c r="C1029" s="1">
        <v>8</v>
      </c>
      <c r="D1029" t="str">
        <f>VLOOKUP(B1029,Заказы!A:C,3,0)</f>
        <v>2023-04-24 18:29:00</v>
      </c>
      <c r="E1029" t="str">
        <f>VLOOKUP(C1029,Меню!A:E,4,0)</f>
        <v>Завтрак</v>
      </c>
      <c r="F1029">
        <f>VLOOKUP(C1029,Меню!A:E,5,0)</f>
        <v>180</v>
      </c>
    </row>
    <row r="1030" spans="1:6" ht="15.75" hidden="1" customHeight="1" x14ac:dyDescent="0.35">
      <c r="A1030" s="1">
        <v>1029</v>
      </c>
      <c r="B1030" s="1">
        <v>196</v>
      </c>
      <c r="C1030" s="1">
        <v>51</v>
      </c>
      <c r="D1030" t="str">
        <f>VLOOKUP(B1030,Заказы!A:C,3,0)</f>
        <v>2023-04-24 18:29:00</v>
      </c>
      <c r="E1030" t="str">
        <f>VLOOKUP(C1030,Меню!A:E,4,0)</f>
        <v>Суши</v>
      </c>
      <c r="F1030">
        <f>VLOOKUP(C1030,Меню!A:E,5,0)</f>
        <v>100</v>
      </c>
    </row>
    <row r="1031" spans="1:6" ht="15.75" hidden="1" customHeight="1" x14ac:dyDescent="0.35">
      <c r="A1031" s="1">
        <v>1030</v>
      </c>
      <c r="B1031" s="1">
        <v>196</v>
      </c>
      <c r="C1031" s="1">
        <v>33</v>
      </c>
      <c r="D1031" t="str">
        <f>VLOOKUP(B1031,Заказы!A:C,3,0)</f>
        <v>2023-04-24 18:29:00</v>
      </c>
      <c r="E1031" t="str">
        <f>VLOOKUP(C1031,Меню!A:E,4,0)</f>
        <v>Десерт</v>
      </c>
      <c r="F1031">
        <f>VLOOKUP(C1031,Меню!A:E,5,0)</f>
        <v>150</v>
      </c>
    </row>
    <row r="1032" spans="1:6" ht="15.75" hidden="1" customHeight="1" x14ac:dyDescent="0.35">
      <c r="A1032" s="1">
        <v>1031</v>
      </c>
      <c r="B1032" s="1">
        <v>197</v>
      </c>
      <c r="C1032" s="1">
        <v>25</v>
      </c>
      <c r="D1032" t="str">
        <f>VLOOKUP(B1032,Заказы!A:C,3,0)</f>
        <v>2023-04-24 20:48:00</v>
      </c>
      <c r="E1032" t="str">
        <f>VLOOKUP(C1032,Меню!A:E,4,0)</f>
        <v>Салат</v>
      </c>
      <c r="F1032">
        <f>VLOOKUP(C1032,Меню!A:E,5,0)</f>
        <v>250</v>
      </c>
    </row>
    <row r="1033" spans="1:6" ht="15.75" hidden="1" customHeight="1" x14ac:dyDescent="0.35">
      <c r="A1033" s="1">
        <v>1032</v>
      </c>
      <c r="B1033" s="1">
        <v>197</v>
      </c>
      <c r="C1033" s="1">
        <v>8</v>
      </c>
      <c r="D1033" t="str">
        <f>VLOOKUP(B1033,Заказы!A:C,3,0)</f>
        <v>2023-04-24 20:48:00</v>
      </c>
      <c r="E1033" t="str">
        <f>VLOOKUP(C1033,Меню!A:E,4,0)</f>
        <v>Завтрак</v>
      </c>
      <c r="F1033">
        <f>VLOOKUP(C1033,Меню!A:E,5,0)</f>
        <v>180</v>
      </c>
    </row>
    <row r="1034" spans="1:6" ht="15.75" hidden="1" customHeight="1" x14ac:dyDescent="0.35">
      <c r="A1034" s="1">
        <v>1033</v>
      </c>
      <c r="B1034" s="1">
        <v>198</v>
      </c>
      <c r="C1034" s="1">
        <v>54</v>
      </c>
      <c r="D1034" t="str">
        <f>VLOOKUP(B1034,Заказы!A:C,3,0)</f>
        <v>2023-04-24 21:19:00</v>
      </c>
      <c r="E1034" t="str">
        <f>VLOOKUP(C1034,Меню!A:E,4,0)</f>
        <v>Суши</v>
      </c>
      <c r="F1034">
        <f>VLOOKUP(C1034,Меню!A:E,5,0)</f>
        <v>100</v>
      </c>
    </row>
    <row r="1035" spans="1:6" ht="15.75" hidden="1" customHeight="1" x14ac:dyDescent="0.35">
      <c r="A1035" s="1">
        <v>1034</v>
      </c>
      <c r="B1035" s="1">
        <v>198</v>
      </c>
      <c r="C1035" s="1">
        <v>57</v>
      </c>
      <c r="D1035" t="str">
        <f>VLOOKUP(B1035,Заказы!A:C,3,0)</f>
        <v>2023-04-24 21:19:00</v>
      </c>
      <c r="E1035" t="str">
        <f>VLOOKUP(C1035,Меню!A:E,4,0)</f>
        <v>Суши</v>
      </c>
      <c r="F1035">
        <f>VLOOKUP(C1035,Меню!A:E,5,0)</f>
        <v>200</v>
      </c>
    </row>
    <row r="1036" spans="1:6" ht="15.75" hidden="1" customHeight="1" x14ac:dyDescent="0.35">
      <c r="A1036" s="1">
        <v>1035</v>
      </c>
      <c r="B1036" s="1">
        <v>198</v>
      </c>
      <c r="C1036" s="1">
        <v>8</v>
      </c>
      <c r="D1036" t="str">
        <f>VLOOKUP(B1036,Заказы!A:C,3,0)</f>
        <v>2023-04-24 21:19:00</v>
      </c>
      <c r="E1036" t="str">
        <f>VLOOKUP(C1036,Меню!A:E,4,0)</f>
        <v>Завтрак</v>
      </c>
      <c r="F1036">
        <f>VLOOKUP(C1036,Меню!A:E,5,0)</f>
        <v>180</v>
      </c>
    </row>
    <row r="1037" spans="1:6" ht="15.75" hidden="1" customHeight="1" x14ac:dyDescent="0.35">
      <c r="A1037" s="1">
        <v>1036</v>
      </c>
      <c r="B1037" s="1">
        <v>198</v>
      </c>
      <c r="C1037" s="1">
        <v>1</v>
      </c>
      <c r="D1037" t="str">
        <f>VLOOKUP(B1037,Заказы!A:C,3,0)</f>
        <v>2023-04-24 21:19:00</v>
      </c>
      <c r="E1037" t="str">
        <f>VLOOKUP(C1037,Меню!A:E,4,0)</f>
        <v>Завтрак</v>
      </c>
      <c r="F1037">
        <f>VLOOKUP(C1037,Меню!A:E,5,0)</f>
        <v>200</v>
      </c>
    </row>
    <row r="1038" spans="1:6" ht="15.75" hidden="1" customHeight="1" x14ac:dyDescent="0.35">
      <c r="A1038" s="1">
        <v>1037</v>
      </c>
      <c r="B1038" s="1">
        <v>198</v>
      </c>
      <c r="C1038" s="1">
        <v>30</v>
      </c>
      <c r="D1038" t="str">
        <f>VLOOKUP(B1038,Заказы!A:C,3,0)</f>
        <v>2023-04-24 21:19:00</v>
      </c>
      <c r="E1038" t="str">
        <f>VLOOKUP(C1038,Меню!A:E,4,0)</f>
        <v>Салат</v>
      </c>
      <c r="F1038">
        <f>VLOOKUP(C1038,Меню!A:E,5,0)</f>
        <v>250</v>
      </c>
    </row>
    <row r="1039" spans="1:6" ht="15.75" hidden="1" customHeight="1" x14ac:dyDescent="0.35">
      <c r="A1039" s="1">
        <v>1038</v>
      </c>
      <c r="B1039" s="1">
        <v>198</v>
      </c>
      <c r="C1039" s="1">
        <v>42</v>
      </c>
      <c r="D1039" t="str">
        <f>VLOOKUP(B1039,Заказы!A:C,3,0)</f>
        <v>2023-04-24 21:19:00</v>
      </c>
      <c r="E1039" t="str">
        <f>VLOOKUP(C1039,Меню!A:E,4,0)</f>
        <v>Суши</v>
      </c>
      <c r="F1039">
        <f>VLOOKUP(C1039,Меню!A:E,5,0)</f>
        <v>250</v>
      </c>
    </row>
    <row r="1040" spans="1:6" ht="15.75" hidden="1" customHeight="1" x14ac:dyDescent="0.35">
      <c r="A1040" s="1">
        <v>1039</v>
      </c>
      <c r="B1040" s="1">
        <v>199</v>
      </c>
      <c r="C1040" s="1">
        <v>31</v>
      </c>
      <c r="D1040" t="str">
        <f>VLOOKUP(B1040,Заказы!A:C,3,0)</f>
        <v>2023-04-24 22:14:00</v>
      </c>
      <c r="E1040" t="str">
        <f>VLOOKUP(C1040,Меню!A:E,4,0)</f>
        <v>Десерт</v>
      </c>
      <c r="F1040">
        <f>VLOOKUP(C1040,Меню!A:E,5,0)</f>
        <v>150</v>
      </c>
    </row>
    <row r="1041" spans="1:6" ht="15.75" hidden="1" customHeight="1" x14ac:dyDescent="0.35">
      <c r="A1041" s="1">
        <v>1040</v>
      </c>
      <c r="B1041" s="1">
        <v>200</v>
      </c>
      <c r="C1041" s="1">
        <v>22</v>
      </c>
      <c r="D1041" t="str">
        <f>VLOOKUP(B1041,Заказы!A:C,3,0)</f>
        <v>2023-04-24 22:25:00</v>
      </c>
      <c r="E1041" t="str">
        <f>VLOOKUP(C1041,Меню!A:E,4,0)</f>
        <v>Салат</v>
      </c>
      <c r="F1041">
        <f>VLOOKUP(C1041,Меню!A:E,5,0)</f>
        <v>250</v>
      </c>
    </row>
    <row r="1042" spans="1:6" ht="15.75" hidden="1" customHeight="1" x14ac:dyDescent="0.35">
      <c r="A1042" s="1">
        <v>1041</v>
      </c>
      <c r="B1042" s="1">
        <v>200</v>
      </c>
      <c r="C1042" s="1">
        <v>10</v>
      </c>
      <c r="D1042" t="str">
        <f>VLOOKUP(B1042,Заказы!A:C,3,0)</f>
        <v>2023-04-24 22:25:00</v>
      </c>
      <c r="E1042" t="str">
        <f>VLOOKUP(C1042,Меню!A:E,4,0)</f>
        <v>Завтрак</v>
      </c>
      <c r="F1042">
        <f>VLOOKUP(C1042,Меню!A:E,5,0)</f>
        <v>200</v>
      </c>
    </row>
    <row r="1043" spans="1:6" ht="15.75" hidden="1" customHeight="1" x14ac:dyDescent="0.35">
      <c r="A1043" s="1">
        <v>1042</v>
      </c>
      <c r="B1043" s="1">
        <v>200</v>
      </c>
      <c r="C1043" s="1">
        <v>52</v>
      </c>
      <c r="D1043" t="str">
        <f>VLOOKUP(B1043,Заказы!A:C,3,0)</f>
        <v>2023-04-24 22:25:00</v>
      </c>
      <c r="E1043" t="str">
        <f>VLOOKUP(C1043,Меню!A:E,4,0)</f>
        <v>Суши</v>
      </c>
      <c r="F1043">
        <f>VLOOKUP(C1043,Меню!A:E,5,0)</f>
        <v>100</v>
      </c>
    </row>
    <row r="1044" spans="1:6" ht="15.75" hidden="1" customHeight="1" x14ac:dyDescent="0.35">
      <c r="A1044" s="1">
        <v>1043</v>
      </c>
      <c r="B1044" s="1">
        <v>200</v>
      </c>
      <c r="C1044" s="1">
        <v>36</v>
      </c>
      <c r="D1044" t="str">
        <f>VLOOKUP(B1044,Заказы!A:C,3,0)</f>
        <v>2023-04-24 22:25:00</v>
      </c>
      <c r="E1044" t="str">
        <f>VLOOKUP(C1044,Меню!A:E,4,0)</f>
        <v>Десерт</v>
      </c>
      <c r="F1044">
        <f>VLOOKUP(C1044,Меню!A:E,5,0)</f>
        <v>150</v>
      </c>
    </row>
    <row r="1045" spans="1:6" ht="15.75" hidden="1" customHeight="1" x14ac:dyDescent="0.35">
      <c r="A1045" s="1">
        <v>1044</v>
      </c>
      <c r="B1045" s="1">
        <v>200</v>
      </c>
      <c r="C1045" s="1">
        <v>54</v>
      </c>
      <c r="D1045" t="str">
        <f>VLOOKUP(B1045,Заказы!A:C,3,0)</f>
        <v>2023-04-24 22:25:00</v>
      </c>
      <c r="E1045" t="str">
        <f>VLOOKUP(C1045,Меню!A:E,4,0)</f>
        <v>Суши</v>
      </c>
      <c r="F1045">
        <f>VLOOKUP(C1045,Меню!A:E,5,0)</f>
        <v>100</v>
      </c>
    </row>
    <row r="1046" spans="1:6" ht="15.75" hidden="1" customHeight="1" x14ac:dyDescent="0.35">
      <c r="A1046" s="1">
        <v>1045</v>
      </c>
      <c r="B1046" s="1">
        <v>200</v>
      </c>
      <c r="C1046" s="1">
        <v>21</v>
      </c>
      <c r="D1046" t="str">
        <f>VLOOKUP(B1046,Заказы!A:C,3,0)</f>
        <v>2023-04-24 22:25:00</v>
      </c>
      <c r="E1046" t="str">
        <f>VLOOKUP(C1046,Меню!A:E,4,0)</f>
        <v>Салат</v>
      </c>
      <c r="F1046">
        <f>VLOOKUP(C1046,Меню!A:E,5,0)</f>
        <v>250</v>
      </c>
    </row>
    <row r="1047" spans="1:6" ht="15.75" hidden="1" customHeight="1" x14ac:dyDescent="0.35">
      <c r="A1047" s="1">
        <v>1046</v>
      </c>
      <c r="B1047" s="1">
        <v>200</v>
      </c>
      <c r="C1047" s="1">
        <v>26</v>
      </c>
      <c r="D1047" t="str">
        <f>VLOOKUP(B1047,Заказы!A:C,3,0)</f>
        <v>2023-04-24 22:25:00</v>
      </c>
      <c r="E1047" t="str">
        <f>VLOOKUP(C1047,Меню!A:E,4,0)</f>
        <v>Салат</v>
      </c>
      <c r="F1047">
        <f>VLOOKUP(C1047,Меню!A:E,5,0)</f>
        <v>250</v>
      </c>
    </row>
    <row r="1048" spans="1:6" ht="15.75" hidden="1" customHeight="1" x14ac:dyDescent="0.35">
      <c r="A1048" s="1">
        <v>1047</v>
      </c>
      <c r="B1048" s="1">
        <v>200</v>
      </c>
      <c r="C1048" s="1">
        <v>60</v>
      </c>
      <c r="D1048" t="str">
        <f>VLOOKUP(B1048,Заказы!A:C,3,0)</f>
        <v>2023-04-24 22:25:00</v>
      </c>
      <c r="E1048" t="str">
        <f>VLOOKUP(C1048,Меню!A:E,4,0)</f>
        <v>Суши</v>
      </c>
      <c r="F1048">
        <f>VLOOKUP(C1048,Меню!A:E,5,0)</f>
        <v>250</v>
      </c>
    </row>
    <row r="1049" spans="1:6" ht="15.75" hidden="1" customHeight="1" x14ac:dyDescent="0.35">
      <c r="A1049" s="1">
        <v>1048</v>
      </c>
      <c r="B1049" s="1">
        <v>200</v>
      </c>
      <c r="C1049" s="1">
        <v>2</v>
      </c>
      <c r="D1049" t="str">
        <f>VLOOKUP(B1049,Заказы!A:C,3,0)</f>
        <v>2023-04-24 22:25:00</v>
      </c>
      <c r="E1049" t="str">
        <f>VLOOKUP(C1049,Меню!A:E,4,0)</f>
        <v>Завтрак</v>
      </c>
      <c r="F1049">
        <f>VLOOKUP(C1049,Меню!A:E,5,0)</f>
        <v>250</v>
      </c>
    </row>
    <row r="1050" spans="1:6" ht="15.75" hidden="1" customHeight="1" x14ac:dyDescent="0.35">
      <c r="A1050" s="1">
        <v>1049</v>
      </c>
      <c r="B1050" s="1">
        <v>201</v>
      </c>
      <c r="C1050" s="1">
        <v>50</v>
      </c>
      <c r="D1050" t="str">
        <f>VLOOKUP(B1050,Заказы!A:C,3,0)</f>
        <v>2023-04-25 15:23:00</v>
      </c>
      <c r="E1050" t="str">
        <f>VLOOKUP(C1050,Меню!A:E,4,0)</f>
        <v>Суши</v>
      </c>
      <c r="F1050">
        <f>VLOOKUP(C1050,Меню!A:E,5,0)</f>
        <v>200</v>
      </c>
    </row>
    <row r="1051" spans="1:6" ht="15.75" hidden="1" customHeight="1" x14ac:dyDescent="0.35">
      <c r="A1051" s="1">
        <v>1050</v>
      </c>
      <c r="B1051" s="1">
        <v>202</v>
      </c>
      <c r="C1051" s="1">
        <v>51</v>
      </c>
      <c r="D1051" t="str">
        <f>VLOOKUP(B1051,Заказы!A:C,3,0)</f>
        <v>2023-04-25 15:54:00</v>
      </c>
      <c r="E1051" t="str">
        <f>VLOOKUP(C1051,Меню!A:E,4,0)</f>
        <v>Суши</v>
      </c>
      <c r="F1051">
        <f>VLOOKUP(C1051,Меню!A:E,5,0)</f>
        <v>100</v>
      </c>
    </row>
    <row r="1052" spans="1:6" ht="15.75" hidden="1" customHeight="1" x14ac:dyDescent="0.35">
      <c r="A1052" s="1">
        <v>1051</v>
      </c>
      <c r="B1052" s="1">
        <v>202</v>
      </c>
      <c r="C1052" s="1">
        <v>34</v>
      </c>
      <c r="D1052" t="str">
        <f>VLOOKUP(B1052,Заказы!A:C,3,0)</f>
        <v>2023-04-25 15:54:00</v>
      </c>
      <c r="E1052" t="str">
        <f>VLOOKUP(C1052,Меню!A:E,4,0)</f>
        <v>Десерт</v>
      </c>
      <c r="F1052">
        <f>VLOOKUP(C1052,Меню!A:E,5,0)</f>
        <v>150</v>
      </c>
    </row>
    <row r="1053" spans="1:6" ht="15.75" hidden="1" customHeight="1" x14ac:dyDescent="0.35">
      <c r="A1053" s="1">
        <v>1052</v>
      </c>
      <c r="B1053" s="1">
        <v>202</v>
      </c>
      <c r="C1053" s="1">
        <v>12</v>
      </c>
      <c r="D1053" t="str">
        <f>VLOOKUP(B1053,Заказы!A:C,3,0)</f>
        <v>2023-04-25 15:54:00</v>
      </c>
      <c r="E1053" t="str">
        <f>VLOOKUP(C1053,Меню!A:E,4,0)</f>
        <v>Первое</v>
      </c>
      <c r="F1053">
        <f>VLOOKUP(C1053,Меню!A:E,5,0)</f>
        <v>300</v>
      </c>
    </row>
    <row r="1054" spans="1:6" ht="15.75" hidden="1" customHeight="1" x14ac:dyDescent="0.35">
      <c r="A1054" s="1">
        <v>1053</v>
      </c>
      <c r="B1054" s="1">
        <v>203</v>
      </c>
      <c r="C1054" s="1">
        <v>28</v>
      </c>
      <c r="D1054" t="str">
        <f>VLOOKUP(B1054,Заказы!A:C,3,0)</f>
        <v>2023-04-25 17:56:00</v>
      </c>
      <c r="E1054" t="str">
        <f>VLOOKUP(C1054,Меню!A:E,4,0)</f>
        <v>Салат</v>
      </c>
      <c r="F1054">
        <f>VLOOKUP(C1054,Меню!A:E,5,0)</f>
        <v>250</v>
      </c>
    </row>
    <row r="1055" spans="1:6" ht="15.75" hidden="1" customHeight="1" x14ac:dyDescent="0.35">
      <c r="A1055" s="1">
        <v>1054</v>
      </c>
      <c r="B1055" s="1">
        <v>203</v>
      </c>
      <c r="C1055" s="1">
        <v>39</v>
      </c>
      <c r="D1055" t="str">
        <f>VLOOKUP(B1055,Заказы!A:C,3,0)</f>
        <v>2023-04-25 17:56:00</v>
      </c>
      <c r="E1055" t="str">
        <f>VLOOKUP(C1055,Меню!A:E,4,0)</f>
        <v>Десерт</v>
      </c>
      <c r="F1055">
        <f>VLOOKUP(C1055,Меню!A:E,5,0)</f>
        <v>150</v>
      </c>
    </row>
    <row r="1056" spans="1:6" ht="15.75" hidden="1" customHeight="1" x14ac:dyDescent="0.35">
      <c r="A1056" s="1">
        <v>1055</v>
      </c>
      <c r="B1056" s="1">
        <v>203</v>
      </c>
      <c r="C1056" s="1">
        <v>12</v>
      </c>
      <c r="D1056" t="str">
        <f>VLOOKUP(B1056,Заказы!A:C,3,0)</f>
        <v>2023-04-25 17:56:00</v>
      </c>
      <c r="E1056" t="str">
        <f>VLOOKUP(C1056,Меню!A:E,4,0)</f>
        <v>Первое</v>
      </c>
      <c r="F1056">
        <f>VLOOKUP(C1056,Меню!A:E,5,0)</f>
        <v>300</v>
      </c>
    </row>
    <row r="1057" spans="1:6" ht="15.75" hidden="1" customHeight="1" x14ac:dyDescent="0.35">
      <c r="A1057" s="1">
        <v>1056</v>
      </c>
      <c r="B1057" s="1">
        <v>203</v>
      </c>
      <c r="C1057" s="1">
        <v>51</v>
      </c>
      <c r="D1057" t="str">
        <f>VLOOKUP(B1057,Заказы!A:C,3,0)</f>
        <v>2023-04-25 17:56:00</v>
      </c>
      <c r="E1057" t="str">
        <f>VLOOKUP(C1057,Меню!A:E,4,0)</f>
        <v>Суши</v>
      </c>
      <c r="F1057">
        <f>VLOOKUP(C1057,Меню!A:E,5,0)</f>
        <v>100</v>
      </c>
    </row>
    <row r="1058" spans="1:6" ht="15.75" hidden="1" customHeight="1" x14ac:dyDescent="0.35">
      <c r="A1058" s="1">
        <v>1057</v>
      </c>
      <c r="B1058" s="1">
        <v>204</v>
      </c>
      <c r="C1058" s="1">
        <v>56</v>
      </c>
      <c r="D1058" t="str">
        <f>VLOOKUP(B1058,Заказы!A:C,3,0)</f>
        <v>2023-04-25 21:58:00</v>
      </c>
      <c r="E1058" t="str">
        <f>VLOOKUP(C1058,Меню!A:E,4,0)</f>
        <v>Суши</v>
      </c>
      <c r="F1058">
        <f>VLOOKUP(C1058,Меню!A:E,5,0)</f>
        <v>200</v>
      </c>
    </row>
    <row r="1059" spans="1:6" ht="15.75" hidden="1" customHeight="1" x14ac:dyDescent="0.35">
      <c r="A1059" s="1">
        <v>1058</v>
      </c>
      <c r="B1059" s="1">
        <v>204</v>
      </c>
      <c r="C1059" s="1">
        <v>11</v>
      </c>
      <c r="D1059" t="str">
        <f>VLOOKUP(B1059,Заказы!A:C,3,0)</f>
        <v>2023-04-25 21:58:00</v>
      </c>
      <c r="E1059" t="str">
        <f>VLOOKUP(C1059,Меню!A:E,4,0)</f>
        <v>Первое</v>
      </c>
      <c r="F1059">
        <f>VLOOKUP(C1059,Меню!A:E,5,0)</f>
        <v>300</v>
      </c>
    </row>
    <row r="1060" spans="1:6" ht="15.75" hidden="1" customHeight="1" x14ac:dyDescent="0.35">
      <c r="A1060" s="1">
        <v>1059</v>
      </c>
      <c r="B1060" s="1">
        <v>204</v>
      </c>
      <c r="C1060" s="1">
        <v>41</v>
      </c>
      <c r="D1060" t="str">
        <f>VLOOKUP(B1060,Заказы!A:C,3,0)</f>
        <v>2023-04-25 21:58:00</v>
      </c>
      <c r="E1060" t="str">
        <f>VLOOKUP(C1060,Меню!A:E,4,0)</f>
        <v>Суши</v>
      </c>
      <c r="F1060">
        <f>VLOOKUP(C1060,Меню!A:E,5,0)</f>
        <v>220</v>
      </c>
    </row>
    <row r="1061" spans="1:6" ht="15.75" hidden="1" customHeight="1" x14ac:dyDescent="0.35">
      <c r="A1061" s="1">
        <v>1060</v>
      </c>
      <c r="B1061" s="1">
        <v>204</v>
      </c>
      <c r="C1061" s="1">
        <v>32</v>
      </c>
      <c r="D1061" t="str">
        <f>VLOOKUP(B1061,Заказы!A:C,3,0)</f>
        <v>2023-04-25 21:58:00</v>
      </c>
      <c r="E1061" t="str">
        <f>VLOOKUP(C1061,Меню!A:E,4,0)</f>
        <v>Десерт</v>
      </c>
      <c r="F1061">
        <f>VLOOKUP(C1061,Меню!A:E,5,0)</f>
        <v>150</v>
      </c>
    </row>
    <row r="1062" spans="1:6" ht="15.75" hidden="1" customHeight="1" x14ac:dyDescent="0.35">
      <c r="A1062" s="1">
        <v>1061</v>
      </c>
      <c r="B1062" s="1">
        <v>204</v>
      </c>
      <c r="C1062" s="1">
        <v>39</v>
      </c>
      <c r="D1062" t="str">
        <f>VLOOKUP(B1062,Заказы!A:C,3,0)</f>
        <v>2023-04-25 21:58:00</v>
      </c>
      <c r="E1062" t="str">
        <f>VLOOKUP(C1062,Меню!A:E,4,0)</f>
        <v>Десерт</v>
      </c>
      <c r="F1062">
        <f>VLOOKUP(C1062,Меню!A:E,5,0)</f>
        <v>150</v>
      </c>
    </row>
    <row r="1063" spans="1:6" ht="15.75" hidden="1" customHeight="1" x14ac:dyDescent="0.35">
      <c r="A1063" s="1">
        <v>1062</v>
      </c>
      <c r="B1063" s="1">
        <v>204</v>
      </c>
      <c r="C1063" s="1">
        <v>21</v>
      </c>
      <c r="D1063" t="str">
        <f>VLOOKUP(B1063,Заказы!A:C,3,0)</f>
        <v>2023-04-25 21:58:00</v>
      </c>
      <c r="E1063" t="str">
        <f>VLOOKUP(C1063,Меню!A:E,4,0)</f>
        <v>Салат</v>
      </c>
      <c r="F1063">
        <f>VLOOKUP(C1063,Меню!A:E,5,0)</f>
        <v>250</v>
      </c>
    </row>
    <row r="1064" spans="1:6" ht="15.75" hidden="1" customHeight="1" x14ac:dyDescent="0.35">
      <c r="A1064" s="1">
        <v>1063</v>
      </c>
      <c r="B1064" s="1">
        <v>204</v>
      </c>
      <c r="C1064" s="1">
        <v>40</v>
      </c>
      <c r="D1064" t="str">
        <f>VLOOKUP(B1064,Заказы!A:C,3,0)</f>
        <v>2023-04-25 21:58:00</v>
      </c>
      <c r="E1064" t="str">
        <f>VLOOKUP(C1064,Меню!A:E,4,0)</f>
        <v>Десерт</v>
      </c>
      <c r="F1064">
        <f>VLOOKUP(C1064,Меню!A:E,5,0)</f>
        <v>150</v>
      </c>
    </row>
    <row r="1065" spans="1:6" ht="15.75" hidden="1" customHeight="1" x14ac:dyDescent="0.35">
      <c r="A1065" s="1">
        <v>1064</v>
      </c>
      <c r="B1065" s="1">
        <v>204</v>
      </c>
      <c r="C1065" s="1">
        <v>60</v>
      </c>
      <c r="D1065" t="str">
        <f>VLOOKUP(B1065,Заказы!A:C,3,0)</f>
        <v>2023-04-25 21:58:00</v>
      </c>
      <c r="E1065" t="str">
        <f>VLOOKUP(C1065,Меню!A:E,4,0)</f>
        <v>Суши</v>
      </c>
      <c r="F1065">
        <f>VLOOKUP(C1065,Меню!A:E,5,0)</f>
        <v>250</v>
      </c>
    </row>
    <row r="1066" spans="1:6" ht="15.75" hidden="1" customHeight="1" x14ac:dyDescent="0.35">
      <c r="A1066" s="1">
        <v>1065</v>
      </c>
      <c r="B1066" s="1">
        <v>204</v>
      </c>
      <c r="C1066" s="1">
        <v>26</v>
      </c>
      <c r="D1066" t="str">
        <f>VLOOKUP(B1066,Заказы!A:C,3,0)</f>
        <v>2023-04-25 21:58:00</v>
      </c>
      <c r="E1066" t="str">
        <f>VLOOKUP(C1066,Меню!A:E,4,0)</f>
        <v>Салат</v>
      </c>
      <c r="F1066">
        <f>VLOOKUP(C1066,Меню!A:E,5,0)</f>
        <v>250</v>
      </c>
    </row>
    <row r="1067" spans="1:6" ht="15.75" hidden="1" customHeight="1" x14ac:dyDescent="0.35">
      <c r="A1067" s="1">
        <v>1066</v>
      </c>
      <c r="B1067" s="1">
        <v>204</v>
      </c>
      <c r="C1067" s="1">
        <v>30</v>
      </c>
      <c r="D1067" t="str">
        <f>VLOOKUP(B1067,Заказы!A:C,3,0)</f>
        <v>2023-04-25 21:58:00</v>
      </c>
      <c r="E1067" t="str">
        <f>VLOOKUP(C1067,Меню!A:E,4,0)</f>
        <v>Салат</v>
      </c>
      <c r="F1067">
        <f>VLOOKUP(C1067,Меню!A:E,5,0)</f>
        <v>250</v>
      </c>
    </row>
    <row r="1068" spans="1:6" ht="15.75" hidden="1" customHeight="1" x14ac:dyDescent="0.35">
      <c r="A1068" s="1">
        <v>1067</v>
      </c>
      <c r="B1068" s="1">
        <v>205</v>
      </c>
      <c r="C1068" s="1">
        <v>30</v>
      </c>
      <c r="D1068" t="str">
        <f>VLOOKUP(B1068,Заказы!A:C,3,0)</f>
        <v>2023-04-26 15:59:00</v>
      </c>
      <c r="E1068" t="str">
        <f>VLOOKUP(C1068,Меню!A:E,4,0)</f>
        <v>Салат</v>
      </c>
      <c r="F1068">
        <f>VLOOKUP(C1068,Меню!A:E,5,0)</f>
        <v>250</v>
      </c>
    </row>
    <row r="1069" spans="1:6" ht="15.75" hidden="1" customHeight="1" x14ac:dyDescent="0.35">
      <c r="A1069" s="1">
        <v>1068</v>
      </c>
      <c r="B1069" s="1">
        <v>205</v>
      </c>
      <c r="C1069" s="1">
        <v>51</v>
      </c>
      <c r="D1069" t="str">
        <f>VLOOKUP(B1069,Заказы!A:C,3,0)</f>
        <v>2023-04-26 15:59:00</v>
      </c>
      <c r="E1069" t="str">
        <f>VLOOKUP(C1069,Меню!A:E,4,0)</f>
        <v>Суши</v>
      </c>
      <c r="F1069">
        <f>VLOOKUP(C1069,Меню!A:E,5,0)</f>
        <v>100</v>
      </c>
    </row>
    <row r="1070" spans="1:6" ht="15.75" hidden="1" customHeight="1" x14ac:dyDescent="0.35">
      <c r="A1070" s="1">
        <v>1069</v>
      </c>
      <c r="B1070" s="1">
        <v>205</v>
      </c>
      <c r="C1070" s="1">
        <v>10</v>
      </c>
      <c r="D1070" t="str">
        <f>VLOOKUP(B1070,Заказы!A:C,3,0)</f>
        <v>2023-04-26 15:59:00</v>
      </c>
      <c r="E1070" t="str">
        <f>VLOOKUP(C1070,Меню!A:E,4,0)</f>
        <v>Завтрак</v>
      </c>
      <c r="F1070">
        <f>VLOOKUP(C1070,Меню!A:E,5,0)</f>
        <v>200</v>
      </c>
    </row>
    <row r="1071" spans="1:6" ht="15.75" hidden="1" customHeight="1" x14ac:dyDescent="0.35">
      <c r="A1071" s="1">
        <v>1070</v>
      </c>
      <c r="B1071" s="1">
        <v>205</v>
      </c>
      <c r="C1071" s="1">
        <v>17</v>
      </c>
      <c r="D1071" t="str">
        <f>VLOOKUP(B1071,Заказы!A:C,3,0)</f>
        <v>2023-04-26 15:59:00</v>
      </c>
      <c r="E1071" t="str">
        <f>VLOOKUP(C1071,Меню!A:E,4,0)</f>
        <v>Первое</v>
      </c>
      <c r="F1071">
        <f>VLOOKUP(C1071,Меню!A:E,5,0)</f>
        <v>250</v>
      </c>
    </row>
    <row r="1072" spans="1:6" ht="15.75" hidden="1" customHeight="1" x14ac:dyDescent="0.35">
      <c r="A1072" s="1">
        <v>1071</v>
      </c>
      <c r="B1072" s="1">
        <v>206</v>
      </c>
      <c r="C1072" s="1">
        <v>31</v>
      </c>
      <c r="D1072" t="str">
        <f>VLOOKUP(B1072,Заказы!A:C,3,0)</f>
        <v>2023-04-26 16:26:00</v>
      </c>
      <c r="E1072" t="str">
        <f>VLOOKUP(C1072,Меню!A:E,4,0)</f>
        <v>Десерт</v>
      </c>
      <c r="F1072">
        <f>VLOOKUP(C1072,Меню!A:E,5,0)</f>
        <v>150</v>
      </c>
    </row>
    <row r="1073" spans="1:6" ht="15.75" hidden="1" customHeight="1" x14ac:dyDescent="0.35">
      <c r="A1073" s="1">
        <v>1072</v>
      </c>
      <c r="B1073" s="1">
        <v>206</v>
      </c>
      <c r="C1073" s="1">
        <v>6</v>
      </c>
      <c r="D1073" t="str">
        <f>VLOOKUP(B1073,Заказы!A:C,3,0)</f>
        <v>2023-04-26 16:26:00</v>
      </c>
      <c r="E1073" t="str">
        <f>VLOOKUP(C1073,Меню!A:E,4,0)</f>
        <v>Завтрак</v>
      </c>
      <c r="F1073">
        <f>VLOOKUP(C1073,Меню!A:E,5,0)</f>
        <v>300</v>
      </c>
    </row>
    <row r="1074" spans="1:6" ht="15.75" hidden="1" customHeight="1" x14ac:dyDescent="0.35">
      <c r="A1074" s="1">
        <v>1073</v>
      </c>
      <c r="B1074" s="1">
        <v>206</v>
      </c>
      <c r="C1074" s="1">
        <v>30</v>
      </c>
      <c r="D1074" t="str">
        <f>VLOOKUP(B1074,Заказы!A:C,3,0)</f>
        <v>2023-04-26 16:26:00</v>
      </c>
      <c r="E1074" t="str">
        <f>VLOOKUP(C1074,Меню!A:E,4,0)</f>
        <v>Салат</v>
      </c>
      <c r="F1074">
        <f>VLOOKUP(C1074,Меню!A:E,5,0)</f>
        <v>250</v>
      </c>
    </row>
    <row r="1075" spans="1:6" ht="15.75" hidden="1" customHeight="1" x14ac:dyDescent="0.35">
      <c r="A1075" s="1">
        <v>1074</v>
      </c>
      <c r="B1075" s="1">
        <v>206</v>
      </c>
      <c r="C1075" s="1">
        <v>50</v>
      </c>
      <c r="D1075" t="str">
        <f>VLOOKUP(B1075,Заказы!A:C,3,0)</f>
        <v>2023-04-26 16:26:00</v>
      </c>
      <c r="E1075" t="str">
        <f>VLOOKUP(C1075,Меню!A:E,4,0)</f>
        <v>Суши</v>
      </c>
      <c r="F1075">
        <f>VLOOKUP(C1075,Меню!A:E,5,0)</f>
        <v>200</v>
      </c>
    </row>
    <row r="1076" spans="1:6" ht="15.75" hidden="1" customHeight="1" x14ac:dyDescent="0.35">
      <c r="A1076" s="1">
        <v>1075</v>
      </c>
      <c r="B1076" s="1">
        <v>207</v>
      </c>
      <c r="C1076" s="1">
        <v>6</v>
      </c>
      <c r="D1076" t="str">
        <f>VLOOKUP(B1076,Заказы!A:C,3,0)</f>
        <v>2023-04-26 18:01:00</v>
      </c>
      <c r="E1076" t="str">
        <f>VLOOKUP(C1076,Меню!A:E,4,0)</f>
        <v>Завтрак</v>
      </c>
      <c r="F1076">
        <f>VLOOKUP(C1076,Меню!A:E,5,0)</f>
        <v>300</v>
      </c>
    </row>
    <row r="1077" spans="1:6" ht="15.75" hidden="1" customHeight="1" x14ac:dyDescent="0.35">
      <c r="A1077" s="1">
        <v>1076</v>
      </c>
      <c r="B1077" s="1">
        <v>207</v>
      </c>
      <c r="C1077" s="1">
        <v>12</v>
      </c>
      <c r="D1077" t="str">
        <f>VLOOKUP(B1077,Заказы!A:C,3,0)</f>
        <v>2023-04-26 18:01:00</v>
      </c>
      <c r="E1077" t="str">
        <f>VLOOKUP(C1077,Меню!A:E,4,0)</f>
        <v>Первое</v>
      </c>
      <c r="F1077">
        <f>VLOOKUP(C1077,Меню!A:E,5,0)</f>
        <v>300</v>
      </c>
    </row>
    <row r="1078" spans="1:6" ht="15.75" hidden="1" customHeight="1" x14ac:dyDescent="0.35">
      <c r="A1078" s="1">
        <v>1077</v>
      </c>
      <c r="B1078" s="1">
        <v>207</v>
      </c>
      <c r="C1078" s="1">
        <v>18</v>
      </c>
      <c r="D1078" t="str">
        <f>VLOOKUP(B1078,Заказы!A:C,3,0)</f>
        <v>2023-04-26 18:01:00</v>
      </c>
      <c r="E1078" t="str">
        <f>VLOOKUP(C1078,Меню!A:E,4,0)</f>
        <v>Первое</v>
      </c>
      <c r="F1078">
        <f>VLOOKUP(C1078,Меню!A:E,5,0)</f>
        <v>300</v>
      </c>
    </row>
    <row r="1079" spans="1:6" ht="15.75" hidden="1" customHeight="1" x14ac:dyDescent="0.35">
      <c r="A1079" s="1">
        <v>1078</v>
      </c>
      <c r="B1079" s="1">
        <v>207</v>
      </c>
      <c r="C1079" s="1">
        <v>55</v>
      </c>
      <c r="D1079" t="str">
        <f>VLOOKUP(B1079,Заказы!A:C,3,0)</f>
        <v>2023-04-26 18:01:00</v>
      </c>
      <c r="E1079" t="str">
        <f>VLOOKUP(C1079,Меню!A:E,4,0)</f>
        <v>Суши</v>
      </c>
      <c r="F1079">
        <f>VLOOKUP(C1079,Меню!A:E,5,0)</f>
        <v>100</v>
      </c>
    </row>
    <row r="1080" spans="1:6" ht="15.75" hidden="1" customHeight="1" x14ac:dyDescent="0.35">
      <c r="A1080" s="1">
        <v>1079</v>
      </c>
      <c r="B1080" s="1">
        <v>208</v>
      </c>
      <c r="C1080" s="1">
        <v>9</v>
      </c>
      <c r="D1080" t="str">
        <f>VLOOKUP(B1080,Заказы!A:C,3,0)</f>
        <v>2023-04-26 21:08:00</v>
      </c>
      <c r="E1080" t="str">
        <f>VLOOKUP(C1080,Меню!A:E,4,0)</f>
        <v>Завтрак</v>
      </c>
      <c r="F1080">
        <f>VLOOKUP(C1080,Меню!A:E,5,0)</f>
        <v>220</v>
      </c>
    </row>
    <row r="1081" spans="1:6" ht="15.75" hidden="1" customHeight="1" x14ac:dyDescent="0.35">
      <c r="A1081" s="1">
        <v>1080</v>
      </c>
      <c r="B1081" s="1">
        <v>209</v>
      </c>
      <c r="C1081" s="1">
        <v>20</v>
      </c>
      <c r="D1081" t="str">
        <f>VLOOKUP(B1081,Заказы!A:C,3,0)</f>
        <v>2023-04-27 17:56:00</v>
      </c>
      <c r="E1081" t="str">
        <f>VLOOKUP(C1081,Меню!A:E,4,0)</f>
        <v>Первое</v>
      </c>
      <c r="F1081">
        <f>VLOOKUP(C1081,Меню!A:E,5,0)</f>
        <v>250</v>
      </c>
    </row>
    <row r="1082" spans="1:6" ht="15.75" hidden="1" customHeight="1" x14ac:dyDescent="0.35">
      <c r="A1082" s="1">
        <v>1081</v>
      </c>
      <c r="B1082" s="1">
        <v>209</v>
      </c>
      <c r="C1082" s="1">
        <v>41</v>
      </c>
      <c r="D1082" t="str">
        <f>VLOOKUP(B1082,Заказы!A:C,3,0)</f>
        <v>2023-04-27 17:56:00</v>
      </c>
      <c r="E1082" t="str">
        <f>VLOOKUP(C1082,Меню!A:E,4,0)</f>
        <v>Суши</v>
      </c>
      <c r="F1082">
        <f>VLOOKUP(C1082,Меню!A:E,5,0)</f>
        <v>220</v>
      </c>
    </row>
    <row r="1083" spans="1:6" ht="15.75" hidden="1" customHeight="1" x14ac:dyDescent="0.35">
      <c r="A1083" s="1">
        <v>1082</v>
      </c>
      <c r="B1083" s="1">
        <v>209</v>
      </c>
      <c r="C1083" s="1">
        <v>7</v>
      </c>
      <c r="D1083" t="str">
        <f>VLOOKUP(B1083,Заказы!A:C,3,0)</f>
        <v>2023-04-27 17:56:00</v>
      </c>
      <c r="E1083" t="str">
        <f>VLOOKUP(C1083,Меню!A:E,4,0)</f>
        <v>Завтрак</v>
      </c>
      <c r="F1083">
        <f>VLOOKUP(C1083,Меню!A:E,5,0)</f>
        <v>200</v>
      </c>
    </row>
    <row r="1084" spans="1:6" ht="15.75" hidden="1" customHeight="1" x14ac:dyDescent="0.35">
      <c r="A1084" s="1">
        <v>1083</v>
      </c>
      <c r="B1084" s="1">
        <v>209</v>
      </c>
      <c r="C1084" s="1">
        <v>24</v>
      </c>
      <c r="D1084" t="str">
        <f>VLOOKUP(B1084,Заказы!A:C,3,0)</f>
        <v>2023-04-27 17:56:00</v>
      </c>
      <c r="E1084" t="str">
        <f>VLOOKUP(C1084,Меню!A:E,4,0)</f>
        <v>Салат</v>
      </c>
      <c r="F1084">
        <f>VLOOKUP(C1084,Меню!A:E,5,0)</f>
        <v>250</v>
      </c>
    </row>
    <row r="1085" spans="1:6" ht="15.75" hidden="1" customHeight="1" x14ac:dyDescent="0.35">
      <c r="A1085" s="1">
        <v>1084</v>
      </c>
      <c r="B1085" s="1">
        <v>209</v>
      </c>
      <c r="C1085" s="1">
        <v>52</v>
      </c>
      <c r="D1085" t="str">
        <f>VLOOKUP(B1085,Заказы!A:C,3,0)</f>
        <v>2023-04-27 17:56:00</v>
      </c>
      <c r="E1085" t="str">
        <f>VLOOKUP(C1085,Меню!A:E,4,0)</f>
        <v>Суши</v>
      </c>
      <c r="F1085">
        <f>VLOOKUP(C1085,Меню!A:E,5,0)</f>
        <v>100</v>
      </c>
    </row>
    <row r="1086" spans="1:6" ht="15.75" hidden="1" customHeight="1" x14ac:dyDescent="0.35">
      <c r="A1086" s="1">
        <v>1085</v>
      </c>
      <c r="B1086" s="1">
        <v>209</v>
      </c>
      <c r="C1086" s="1">
        <v>51</v>
      </c>
      <c r="D1086" t="str">
        <f>VLOOKUP(B1086,Заказы!A:C,3,0)</f>
        <v>2023-04-27 17:56:00</v>
      </c>
      <c r="E1086" t="str">
        <f>VLOOKUP(C1086,Меню!A:E,4,0)</f>
        <v>Суши</v>
      </c>
      <c r="F1086">
        <f>VLOOKUP(C1086,Меню!A:E,5,0)</f>
        <v>100</v>
      </c>
    </row>
    <row r="1087" spans="1:6" ht="15.75" hidden="1" customHeight="1" x14ac:dyDescent="0.35">
      <c r="A1087" s="1">
        <v>1086</v>
      </c>
      <c r="B1087" s="1">
        <v>209</v>
      </c>
      <c r="C1087" s="1">
        <v>22</v>
      </c>
      <c r="D1087" t="str">
        <f>VLOOKUP(B1087,Заказы!A:C,3,0)</f>
        <v>2023-04-27 17:56:00</v>
      </c>
      <c r="E1087" t="str">
        <f>VLOOKUP(C1087,Меню!A:E,4,0)</f>
        <v>Салат</v>
      </c>
      <c r="F1087">
        <f>VLOOKUP(C1087,Меню!A:E,5,0)</f>
        <v>250</v>
      </c>
    </row>
    <row r="1088" spans="1:6" ht="15.75" hidden="1" customHeight="1" x14ac:dyDescent="0.35">
      <c r="A1088" s="1">
        <v>1087</v>
      </c>
      <c r="B1088" s="1">
        <v>209</v>
      </c>
      <c r="C1088" s="1">
        <v>30</v>
      </c>
      <c r="D1088" t="str">
        <f>VLOOKUP(B1088,Заказы!A:C,3,0)</f>
        <v>2023-04-27 17:56:00</v>
      </c>
      <c r="E1088" t="str">
        <f>VLOOKUP(C1088,Меню!A:E,4,0)</f>
        <v>Салат</v>
      </c>
      <c r="F1088">
        <f>VLOOKUP(C1088,Меню!A:E,5,0)</f>
        <v>250</v>
      </c>
    </row>
    <row r="1089" spans="1:6" ht="15.75" hidden="1" customHeight="1" x14ac:dyDescent="0.35">
      <c r="A1089" s="1">
        <v>1088</v>
      </c>
      <c r="B1089" s="1">
        <v>210</v>
      </c>
      <c r="C1089" s="1">
        <v>23</v>
      </c>
      <c r="D1089" t="str">
        <f>VLOOKUP(B1089,Заказы!A:C,3,0)</f>
        <v>2023-04-27 18:54:00</v>
      </c>
      <c r="E1089" t="str">
        <f>VLOOKUP(C1089,Меню!A:E,4,0)</f>
        <v>Салат</v>
      </c>
      <c r="F1089">
        <f>VLOOKUP(C1089,Меню!A:E,5,0)</f>
        <v>250</v>
      </c>
    </row>
    <row r="1090" spans="1:6" ht="15.75" hidden="1" customHeight="1" x14ac:dyDescent="0.35">
      <c r="A1090" s="1">
        <v>1089</v>
      </c>
      <c r="B1090" s="1">
        <v>210</v>
      </c>
      <c r="C1090" s="1">
        <v>18</v>
      </c>
      <c r="D1090" t="str">
        <f>VLOOKUP(B1090,Заказы!A:C,3,0)</f>
        <v>2023-04-27 18:54:00</v>
      </c>
      <c r="E1090" t="str">
        <f>VLOOKUP(C1090,Меню!A:E,4,0)</f>
        <v>Первое</v>
      </c>
      <c r="F1090">
        <f>VLOOKUP(C1090,Меню!A:E,5,0)</f>
        <v>300</v>
      </c>
    </row>
    <row r="1091" spans="1:6" ht="15.75" hidden="1" customHeight="1" x14ac:dyDescent="0.35">
      <c r="A1091" s="1">
        <v>1090</v>
      </c>
      <c r="B1091" s="1">
        <v>210</v>
      </c>
      <c r="C1091" s="1">
        <v>44</v>
      </c>
      <c r="D1091" t="str">
        <f>VLOOKUP(B1091,Заказы!A:C,3,0)</f>
        <v>2023-04-27 18:54:00</v>
      </c>
      <c r="E1091" t="str">
        <f>VLOOKUP(C1091,Меню!A:E,4,0)</f>
        <v>Суши</v>
      </c>
      <c r="F1091">
        <f>VLOOKUP(C1091,Меню!A:E,5,0)</f>
        <v>250</v>
      </c>
    </row>
    <row r="1092" spans="1:6" ht="15.75" hidden="1" customHeight="1" x14ac:dyDescent="0.35">
      <c r="A1092" s="1">
        <v>1091</v>
      </c>
      <c r="B1092" s="1">
        <v>210</v>
      </c>
      <c r="C1092" s="1">
        <v>35</v>
      </c>
      <c r="D1092" t="str">
        <f>VLOOKUP(B1092,Заказы!A:C,3,0)</f>
        <v>2023-04-27 18:54:00</v>
      </c>
      <c r="E1092" t="str">
        <f>VLOOKUP(C1092,Меню!A:E,4,0)</f>
        <v>Десерт</v>
      </c>
      <c r="F1092">
        <f>VLOOKUP(C1092,Меню!A:E,5,0)</f>
        <v>150</v>
      </c>
    </row>
    <row r="1093" spans="1:6" ht="15.75" hidden="1" customHeight="1" x14ac:dyDescent="0.35">
      <c r="A1093" s="1">
        <v>1092</v>
      </c>
      <c r="B1093" s="1">
        <v>210</v>
      </c>
      <c r="C1093" s="1">
        <v>22</v>
      </c>
      <c r="D1093" t="str">
        <f>VLOOKUP(B1093,Заказы!A:C,3,0)</f>
        <v>2023-04-27 18:54:00</v>
      </c>
      <c r="E1093" t="str">
        <f>VLOOKUP(C1093,Меню!A:E,4,0)</f>
        <v>Салат</v>
      </c>
      <c r="F1093">
        <f>VLOOKUP(C1093,Меню!A:E,5,0)</f>
        <v>250</v>
      </c>
    </row>
    <row r="1094" spans="1:6" ht="15.75" hidden="1" customHeight="1" x14ac:dyDescent="0.35">
      <c r="A1094" s="1">
        <v>1093</v>
      </c>
      <c r="B1094" s="1">
        <v>211</v>
      </c>
      <c r="C1094" s="1">
        <v>7</v>
      </c>
      <c r="D1094" t="str">
        <f>VLOOKUP(B1094,Заказы!A:C,3,0)</f>
        <v>2023-04-27 22:16:00</v>
      </c>
      <c r="E1094" t="str">
        <f>VLOOKUP(C1094,Меню!A:E,4,0)</f>
        <v>Завтрак</v>
      </c>
      <c r="F1094">
        <f>VLOOKUP(C1094,Меню!A:E,5,0)</f>
        <v>200</v>
      </c>
    </row>
    <row r="1095" spans="1:6" ht="15.75" hidden="1" customHeight="1" x14ac:dyDescent="0.35">
      <c r="A1095" s="1">
        <v>1094</v>
      </c>
      <c r="B1095" s="1">
        <v>211</v>
      </c>
      <c r="C1095" s="1">
        <v>41</v>
      </c>
      <c r="D1095" t="str">
        <f>VLOOKUP(B1095,Заказы!A:C,3,0)</f>
        <v>2023-04-27 22:16:00</v>
      </c>
      <c r="E1095" t="str">
        <f>VLOOKUP(C1095,Меню!A:E,4,0)</f>
        <v>Суши</v>
      </c>
      <c r="F1095">
        <f>VLOOKUP(C1095,Меню!A:E,5,0)</f>
        <v>220</v>
      </c>
    </row>
    <row r="1096" spans="1:6" ht="15.75" hidden="1" customHeight="1" x14ac:dyDescent="0.35">
      <c r="A1096" s="1">
        <v>1095</v>
      </c>
      <c r="B1096" s="1">
        <v>211</v>
      </c>
      <c r="C1096" s="1">
        <v>47</v>
      </c>
      <c r="D1096" t="str">
        <f>VLOOKUP(B1096,Заказы!A:C,3,0)</f>
        <v>2023-04-27 22:16:00</v>
      </c>
      <c r="E1096" t="str">
        <f>VLOOKUP(C1096,Меню!A:E,4,0)</f>
        <v>Суши</v>
      </c>
      <c r="F1096">
        <f>VLOOKUP(C1096,Меню!A:E,5,0)</f>
        <v>200</v>
      </c>
    </row>
    <row r="1097" spans="1:6" ht="15.75" hidden="1" customHeight="1" x14ac:dyDescent="0.35">
      <c r="A1097" s="1">
        <v>1096</v>
      </c>
      <c r="B1097" s="1">
        <v>211</v>
      </c>
      <c r="C1097" s="1">
        <v>17</v>
      </c>
      <c r="D1097" t="str">
        <f>VLOOKUP(B1097,Заказы!A:C,3,0)</f>
        <v>2023-04-27 22:16:00</v>
      </c>
      <c r="E1097" t="str">
        <f>VLOOKUP(C1097,Меню!A:E,4,0)</f>
        <v>Первое</v>
      </c>
      <c r="F1097">
        <f>VLOOKUP(C1097,Меню!A:E,5,0)</f>
        <v>250</v>
      </c>
    </row>
    <row r="1098" spans="1:6" ht="15.75" hidden="1" customHeight="1" x14ac:dyDescent="0.35">
      <c r="A1098" s="1">
        <v>1097</v>
      </c>
      <c r="B1098" s="1">
        <v>211</v>
      </c>
      <c r="C1098" s="1">
        <v>50</v>
      </c>
      <c r="D1098" t="str">
        <f>VLOOKUP(B1098,Заказы!A:C,3,0)</f>
        <v>2023-04-27 22:16:00</v>
      </c>
      <c r="E1098" t="str">
        <f>VLOOKUP(C1098,Меню!A:E,4,0)</f>
        <v>Суши</v>
      </c>
      <c r="F1098">
        <f>VLOOKUP(C1098,Меню!A:E,5,0)</f>
        <v>200</v>
      </c>
    </row>
    <row r="1099" spans="1:6" ht="15.75" hidden="1" customHeight="1" x14ac:dyDescent="0.35">
      <c r="A1099" s="1">
        <v>1098</v>
      </c>
      <c r="B1099" s="1">
        <v>211</v>
      </c>
      <c r="C1099" s="1">
        <v>51</v>
      </c>
      <c r="D1099" t="str">
        <f>VLOOKUP(B1099,Заказы!A:C,3,0)</f>
        <v>2023-04-27 22:16:00</v>
      </c>
      <c r="E1099" t="str">
        <f>VLOOKUP(C1099,Меню!A:E,4,0)</f>
        <v>Суши</v>
      </c>
      <c r="F1099">
        <f>VLOOKUP(C1099,Меню!A:E,5,0)</f>
        <v>100</v>
      </c>
    </row>
    <row r="1100" spans="1:6" ht="15.75" hidden="1" customHeight="1" x14ac:dyDescent="0.35">
      <c r="A1100" s="1">
        <v>1099</v>
      </c>
      <c r="B1100" s="1">
        <v>211</v>
      </c>
      <c r="C1100" s="1">
        <v>8</v>
      </c>
      <c r="D1100" t="str">
        <f>VLOOKUP(B1100,Заказы!A:C,3,0)</f>
        <v>2023-04-27 22:16:00</v>
      </c>
      <c r="E1100" t="str">
        <f>VLOOKUP(C1100,Меню!A:E,4,0)</f>
        <v>Завтрак</v>
      </c>
      <c r="F1100">
        <f>VLOOKUP(C1100,Меню!A:E,5,0)</f>
        <v>180</v>
      </c>
    </row>
    <row r="1101" spans="1:6" ht="15.75" hidden="1" customHeight="1" x14ac:dyDescent="0.35">
      <c r="A1101" s="1">
        <v>1100</v>
      </c>
      <c r="B1101" s="1">
        <v>212</v>
      </c>
      <c r="C1101" s="1">
        <v>43</v>
      </c>
      <c r="D1101" t="str">
        <f>VLOOKUP(B1101,Заказы!A:C,3,0)</f>
        <v>2023-04-28 15:38:00</v>
      </c>
      <c r="E1101" t="str">
        <f>VLOOKUP(C1101,Меню!A:E,4,0)</f>
        <v>Суши</v>
      </c>
      <c r="F1101">
        <f>VLOOKUP(C1101,Меню!A:E,5,0)</f>
        <v>250</v>
      </c>
    </row>
    <row r="1102" spans="1:6" ht="15.75" hidden="1" customHeight="1" x14ac:dyDescent="0.35">
      <c r="A1102" s="1">
        <v>1101</v>
      </c>
      <c r="B1102" s="1">
        <v>212</v>
      </c>
      <c r="C1102" s="1">
        <v>53</v>
      </c>
      <c r="D1102" t="str">
        <f>VLOOKUP(B1102,Заказы!A:C,3,0)</f>
        <v>2023-04-28 15:38:00</v>
      </c>
      <c r="E1102" t="str">
        <f>VLOOKUP(C1102,Меню!A:E,4,0)</f>
        <v>Суши</v>
      </c>
      <c r="F1102">
        <f>VLOOKUP(C1102,Меню!A:E,5,0)</f>
        <v>100</v>
      </c>
    </row>
    <row r="1103" spans="1:6" ht="15.75" hidden="1" customHeight="1" x14ac:dyDescent="0.35">
      <c r="A1103" s="1">
        <v>1102</v>
      </c>
      <c r="B1103" s="1">
        <v>212</v>
      </c>
      <c r="C1103" s="1">
        <v>37</v>
      </c>
      <c r="D1103" t="str">
        <f>VLOOKUP(B1103,Заказы!A:C,3,0)</f>
        <v>2023-04-28 15:38:00</v>
      </c>
      <c r="E1103" t="str">
        <f>VLOOKUP(C1103,Меню!A:E,4,0)</f>
        <v>Десерт</v>
      </c>
      <c r="F1103">
        <f>VLOOKUP(C1103,Меню!A:E,5,0)</f>
        <v>100</v>
      </c>
    </row>
    <row r="1104" spans="1:6" ht="15.75" hidden="1" customHeight="1" x14ac:dyDescent="0.35">
      <c r="A1104" s="1">
        <v>1103</v>
      </c>
      <c r="B1104" s="1">
        <v>212</v>
      </c>
      <c r="C1104" s="1">
        <v>5</v>
      </c>
      <c r="D1104" t="str">
        <f>VLOOKUP(B1104,Заказы!A:C,3,0)</f>
        <v>2023-04-28 15:38:00</v>
      </c>
      <c r="E1104" t="str">
        <f>VLOOKUP(C1104,Меню!A:E,4,0)</f>
        <v>Завтрак</v>
      </c>
      <c r="F1104">
        <f>VLOOKUP(C1104,Меню!A:E,5,0)</f>
        <v>220</v>
      </c>
    </row>
    <row r="1105" spans="1:6" ht="15.75" hidden="1" customHeight="1" x14ac:dyDescent="0.35">
      <c r="A1105" s="1">
        <v>1104</v>
      </c>
      <c r="B1105" s="1">
        <v>212</v>
      </c>
      <c r="C1105" s="1">
        <v>43</v>
      </c>
      <c r="D1105" t="str">
        <f>VLOOKUP(B1105,Заказы!A:C,3,0)</f>
        <v>2023-04-28 15:38:00</v>
      </c>
      <c r="E1105" t="str">
        <f>VLOOKUP(C1105,Меню!A:E,4,0)</f>
        <v>Суши</v>
      </c>
      <c r="F1105">
        <f>VLOOKUP(C1105,Меню!A:E,5,0)</f>
        <v>250</v>
      </c>
    </row>
    <row r="1106" spans="1:6" ht="15.75" hidden="1" customHeight="1" x14ac:dyDescent="0.35">
      <c r="A1106" s="1">
        <v>1105</v>
      </c>
      <c r="B1106" s="1">
        <v>213</v>
      </c>
      <c r="C1106" s="1">
        <v>36</v>
      </c>
      <c r="D1106" t="str">
        <f>VLOOKUP(B1106,Заказы!A:C,3,0)</f>
        <v>2023-04-28 15:59:00</v>
      </c>
      <c r="E1106" t="str">
        <f>VLOOKUP(C1106,Меню!A:E,4,0)</f>
        <v>Десерт</v>
      </c>
      <c r="F1106">
        <f>VLOOKUP(C1106,Меню!A:E,5,0)</f>
        <v>150</v>
      </c>
    </row>
    <row r="1107" spans="1:6" ht="15.75" hidden="1" customHeight="1" x14ac:dyDescent="0.35">
      <c r="A1107" s="1">
        <v>1106</v>
      </c>
      <c r="B1107" s="1">
        <v>213</v>
      </c>
      <c r="C1107" s="1">
        <v>16</v>
      </c>
      <c r="D1107" t="str">
        <f>VLOOKUP(B1107,Заказы!A:C,3,0)</f>
        <v>2023-04-28 15:59:00</v>
      </c>
      <c r="E1107" t="str">
        <f>VLOOKUP(C1107,Меню!A:E,4,0)</f>
        <v>Первое</v>
      </c>
      <c r="F1107">
        <f>VLOOKUP(C1107,Меню!A:E,5,0)</f>
        <v>250</v>
      </c>
    </row>
    <row r="1108" spans="1:6" ht="15.75" hidden="1" customHeight="1" x14ac:dyDescent="0.35">
      <c r="A1108" s="1">
        <v>1107</v>
      </c>
      <c r="B1108" s="1">
        <v>213</v>
      </c>
      <c r="C1108" s="1">
        <v>18</v>
      </c>
      <c r="D1108" t="str">
        <f>VLOOKUP(B1108,Заказы!A:C,3,0)</f>
        <v>2023-04-28 15:59:00</v>
      </c>
      <c r="E1108" t="str">
        <f>VLOOKUP(C1108,Меню!A:E,4,0)</f>
        <v>Первое</v>
      </c>
      <c r="F1108">
        <f>VLOOKUP(C1108,Меню!A:E,5,0)</f>
        <v>300</v>
      </c>
    </row>
    <row r="1109" spans="1:6" ht="15.75" hidden="1" customHeight="1" x14ac:dyDescent="0.35">
      <c r="A1109" s="1">
        <v>1108</v>
      </c>
      <c r="B1109" s="1">
        <v>213</v>
      </c>
      <c r="C1109" s="1">
        <v>49</v>
      </c>
      <c r="D1109" t="str">
        <f>VLOOKUP(B1109,Заказы!A:C,3,0)</f>
        <v>2023-04-28 15:59:00</v>
      </c>
      <c r="E1109" t="str">
        <f>VLOOKUP(C1109,Меню!A:E,4,0)</f>
        <v>Суши</v>
      </c>
      <c r="F1109">
        <f>VLOOKUP(C1109,Меню!A:E,5,0)</f>
        <v>200</v>
      </c>
    </row>
    <row r="1110" spans="1:6" ht="15.75" hidden="1" customHeight="1" x14ac:dyDescent="0.35">
      <c r="A1110" s="1">
        <v>1109</v>
      </c>
      <c r="B1110" s="1">
        <v>213</v>
      </c>
      <c r="C1110" s="1">
        <v>40</v>
      </c>
      <c r="D1110" t="str">
        <f>VLOOKUP(B1110,Заказы!A:C,3,0)</f>
        <v>2023-04-28 15:59:00</v>
      </c>
      <c r="E1110" t="str">
        <f>VLOOKUP(C1110,Меню!A:E,4,0)</f>
        <v>Десерт</v>
      </c>
      <c r="F1110">
        <f>VLOOKUP(C1110,Меню!A:E,5,0)</f>
        <v>150</v>
      </c>
    </row>
    <row r="1111" spans="1:6" ht="15.75" hidden="1" customHeight="1" x14ac:dyDescent="0.35">
      <c r="A1111" s="1">
        <v>1110</v>
      </c>
      <c r="B1111" s="1">
        <v>214</v>
      </c>
      <c r="C1111" s="1">
        <v>27</v>
      </c>
      <c r="D1111" t="str">
        <f>VLOOKUP(B1111,Заказы!A:C,3,0)</f>
        <v>2023-04-28 16:37:00</v>
      </c>
      <c r="E1111" t="str">
        <f>VLOOKUP(C1111,Меню!A:E,4,0)</f>
        <v>Салат</v>
      </c>
      <c r="F1111">
        <f>VLOOKUP(C1111,Меню!A:E,5,0)</f>
        <v>250</v>
      </c>
    </row>
    <row r="1112" spans="1:6" ht="15.75" hidden="1" customHeight="1" x14ac:dyDescent="0.35">
      <c r="A1112" s="1">
        <v>1111</v>
      </c>
      <c r="B1112" s="1">
        <v>214</v>
      </c>
      <c r="C1112" s="1">
        <v>42</v>
      </c>
      <c r="D1112" t="str">
        <f>VLOOKUP(B1112,Заказы!A:C,3,0)</f>
        <v>2023-04-28 16:37:00</v>
      </c>
      <c r="E1112" t="str">
        <f>VLOOKUP(C1112,Меню!A:E,4,0)</f>
        <v>Суши</v>
      </c>
      <c r="F1112">
        <f>VLOOKUP(C1112,Меню!A:E,5,0)</f>
        <v>250</v>
      </c>
    </row>
    <row r="1113" spans="1:6" ht="15.75" hidden="1" customHeight="1" x14ac:dyDescent="0.35">
      <c r="A1113" s="1">
        <v>1112</v>
      </c>
      <c r="B1113" s="1">
        <v>214</v>
      </c>
      <c r="C1113" s="1">
        <v>22</v>
      </c>
      <c r="D1113" t="str">
        <f>VLOOKUP(B1113,Заказы!A:C,3,0)</f>
        <v>2023-04-28 16:37:00</v>
      </c>
      <c r="E1113" t="str">
        <f>VLOOKUP(C1113,Меню!A:E,4,0)</f>
        <v>Салат</v>
      </c>
      <c r="F1113">
        <f>VLOOKUP(C1113,Меню!A:E,5,0)</f>
        <v>250</v>
      </c>
    </row>
    <row r="1114" spans="1:6" ht="15.75" hidden="1" customHeight="1" x14ac:dyDescent="0.35">
      <c r="A1114" s="1">
        <v>1113</v>
      </c>
      <c r="B1114" s="1">
        <v>214</v>
      </c>
      <c r="C1114" s="1">
        <v>58</v>
      </c>
      <c r="D1114" t="str">
        <f>VLOOKUP(B1114,Заказы!A:C,3,0)</f>
        <v>2023-04-28 16:37:00</v>
      </c>
      <c r="E1114" t="str">
        <f>VLOOKUP(C1114,Меню!A:E,4,0)</f>
        <v>Суши</v>
      </c>
      <c r="F1114">
        <f>VLOOKUP(C1114,Меню!A:E,5,0)</f>
        <v>200</v>
      </c>
    </row>
    <row r="1115" spans="1:6" ht="15.75" hidden="1" customHeight="1" x14ac:dyDescent="0.35">
      <c r="A1115" s="1">
        <v>1114</v>
      </c>
      <c r="B1115" s="1">
        <v>214</v>
      </c>
      <c r="C1115" s="1">
        <v>14</v>
      </c>
      <c r="D1115" t="str">
        <f>VLOOKUP(B1115,Заказы!A:C,3,0)</f>
        <v>2023-04-28 16:37:00</v>
      </c>
      <c r="E1115" t="str">
        <f>VLOOKUP(C1115,Меню!A:E,4,0)</f>
        <v>Первое</v>
      </c>
      <c r="F1115">
        <f>VLOOKUP(C1115,Меню!A:E,5,0)</f>
        <v>350</v>
      </c>
    </row>
    <row r="1116" spans="1:6" ht="15.75" hidden="1" customHeight="1" x14ac:dyDescent="0.35">
      <c r="A1116" s="1">
        <v>1115</v>
      </c>
      <c r="B1116" s="1">
        <v>215</v>
      </c>
      <c r="C1116" s="1">
        <v>15</v>
      </c>
      <c r="D1116" t="str">
        <f>VLOOKUP(B1116,Заказы!A:C,3,0)</f>
        <v>2023-04-28 20:17:00</v>
      </c>
      <c r="E1116" t="str">
        <f>VLOOKUP(C1116,Меню!A:E,4,0)</f>
        <v>Первое</v>
      </c>
      <c r="F1116">
        <f>VLOOKUP(C1116,Меню!A:E,5,0)</f>
        <v>250</v>
      </c>
    </row>
    <row r="1117" spans="1:6" ht="15.75" hidden="1" customHeight="1" x14ac:dyDescent="0.35">
      <c r="A1117" s="1">
        <v>1116</v>
      </c>
      <c r="B1117" s="1">
        <v>215</v>
      </c>
      <c r="C1117" s="1">
        <v>33</v>
      </c>
      <c r="D1117" t="str">
        <f>VLOOKUP(B1117,Заказы!A:C,3,0)</f>
        <v>2023-04-28 20:17:00</v>
      </c>
      <c r="E1117" t="str">
        <f>VLOOKUP(C1117,Меню!A:E,4,0)</f>
        <v>Десерт</v>
      </c>
      <c r="F1117">
        <f>VLOOKUP(C1117,Меню!A:E,5,0)</f>
        <v>150</v>
      </c>
    </row>
    <row r="1118" spans="1:6" ht="15.75" hidden="1" customHeight="1" x14ac:dyDescent="0.35">
      <c r="A1118" s="1">
        <v>1117</v>
      </c>
      <c r="B1118" s="1">
        <v>215</v>
      </c>
      <c r="C1118" s="1">
        <v>54</v>
      </c>
      <c r="D1118" t="str">
        <f>VLOOKUP(B1118,Заказы!A:C,3,0)</f>
        <v>2023-04-28 20:17:00</v>
      </c>
      <c r="E1118" t="str">
        <f>VLOOKUP(C1118,Меню!A:E,4,0)</f>
        <v>Суши</v>
      </c>
      <c r="F1118">
        <f>VLOOKUP(C1118,Меню!A:E,5,0)</f>
        <v>100</v>
      </c>
    </row>
    <row r="1119" spans="1:6" ht="15.75" hidden="1" customHeight="1" x14ac:dyDescent="0.35">
      <c r="A1119" s="1">
        <v>1118</v>
      </c>
      <c r="B1119" s="1">
        <v>215</v>
      </c>
      <c r="C1119" s="1">
        <v>4</v>
      </c>
      <c r="D1119" t="str">
        <f>VLOOKUP(B1119,Заказы!A:C,3,0)</f>
        <v>2023-04-28 20:17:00</v>
      </c>
      <c r="E1119" t="str">
        <f>VLOOKUP(C1119,Меню!A:E,4,0)</f>
        <v>Завтрак</v>
      </c>
      <c r="F1119">
        <f>VLOOKUP(C1119,Меню!A:E,5,0)</f>
        <v>180</v>
      </c>
    </row>
    <row r="1120" spans="1:6" ht="15.75" hidden="1" customHeight="1" x14ac:dyDescent="0.35">
      <c r="A1120" s="1">
        <v>1119</v>
      </c>
      <c r="B1120" s="1">
        <v>215</v>
      </c>
      <c r="C1120" s="1">
        <v>6</v>
      </c>
      <c r="D1120" t="str">
        <f>VLOOKUP(B1120,Заказы!A:C,3,0)</f>
        <v>2023-04-28 20:17:00</v>
      </c>
      <c r="E1120" t="str">
        <f>VLOOKUP(C1120,Меню!A:E,4,0)</f>
        <v>Завтрак</v>
      </c>
      <c r="F1120">
        <f>VLOOKUP(C1120,Меню!A:E,5,0)</f>
        <v>300</v>
      </c>
    </row>
    <row r="1121" spans="1:6" ht="15.75" hidden="1" customHeight="1" x14ac:dyDescent="0.35">
      <c r="A1121" s="1">
        <v>1120</v>
      </c>
      <c r="B1121" s="1">
        <v>215</v>
      </c>
      <c r="C1121" s="1">
        <v>9</v>
      </c>
      <c r="D1121" t="str">
        <f>VLOOKUP(B1121,Заказы!A:C,3,0)</f>
        <v>2023-04-28 20:17:00</v>
      </c>
      <c r="E1121" t="str">
        <f>VLOOKUP(C1121,Меню!A:E,4,0)</f>
        <v>Завтрак</v>
      </c>
      <c r="F1121">
        <f>VLOOKUP(C1121,Меню!A:E,5,0)</f>
        <v>220</v>
      </c>
    </row>
    <row r="1122" spans="1:6" ht="15.75" hidden="1" customHeight="1" x14ac:dyDescent="0.35">
      <c r="A1122" s="1">
        <v>1121</v>
      </c>
      <c r="B1122" s="1">
        <v>215</v>
      </c>
      <c r="C1122" s="1">
        <v>33</v>
      </c>
      <c r="D1122" t="str">
        <f>VLOOKUP(B1122,Заказы!A:C,3,0)</f>
        <v>2023-04-28 20:17:00</v>
      </c>
      <c r="E1122" t="str">
        <f>VLOOKUP(C1122,Меню!A:E,4,0)</f>
        <v>Десерт</v>
      </c>
      <c r="F1122">
        <f>VLOOKUP(C1122,Меню!A:E,5,0)</f>
        <v>150</v>
      </c>
    </row>
    <row r="1123" spans="1:6" ht="15.75" hidden="1" customHeight="1" x14ac:dyDescent="0.35">
      <c r="A1123" s="1">
        <v>1122</v>
      </c>
      <c r="B1123" s="1">
        <v>215</v>
      </c>
      <c r="C1123" s="1">
        <v>31</v>
      </c>
      <c r="D1123" t="str">
        <f>VLOOKUP(B1123,Заказы!A:C,3,0)</f>
        <v>2023-04-28 20:17:00</v>
      </c>
      <c r="E1123" t="str">
        <f>VLOOKUP(C1123,Меню!A:E,4,0)</f>
        <v>Десерт</v>
      </c>
      <c r="F1123">
        <f>VLOOKUP(C1123,Меню!A:E,5,0)</f>
        <v>150</v>
      </c>
    </row>
    <row r="1124" spans="1:6" ht="15.75" hidden="1" customHeight="1" x14ac:dyDescent="0.35">
      <c r="A1124" s="1">
        <v>1123</v>
      </c>
      <c r="B1124" s="1">
        <v>216</v>
      </c>
      <c r="C1124" s="1">
        <v>17</v>
      </c>
      <c r="D1124" t="str">
        <f>VLOOKUP(B1124,Заказы!A:C,3,0)</f>
        <v>2023-04-29 15:54:00</v>
      </c>
      <c r="E1124" t="str">
        <f>VLOOKUP(C1124,Меню!A:E,4,0)</f>
        <v>Первое</v>
      </c>
      <c r="F1124">
        <f>VLOOKUP(C1124,Меню!A:E,5,0)</f>
        <v>250</v>
      </c>
    </row>
    <row r="1125" spans="1:6" ht="15.75" hidden="1" customHeight="1" x14ac:dyDescent="0.35">
      <c r="A1125" s="1">
        <v>1124</v>
      </c>
      <c r="B1125" s="1">
        <v>216</v>
      </c>
      <c r="C1125" s="1">
        <v>41</v>
      </c>
      <c r="D1125" t="str">
        <f>VLOOKUP(B1125,Заказы!A:C,3,0)</f>
        <v>2023-04-29 15:54:00</v>
      </c>
      <c r="E1125" t="str">
        <f>VLOOKUP(C1125,Меню!A:E,4,0)</f>
        <v>Суши</v>
      </c>
      <c r="F1125">
        <f>VLOOKUP(C1125,Меню!A:E,5,0)</f>
        <v>220</v>
      </c>
    </row>
    <row r="1126" spans="1:6" ht="15.75" hidden="1" customHeight="1" x14ac:dyDescent="0.35">
      <c r="A1126" s="1">
        <v>1125</v>
      </c>
      <c r="B1126" s="1">
        <v>216</v>
      </c>
      <c r="C1126" s="1">
        <v>30</v>
      </c>
      <c r="D1126" t="str">
        <f>VLOOKUP(B1126,Заказы!A:C,3,0)</f>
        <v>2023-04-29 15:54:00</v>
      </c>
      <c r="E1126" t="str">
        <f>VLOOKUP(C1126,Меню!A:E,4,0)</f>
        <v>Салат</v>
      </c>
      <c r="F1126">
        <f>VLOOKUP(C1126,Меню!A:E,5,0)</f>
        <v>250</v>
      </c>
    </row>
    <row r="1127" spans="1:6" ht="15.75" hidden="1" customHeight="1" x14ac:dyDescent="0.35">
      <c r="A1127" s="1">
        <v>1126</v>
      </c>
      <c r="B1127" s="1">
        <v>216</v>
      </c>
      <c r="C1127" s="1">
        <v>4</v>
      </c>
      <c r="D1127" t="str">
        <f>VLOOKUP(B1127,Заказы!A:C,3,0)</f>
        <v>2023-04-29 15:54:00</v>
      </c>
      <c r="E1127" t="str">
        <f>VLOOKUP(C1127,Меню!A:E,4,0)</f>
        <v>Завтрак</v>
      </c>
      <c r="F1127">
        <f>VLOOKUP(C1127,Меню!A:E,5,0)</f>
        <v>180</v>
      </c>
    </row>
    <row r="1128" spans="1:6" ht="15.75" hidden="1" customHeight="1" x14ac:dyDescent="0.35">
      <c r="A1128" s="1">
        <v>1127</v>
      </c>
      <c r="B1128" s="1">
        <v>217</v>
      </c>
      <c r="C1128" s="1">
        <v>5</v>
      </c>
      <c r="D1128" t="str">
        <f>VLOOKUP(B1128,Заказы!A:C,3,0)</f>
        <v>2023-04-29 19:56:00</v>
      </c>
      <c r="E1128" t="str">
        <f>VLOOKUP(C1128,Меню!A:E,4,0)</f>
        <v>Завтрак</v>
      </c>
      <c r="F1128">
        <f>VLOOKUP(C1128,Меню!A:E,5,0)</f>
        <v>220</v>
      </c>
    </row>
    <row r="1129" spans="1:6" ht="15.75" hidden="1" customHeight="1" x14ac:dyDescent="0.35">
      <c r="A1129" s="1">
        <v>1128</v>
      </c>
      <c r="B1129" s="1">
        <v>217</v>
      </c>
      <c r="C1129" s="1">
        <v>14</v>
      </c>
      <c r="D1129" t="str">
        <f>VLOOKUP(B1129,Заказы!A:C,3,0)</f>
        <v>2023-04-29 19:56:00</v>
      </c>
      <c r="E1129" t="str">
        <f>VLOOKUP(C1129,Меню!A:E,4,0)</f>
        <v>Первое</v>
      </c>
      <c r="F1129">
        <f>VLOOKUP(C1129,Меню!A:E,5,0)</f>
        <v>350</v>
      </c>
    </row>
    <row r="1130" spans="1:6" ht="15.75" hidden="1" customHeight="1" x14ac:dyDescent="0.35">
      <c r="A1130" s="1">
        <v>1129</v>
      </c>
      <c r="B1130" s="1">
        <v>217</v>
      </c>
      <c r="C1130" s="1">
        <v>42</v>
      </c>
      <c r="D1130" t="str">
        <f>VLOOKUP(B1130,Заказы!A:C,3,0)</f>
        <v>2023-04-29 19:56:00</v>
      </c>
      <c r="E1130" t="str">
        <f>VLOOKUP(C1130,Меню!A:E,4,0)</f>
        <v>Суши</v>
      </c>
      <c r="F1130">
        <f>VLOOKUP(C1130,Меню!A:E,5,0)</f>
        <v>250</v>
      </c>
    </row>
    <row r="1131" spans="1:6" ht="15.75" hidden="1" customHeight="1" x14ac:dyDescent="0.35">
      <c r="A1131" s="1">
        <v>1130</v>
      </c>
      <c r="B1131" s="1">
        <v>217</v>
      </c>
      <c r="C1131" s="1">
        <v>20</v>
      </c>
      <c r="D1131" t="str">
        <f>VLOOKUP(B1131,Заказы!A:C,3,0)</f>
        <v>2023-04-29 19:56:00</v>
      </c>
      <c r="E1131" t="str">
        <f>VLOOKUP(C1131,Меню!A:E,4,0)</f>
        <v>Первое</v>
      </c>
      <c r="F1131">
        <f>VLOOKUP(C1131,Меню!A:E,5,0)</f>
        <v>250</v>
      </c>
    </row>
    <row r="1132" spans="1:6" ht="15.75" hidden="1" customHeight="1" x14ac:dyDescent="0.35">
      <c r="A1132" s="1">
        <v>1131</v>
      </c>
      <c r="B1132" s="1">
        <v>217</v>
      </c>
      <c r="C1132" s="1">
        <v>27</v>
      </c>
      <c r="D1132" t="str">
        <f>VLOOKUP(B1132,Заказы!A:C,3,0)</f>
        <v>2023-04-29 19:56:00</v>
      </c>
      <c r="E1132" t="str">
        <f>VLOOKUP(C1132,Меню!A:E,4,0)</f>
        <v>Салат</v>
      </c>
      <c r="F1132">
        <f>VLOOKUP(C1132,Меню!A:E,5,0)</f>
        <v>250</v>
      </c>
    </row>
    <row r="1133" spans="1:6" ht="15.75" hidden="1" customHeight="1" x14ac:dyDescent="0.35">
      <c r="A1133" s="1">
        <v>1132</v>
      </c>
      <c r="B1133" s="1">
        <v>217</v>
      </c>
      <c r="C1133" s="1">
        <v>46</v>
      </c>
      <c r="D1133" t="str">
        <f>VLOOKUP(B1133,Заказы!A:C,3,0)</f>
        <v>2023-04-29 19:56:00</v>
      </c>
      <c r="E1133" t="str">
        <f>VLOOKUP(C1133,Меню!A:E,4,0)</f>
        <v>Суши</v>
      </c>
      <c r="F1133">
        <f>VLOOKUP(C1133,Меню!A:E,5,0)</f>
        <v>200</v>
      </c>
    </row>
    <row r="1134" spans="1:6" ht="15.75" hidden="1" customHeight="1" x14ac:dyDescent="0.35">
      <c r="A1134" s="1">
        <v>1133</v>
      </c>
      <c r="B1134" s="1">
        <v>218</v>
      </c>
      <c r="C1134" s="1">
        <v>40</v>
      </c>
      <c r="D1134" t="str">
        <f>VLOOKUP(B1134,Заказы!A:C,3,0)</f>
        <v>2023-04-29 20:41:00</v>
      </c>
      <c r="E1134" t="str">
        <f>VLOOKUP(C1134,Меню!A:E,4,0)</f>
        <v>Десерт</v>
      </c>
      <c r="F1134">
        <f>VLOOKUP(C1134,Меню!A:E,5,0)</f>
        <v>150</v>
      </c>
    </row>
    <row r="1135" spans="1:6" ht="15.75" hidden="1" customHeight="1" x14ac:dyDescent="0.35">
      <c r="A1135" s="1">
        <v>1134</v>
      </c>
      <c r="B1135" s="1">
        <v>218</v>
      </c>
      <c r="C1135" s="1">
        <v>46</v>
      </c>
      <c r="D1135" t="str">
        <f>VLOOKUP(B1135,Заказы!A:C,3,0)</f>
        <v>2023-04-29 20:41:00</v>
      </c>
      <c r="E1135" t="str">
        <f>VLOOKUP(C1135,Меню!A:E,4,0)</f>
        <v>Суши</v>
      </c>
      <c r="F1135">
        <f>VLOOKUP(C1135,Меню!A:E,5,0)</f>
        <v>200</v>
      </c>
    </row>
    <row r="1136" spans="1:6" ht="15.75" hidden="1" customHeight="1" x14ac:dyDescent="0.35">
      <c r="A1136" s="1">
        <v>1135</v>
      </c>
      <c r="B1136" s="1">
        <v>218</v>
      </c>
      <c r="C1136" s="1">
        <v>13</v>
      </c>
      <c r="D1136" t="str">
        <f>VLOOKUP(B1136,Заказы!A:C,3,0)</f>
        <v>2023-04-29 20:41:00</v>
      </c>
      <c r="E1136" t="str">
        <f>VLOOKUP(C1136,Меню!A:E,4,0)</f>
        <v>Первое</v>
      </c>
      <c r="F1136">
        <f>VLOOKUP(C1136,Меню!A:E,5,0)</f>
        <v>280</v>
      </c>
    </row>
    <row r="1137" spans="1:6" ht="15.75" hidden="1" customHeight="1" x14ac:dyDescent="0.35">
      <c r="A1137" s="1">
        <v>1136</v>
      </c>
      <c r="B1137" s="1">
        <v>218</v>
      </c>
      <c r="C1137" s="1">
        <v>37</v>
      </c>
      <c r="D1137" t="str">
        <f>VLOOKUP(B1137,Заказы!A:C,3,0)</f>
        <v>2023-04-29 20:41:00</v>
      </c>
      <c r="E1137" t="str">
        <f>VLOOKUP(C1137,Меню!A:E,4,0)</f>
        <v>Десерт</v>
      </c>
      <c r="F1137">
        <f>VLOOKUP(C1137,Меню!A:E,5,0)</f>
        <v>100</v>
      </c>
    </row>
    <row r="1138" spans="1:6" ht="15.75" hidden="1" customHeight="1" x14ac:dyDescent="0.35">
      <c r="A1138" s="1">
        <v>1137</v>
      </c>
      <c r="B1138" s="1">
        <v>219</v>
      </c>
      <c r="C1138" s="1">
        <v>40</v>
      </c>
      <c r="D1138" t="str">
        <f>VLOOKUP(B1138,Заказы!A:C,3,0)</f>
        <v>2023-04-29 22:28:00</v>
      </c>
      <c r="E1138" t="str">
        <f>VLOOKUP(C1138,Меню!A:E,4,0)</f>
        <v>Десерт</v>
      </c>
      <c r="F1138">
        <f>VLOOKUP(C1138,Меню!A:E,5,0)</f>
        <v>150</v>
      </c>
    </row>
    <row r="1139" spans="1:6" ht="15.75" hidden="1" customHeight="1" x14ac:dyDescent="0.35">
      <c r="A1139" s="1">
        <v>1138</v>
      </c>
      <c r="B1139" s="1">
        <v>219</v>
      </c>
      <c r="C1139" s="1">
        <v>26</v>
      </c>
      <c r="D1139" t="str">
        <f>VLOOKUP(B1139,Заказы!A:C,3,0)</f>
        <v>2023-04-29 22:28:00</v>
      </c>
      <c r="E1139" t="str">
        <f>VLOOKUP(C1139,Меню!A:E,4,0)</f>
        <v>Салат</v>
      </c>
      <c r="F1139">
        <f>VLOOKUP(C1139,Меню!A:E,5,0)</f>
        <v>250</v>
      </c>
    </row>
    <row r="1140" spans="1:6" ht="15.75" hidden="1" customHeight="1" x14ac:dyDescent="0.35">
      <c r="A1140" s="1">
        <v>1139</v>
      </c>
      <c r="B1140" s="1">
        <v>220</v>
      </c>
      <c r="C1140" s="1">
        <v>53</v>
      </c>
      <c r="D1140" t="str">
        <f>VLOOKUP(B1140,Заказы!A:C,3,0)</f>
        <v>2023-04-30 15:35:00</v>
      </c>
      <c r="E1140" t="str">
        <f>VLOOKUP(C1140,Меню!A:E,4,0)</f>
        <v>Суши</v>
      </c>
      <c r="F1140">
        <f>VLOOKUP(C1140,Меню!A:E,5,0)</f>
        <v>100</v>
      </c>
    </row>
    <row r="1141" spans="1:6" ht="15.75" hidden="1" customHeight="1" x14ac:dyDescent="0.35">
      <c r="A1141" s="1">
        <v>1140</v>
      </c>
      <c r="B1141" s="1">
        <v>220</v>
      </c>
      <c r="C1141" s="1">
        <v>20</v>
      </c>
      <c r="D1141" t="str">
        <f>VLOOKUP(B1141,Заказы!A:C,3,0)</f>
        <v>2023-04-30 15:35:00</v>
      </c>
      <c r="E1141" t="str">
        <f>VLOOKUP(C1141,Меню!A:E,4,0)</f>
        <v>Первое</v>
      </c>
      <c r="F1141">
        <f>VLOOKUP(C1141,Меню!A:E,5,0)</f>
        <v>250</v>
      </c>
    </row>
    <row r="1142" spans="1:6" ht="15.75" hidden="1" customHeight="1" x14ac:dyDescent="0.35">
      <c r="A1142" s="1">
        <v>1141</v>
      </c>
      <c r="B1142" s="1">
        <v>220</v>
      </c>
      <c r="C1142" s="1">
        <v>22</v>
      </c>
      <c r="D1142" t="str">
        <f>VLOOKUP(B1142,Заказы!A:C,3,0)</f>
        <v>2023-04-30 15:35:00</v>
      </c>
      <c r="E1142" t="str">
        <f>VLOOKUP(C1142,Меню!A:E,4,0)</f>
        <v>Салат</v>
      </c>
      <c r="F1142">
        <f>VLOOKUP(C1142,Меню!A:E,5,0)</f>
        <v>250</v>
      </c>
    </row>
    <row r="1143" spans="1:6" ht="15.75" hidden="1" customHeight="1" x14ac:dyDescent="0.35">
      <c r="A1143" s="1">
        <v>1142</v>
      </c>
      <c r="B1143" s="1">
        <v>220</v>
      </c>
      <c r="C1143" s="1">
        <v>31</v>
      </c>
      <c r="D1143" t="str">
        <f>VLOOKUP(B1143,Заказы!A:C,3,0)</f>
        <v>2023-04-30 15:35:00</v>
      </c>
      <c r="E1143" t="str">
        <f>VLOOKUP(C1143,Меню!A:E,4,0)</f>
        <v>Десерт</v>
      </c>
      <c r="F1143">
        <f>VLOOKUP(C1143,Меню!A:E,5,0)</f>
        <v>150</v>
      </c>
    </row>
    <row r="1144" spans="1:6" ht="15.75" hidden="1" customHeight="1" x14ac:dyDescent="0.35">
      <c r="A1144" s="1">
        <v>1143</v>
      </c>
      <c r="B1144" s="1">
        <v>220</v>
      </c>
      <c r="C1144" s="1">
        <v>9</v>
      </c>
      <c r="D1144" t="str">
        <f>VLOOKUP(B1144,Заказы!A:C,3,0)</f>
        <v>2023-04-30 15:35:00</v>
      </c>
      <c r="E1144" t="str">
        <f>VLOOKUP(C1144,Меню!A:E,4,0)</f>
        <v>Завтрак</v>
      </c>
      <c r="F1144">
        <f>VLOOKUP(C1144,Меню!A:E,5,0)</f>
        <v>220</v>
      </c>
    </row>
    <row r="1145" spans="1:6" ht="15.75" hidden="1" customHeight="1" x14ac:dyDescent="0.35">
      <c r="A1145" s="1">
        <v>1144</v>
      </c>
      <c r="B1145" s="1">
        <v>220</v>
      </c>
      <c r="C1145" s="1">
        <v>28</v>
      </c>
      <c r="D1145" t="str">
        <f>VLOOKUP(B1145,Заказы!A:C,3,0)</f>
        <v>2023-04-30 15:35:00</v>
      </c>
      <c r="E1145" t="str">
        <f>VLOOKUP(C1145,Меню!A:E,4,0)</f>
        <v>Салат</v>
      </c>
      <c r="F1145">
        <f>VLOOKUP(C1145,Меню!A:E,5,0)</f>
        <v>250</v>
      </c>
    </row>
    <row r="1146" spans="1:6" ht="15.75" hidden="1" customHeight="1" x14ac:dyDescent="0.35">
      <c r="A1146" s="1">
        <v>1145</v>
      </c>
      <c r="B1146" s="1">
        <v>220</v>
      </c>
      <c r="C1146" s="1">
        <v>38</v>
      </c>
      <c r="D1146" t="str">
        <f>VLOOKUP(B1146,Заказы!A:C,3,0)</f>
        <v>2023-04-30 15:35:00</v>
      </c>
      <c r="E1146" t="str">
        <f>VLOOKUP(C1146,Меню!A:E,4,0)</f>
        <v>Десерт</v>
      </c>
      <c r="F1146">
        <f>VLOOKUP(C1146,Меню!A:E,5,0)</f>
        <v>150</v>
      </c>
    </row>
    <row r="1147" spans="1:6" ht="15.75" hidden="1" customHeight="1" x14ac:dyDescent="0.35">
      <c r="A1147" s="1">
        <v>1146</v>
      </c>
      <c r="B1147" s="1">
        <v>221</v>
      </c>
      <c r="C1147" s="1">
        <v>7</v>
      </c>
      <c r="D1147" t="str">
        <f>VLOOKUP(B1147,Заказы!A:C,3,0)</f>
        <v>2023-04-30 16:45:00</v>
      </c>
      <c r="E1147" t="str">
        <f>VLOOKUP(C1147,Меню!A:E,4,0)</f>
        <v>Завтрак</v>
      </c>
      <c r="F1147">
        <f>VLOOKUP(C1147,Меню!A:E,5,0)</f>
        <v>200</v>
      </c>
    </row>
    <row r="1148" spans="1:6" ht="15.75" hidden="1" customHeight="1" x14ac:dyDescent="0.35">
      <c r="A1148" s="1">
        <v>1147</v>
      </c>
      <c r="B1148" s="1">
        <v>221</v>
      </c>
      <c r="C1148" s="1">
        <v>16</v>
      </c>
      <c r="D1148" t="str">
        <f>VLOOKUP(B1148,Заказы!A:C,3,0)</f>
        <v>2023-04-30 16:45:00</v>
      </c>
      <c r="E1148" t="str">
        <f>VLOOKUP(C1148,Меню!A:E,4,0)</f>
        <v>Первое</v>
      </c>
      <c r="F1148">
        <f>VLOOKUP(C1148,Меню!A:E,5,0)</f>
        <v>250</v>
      </c>
    </row>
    <row r="1149" spans="1:6" ht="15.75" hidden="1" customHeight="1" x14ac:dyDescent="0.35">
      <c r="A1149" s="1">
        <v>1148</v>
      </c>
      <c r="B1149" s="1">
        <v>221</v>
      </c>
      <c r="C1149" s="1">
        <v>43</v>
      </c>
      <c r="D1149" t="str">
        <f>VLOOKUP(B1149,Заказы!A:C,3,0)</f>
        <v>2023-04-30 16:45:00</v>
      </c>
      <c r="E1149" t="str">
        <f>VLOOKUP(C1149,Меню!A:E,4,0)</f>
        <v>Суши</v>
      </c>
      <c r="F1149">
        <f>VLOOKUP(C1149,Меню!A:E,5,0)</f>
        <v>250</v>
      </c>
    </row>
    <row r="1150" spans="1:6" ht="15.75" hidden="1" customHeight="1" x14ac:dyDescent="0.35">
      <c r="A1150" s="1">
        <v>1149</v>
      </c>
      <c r="B1150" s="1">
        <v>221</v>
      </c>
      <c r="C1150" s="1">
        <v>31</v>
      </c>
      <c r="D1150" t="str">
        <f>VLOOKUP(B1150,Заказы!A:C,3,0)</f>
        <v>2023-04-30 16:45:00</v>
      </c>
      <c r="E1150" t="str">
        <f>VLOOKUP(C1150,Меню!A:E,4,0)</f>
        <v>Десерт</v>
      </c>
      <c r="F1150">
        <f>VLOOKUP(C1150,Меню!A:E,5,0)</f>
        <v>150</v>
      </c>
    </row>
    <row r="1151" spans="1:6" ht="15.75" hidden="1" customHeight="1" x14ac:dyDescent="0.35">
      <c r="A1151" s="1">
        <v>1150</v>
      </c>
      <c r="B1151" s="1">
        <v>221</v>
      </c>
      <c r="C1151" s="1">
        <v>25</v>
      </c>
      <c r="D1151" t="str">
        <f>VLOOKUP(B1151,Заказы!A:C,3,0)</f>
        <v>2023-04-30 16:45:00</v>
      </c>
      <c r="E1151" t="str">
        <f>VLOOKUP(C1151,Меню!A:E,4,0)</f>
        <v>Салат</v>
      </c>
      <c r="F1151">
        <f>VLOOKUP(C1151,Меню!A:E,5,0)</f>
        <v>250</v>
      </c>
    </row>
    <row r="1152" spans="1:6" ht="15.75" hidden="1" customHeight="1" x14ac:dyDescent="0.35">
      <c r="A1152" s="1">
        <v>1151</v>
      </c>
      <c r="B1152" s="1">
        <v>221</v>
      </c>
      <c r="C1152" s="1">
        <v>42</v>
      </c>
      <c r="D1152" t="str">
        <f>VLOOKUP(B1152,Заказы!A:C,3,0)</f>
        <v>2023-04-30 16:45:00</v>
      </c>
      <c r="E1152" t="str">
        <f>VLOOKUP(C1152,Меню!A:E,4,0)</f>
        <v>Суши</v>
      </c>
      <c r="F1152">
        <f>VLOOKUP(C1152,Меню!A:E,5,0)</f>
        <v>250</v>
      </c>
    </row>
    <row r="1153" spans="1:6" ht="15.75" hidden="1" customHeight="1" x14ac:dyDescent="0.35">
      <c r="A1153" s="1">
        <v>1152</v>
      </c>
      <c r="B1153" s="1">
        <v>221</v>
      </c>
      <c r="C1153" s="1">
        <v>33</v>
      </c>
      <c r="D1153" t="str">
        <f>VLOOKUP(B1153,Заказы!A:C,3,0)</f>
        <v>2023-04-30 16:45:00</v>
      </c>
      <c r="E1153" t="str">
        <f>VLOOKUP(C1153,Меню!A:E,4,0)</f>
        <v>Десерт</v>
      </c>
      <c r="F1153">
        <f>VLOOKUP(C1153,Меню!A:E,5,0)</f>
        <v>150</v>
      </c>
    </row>
    <row r="1154" spans="1:6" ht="15.75" hidden="1" customHeight="1" x14ac:dyDescent="0.35">
      <c r="A1154" s="1">
        <v>1153</v>
      </c>
      <c r="B1154" s="1">
        <v>221</v>
      </c>
      <c r="C1154" s="1">
        <v>32</v>
      </c>
      <c r="D1154" t="str">
        <f>VLOOKUP(B1154,Заказы!A:C,3,0)</f>
        <v>2023-04-30 16:45:00</v>
      </c>
      <c r="E1154" t="str">
        <f>VLOOKUP(C1154,Меню!A:E,4,0)</f>
        <v>Десерт</v>
      </c>
      <c r="F1154">
        <f>VLOOKUP(C1154,Меню!A:E,5,0)</f>
        <v>150</v>
      </c>
    </row>
    <row r="1155" spans="1:6" ht="15.75" hidden="1" customHeight="1" x14ac:dyDescent="0.35">
      <c r="A1155" s="1">
        <v>1154</v>
      </c>
      <c r="B1155" s="1">
        <v>222</v>
      </c>
      <c r="C1155" s="1">
        <v>34</v>
      </c>
      <c r="D1155" t="str">
        <f>VLOOKUP(B1155,Заказы!A:C,3,0)</f>
        <v>2023-05-01 17:52:00</v>
      </c>
      <c r="E1155" t="str">
        <f>VLOOKUP(C1155,Меню!A:E,4,0)</f>
        <v>Десерт</v>
      </c>
      <c r="F1155">
        <f>VLOOKUP(C1155,Меню!A:E,5,0)</f>
        <v>150</v>
      </c>
    </row>
    <row r="1156" spans="1:6" ht="15.75" hidden="1" customHeight="1" x14ac:dyDescent="0.35">
      <c r="A1156" s="1">
        <v>1155</v>
      </c>
      <c r="B1156" s="1">
        <v>222</v>
      </c>
      <c r="C1156" s="1">
        <v>53</v>
      </c>
      <c r="D1156" t="str">
        <f>VLOOKUP(B1156,Заказы!A:C,3,0)</f>
        <v>2023-05-01 17:52:00</v>
      </c>
      <c r="E1156" t="str">
        <f>VLOOKUP(C1156,Меню!A:E,4,0)</f>
        <v>Суши</v>
      </c>
      <c r="F1156">
        <f>VLOOKUP(C1156,Меню!A:E,5,0)</f>
        <v>100</v>
      </c>
    </row>
    <row r="1157" spans="1:6" ht="15.75" hidden="1" customHeight="1" x14ac:dyDescent="0.35">
      <c r="A1157" s="1">
        <v>1156</v>
      </c>
      <c r="B1157" s="1">
        <v>222</v>
      </c>
      <c r="C1157" s="1">
        <v>6</v>
      </c>
      <c r="D1157" t="str">
        <f>VLOOKUP(B1157,Заказы!A:C,3,0)</f>
        <v>2023-05-01 17:52:00</v>
      </c>
      <c r="E1157" t="str">
        <f>VLOOKUP(C1157,Меню!A:E,4,0)</f>
        <v>Завтрак</v>
      </c>
      <c r="F1157">
        <f>VLOOKUP(C1157,Меню!A:E,5,0)</f>
        <v>300</v>
      </c>
    </row>
    <row r="1158" spans="1:6" ht="15.75" hidden="1" customHeight="1" x14ac:dyDescent="0.35">
      <c r="A1158" s="1">
        <v>1157</v>
      </c>
      <c r="B1158" s="1">
        <v>222</v>
      </c>
      <c r="C1158" s="1">
        <v>44</v>
      </c>
      <c r="D1158" t="str">
        <f>VLOOKUP(B1158,Заказы!A:C,3,0)</f>
        <v>2023-05-01 17:52:00</v>
      </c>
      <c r="E1158" t="str">
        <f>VLOOKUP(C1158,Меню!A:E,4,0)</f>
        <v>Суши</v>
      </c>
      <c r="F1158">
        <f>VLOOKUP(C1158,Меню!A:E,5,0)</f>
        <v>250</v>
      </c>
    </row>
    <row r="1159" spans="1:6" ht="15.75" hidden="1" customHeight="1" x14ac:dyDescent="0.35">
      <c r="A1159" s="1">
        <v>1158</v>
      </c>
      <c r="B1159" s="1">
        <v>223</v>
      </c>
      <c r="C1159" s="1">
        <v>59</v>
      </c>
      <c r="D1159" t="str">
        <f>VLOOKUP(B1159,Заказы!A:C,3,0)</f>
        <v>2023-05-02 16:04:00</v>
      </c>
      <c r="E1159" t="str">
        <f>VLOOKUP(C1159,Меню!A:E,4,0)</f>
        <v>Суши</v>
      </c>
      <c r="F1159">
        <f>VLOOKUP(C1159,Меню!A:E,5,0)</f>
        <v>300</v>
      </c>
    </row>
    <row r="1160" spans="1:6" ht="15.75" hidden="1" customHeight="1" x14ac:dyDescent="0.35">
      <c r="A1160" s="1">
        <v>1159</v>
      </c>
      <c r="B1160" s="1">
        <v>223</v>
      </c>
      <c r="C1160" s="1">
        <v>50</v>
      </c>
      <c r="D1160" t="str">
        <f>VLOOKUP(B1160,Заказы!A:C,3,0)</f>
        <v>2023-05-02 16:04:00</v>
      </c>
      <c r="E1160" t="str">
        <f>VLOOKUP(C1160,Меню!A:E,4,0)</f>
        <v>Суши</v>
      </c>
      <c r="F1160">
        <f>VLOOKUP(C1160,Меню!A:E,5,0)</f>
        <v>200</v>
      </c>
    </row>
    <row r="1161" spans="1:6" ht="15.75" hidden="1" customHeight="1" x14ac:dyDescent="0.35">
      <c r="A1161" s="1">
        <v>1160</v>
      </c>
      <c r="B1161" s="1">
        <v>223</v>
      </c>
      <c r="C1161" s="1">
        <v>59</v>
      </c>
      <c r="D1161" t="str">
        <f>VLOOKUP(B1161,Заказы!A:C,3,0)</f>
        <v>2023-05-02 16:04:00</v>
      </c>
      <c r="E1161" t="str">
        <f>VLOOKUP(C1161,Меню!A:E,4,0)</f>
        <v>Суши</v>
      </c>
      <c r="F1161">
        <f>VLOOKUP(C1161,Меню!A:E,5,0)</f>
        <v>300</v>
      </c>
    </row>
    <row r="1162" spans="1:6" ht="15.75" hidden="1" customHeight="1" x14ac:dyDescent="0.35">
      <c r="A1162" s="1">
        <v>1161</v>
      </c>
      <c r="B1162" s="1">
        <v>224</v>
      </c>
      <c r="C1162" s="1">
        <v>22</v>
      </c>
      <c r="D1162" t="str">
        <f>VLOOKUP(B1162,Заказы!A:C,3,0)</f>
        <v>2023-05-02 18:44:00</v>
      </c>
      <c r="E1162" t="str">
        <f>VLOOKUP(C1162,Меню!A:E,4,0)</f>
        <v>Салат</v>
      </c>
      <c r="F1162">
        <f>VLOOKUP(C1162,Меню!A:E,5,0)</f>
        <v>250</v>
      </c>
    </row>
    <row r="1163" spans="1:6" ht="15.75" hidden="1" customHeight="1" x14ac:dyDescent="0.35">
      <c r="A1163" s="1">
        <v>1162</v>
      </c>
      <c r="B1163" s="1">
        <v>225</v>
      </c>
      <c r="C1163" s="1">
        <v>53</v>
      </c>
      <c r="D1163" t="str">
        <f>VLOOKUP(B1163,Заказы!A:C,3,0)</f>
        <v>2023-05-02 19:30:00</v>
      </c>
      <c r="E1163" t="str">
        <f>VLOOKUP(C1163,Меню!A:E,4,0)</f>
        <v>Суши</v>
      </c>
      <c r="F1163">
        <f>VLOOKUP(C1163,Меню!A:E,5,0)</f>
        <v>100</v>
      </c>
    </row>
    <row r="1164" spans="1:6" ht="15.75" hidden="1" customHeight="1" x14ac:dyDescent="0.35">
      <c r="A1164" s="1">
        <v>1163</v>
      </c>
      <c r="B1164" s="1">
        <v>225</v>
      </c>
      <c r="C1164" s="1">
        <v>29</v>
      </c>
      <c r="D1164" t="str">
        <f>VLOOKUP(B1164,Заказы!A:C,3,0)</f>
        <v>2023-05-02 19:30:00</v>
      </c>
      <c r="E1164" t="str">
        <f>VLOOKUP(C1164,Меню!A:E,4,0)</f>
        <v>Салат</v>
      </c>
      <c r="F1164">
        <f>VLOOKUP(C1164,Меню!A:E,5,0)</f>
        <v>250</v>
      </c>
    </row>
    <row r="1165" spans="1:6" ht="15.75" hidden="1" customHeight="1" x14ac:dyDescent="0.35">
      <c r="A1165" s="1">
        <v>1164</v>
      </c>
      <c r="B1165" s="1">
        <v>225</v>
      </c>
      <c r="C1165" s="1">
        <v>60</v>
      </c>
      <c r="D1165" t="str">
        <f>VLOOKUP(B1165,Заказы!A:C,3,0)</f>
        <v>2023-05-02 19:30:00</v>
      </c>
      <c r="E1165" t="str">
        <f>VLOOKUP(C1165,Меню!A:E,4,0)</f>
        <v>Суши</v>
      </c>
      <c r="F1165">
        <f>VLOOKUP(C1165,Меню!A:E,5,0)</f>
        <v>250</v>
      </c>
    </row>
    <row r="1166" spans="1:6" ht="15.75" hidden="1" customHeight="1" x14ac:dyDescent="0.35">
      <c r="A1166" s="1">
        <v>1165</v>
      </c>
      <c r="B1166" s="1">
        <v>225</v>
      </c>
      <c r="C1166" s="1">
        <v>48</v>
      </c>
      <c r="D1166" t="str">
        <f>VLOOKUP(B1166,Заказы!A:C,3,0)</f>
        <v>2023-05-02 19:30:00</v>
      </c>
      <c r="E1166" t="str">
        <f>VLOOKUP(C1166,Меню!A:E,4,0)</f>
        <v>Суши</v>
      </c>
      <c r="F1166">
        <f>VLOOKUP(C1166,Меню!A:E,5,0)</f>
        <v>200</v>
      </c>
    </row>
    <row r="1167" spans="1:6" ht="15.75" hidden="1" customHeight="1" x14ac:dyDescent="0.35">
      <c r="A1167" s="1">
        <v>1166</v>
      </c>
      <c r="B1167" s="1">
        <v>225</v>
      </c>
      <c r="C1167" s="1">
        <v>60</v>
      </c>
      <c r="D1167" t="str">
        <f>VLOOKUP(B1167,Заказы!A:C,3,0)</f>
        <v>2023-05-02 19:30:00</v>
      </c>
      <c r="E1167" t="str">
        <f>VLOOKUP(C1167,Меню!A:E,4,0)</f>
        <v>Суши</v>
      </c>
      <c r="F1167">
        <f>VLOOKUP(C1167,Меню!A:E,5,0)</f>
        <v>250</v>
      </c>
    </row>
    <row r="1168" spans="1:6" ht="15.75" hidden="1" customHeight="1" x14ac:dyDescent="0.35">
      <c r="A1168" s="1">
        <v>1167</v>
      </c>
      <c r="B1168" s="1">
        <v>226</v>
      </c>
      <c r="C1168" s="1">
        <v>16</v>
      </c>
      <c r="D1168" t="str">
        <f>VLOOKUP(B1168,Заказы!A:C,3,0)</f>
        <v>2023-05-03 17:17:00</v>
      </c>
      <c r="E1168" t="str">
        <f>VLOOKUP(C1168,Меню!A:E,4,0)</f>
        <v>Первое</v>
      </c>
      <c r="F1168">
        <f>VLOOKUP(C1168,Меню!A:E,5,0)</f>
        <v>250</v>
      </c>
    </row>
    <row r="1169" spans="1:6" ht="15.75" hidden="1" customHeight="1" x14ac:dyDescent="0.35">
      <c r="A1169" s="1">
        <v>1168</v>
      </c>
      <c r="B1169" s="1">
        <v>226</v>
      </c>
      <c r="C1169" s="1">
        <v>49</v>
      </c>
      <c r="D1169" t="str">
        <f>VLOOKUP(B1169,Заказы!A:C,3,0)</f>
        <v>2023-05-03 17:17:00</v>
      </c>
      <c r="E1169" t="str">
        <f>VLOOKUP(C1169,Меню!A:E,4,0)</f>
        <v>Суши</v>
      </c>
      <c r="F1169">
        <f>VLOOKUP(C1169,Меню!A:E,5,0)</f>
        <v>200</v>
      </c>
    </row>
    <row r="1170" spans="1:6" ht="15.75" hidden="1" customHeight="1" x14ac:dyDescent="0.35">
      <c r="A1170" s="1">
        <v>1169</v>
      </c>
      <c r="B1170" s="1">
        <v>226</v>
      </c>
      <c r="C1170" s="1">
        <v>60</v>
      </c>
      <c r="D1170" t="str">
        <f>VLOOKUP(B1170,Заказы!A:C,3,0)</f>
        <v>2023-05-03 17:17:00</v>
      </c>
      <c r="E1170" t="str">
        <f>VLOOKUP(C1170,Меню!A:E,4,0)</f>
        <v>Суши</v>
      </c>
      <c r="F1170">
        <f>VLOOKUP(C1170,Меню!A:E,5,0)</f>
        <v>250</v>
      </c>
    </row>
    <row r="1171" spans="1:6" ht="15.75" hidden="1" customHeight="1" x14ac:dyDescent="0.35">
      <c r="A1171" s="1">
        <v>1170</v>
      </c>
      <c r="B1171" s="1">
        <v>226</v>
      </c>
      <c r="C1171" s="1">
        <v>59</v>
      </c>
      <c r="D1171" t="str">
        <f>VLOOKUP(B1171,Заказы!A:C,3,0)</f>
        <v>2023-05-03 17:17:00</v>
      </c>
      <c r="E1171" t="str">
        <f>VLOOKUP(C1171,Меню!A:E,4,0)</f>
        <v>Суши</v>
      </c>
      <c r="F1171">
        <f>VLOOKUP(C1171,Меню!A:E,5,0)</f>
        <v>300</v>
      </c>
    </row>
    <row r="1172" spans="1:6" ht="15.75" hidden="1" customHeight="1" x14ac:dyDescent="0.35">
      <c r="A1172" s="1">
        <v>1171</v>
      </c>
      <c r="B1172" s="1">
        <v>227</v>
      </c>
      <c r="C1172" s="1">
        <v>11</v>
      </c>
      <c r="D1172" t="str">
        <f>VLOOKUP(B1172,Заказы!A:C,3,0)</f>
        <v>2023-05-03 20:27:00</v>
      </c>
      <c r="E1172" t="str">
        <f>VLOOKUP(C1172,Меню!A:E,4,0)</f>
        <v>Первое</v>
      </c>
      <c r="F1172">
        <f>VLOOKUP(C1172,Меню!A:E,5,0)</f>
        <v>300</v>
      </c>
    </row>
    <row r="1173" spans="1:6" ht="15.75" hidden="1" customHeight="1" x14ac:dyDescent="0.35">
      <c r="A1173" s="1">
        <v>1172</v>
      </c>
      <c r="B1173" s="1">
        <v>228</v>
      </c>
      <c r="C1173" s="1">
        <v>35</v>
      </c>
      <c r="D1173" t="str">
        <f>VLOOKUP(B1173,Заказы!A:C,3,0)</f>
        <v>2023-05-03 21:30:00</v>
      </c>
      <c r="E1173" t="str">
        <f>VLOOKUP(C1173,Меню!A:E,4,0)</f>
        <v>Десерт</v>
      </c>
      <c r="F1173">
        <f>VLOOKUP(C1173,Меню!A:E,5,0)</f>
        <v>150</v>
      </c>
    </row>
    <row r="1174" spans="1:6" ht="15.75" hidden="1" customHeight="1" x14ac:dyDescent="0.35">
      <c r="A1174" s="1">
        <v>1173</v>
      </c>
      <c r="B1174" s="1">
        <v>229</v>
      </c>
      <c r="C1174" s="1">
        <v>15</v>
      </c>
      <c r="D1174" t="str">
        <f>VLOOKUP(B1174,Заказы!A:C,3,0)</f>
        <v>2023-05-03 21:57:00</v>
      </c>
      <c r="E1174" t="str">
        <f>VLOOKUP(C1174,Меню!A:E,4,0)</f>
        <v>Первое</v>
      </c>
      <c r="F1174">
        <f>VLOOKUP(C1174,Меню!A:E,5,0)</f>
        <v>250</v>
      </c>
    </row>
    <row r="1175" spans="1:6" ht="15.75" hidden="1" customHeight="1" x14ac:dyDescent="0.35">
      <c r="A1175" s="1">
        <v>1174</v>
      </c>
      <c r="B1175" s="1">
        <v>229</v>
      </c>
      <c r="C1175" s="1">
        <v>9</v>
      </c>
      <c r="D1175" t="str">
        <f>VLOOKUP(B1175,Заказы!A:C,3,0)</f>
        <v>2023-05-03 21:57:00</v>
      </c>
      <c r="E1175" t="str">
        <f>VLOOKUP(C1175,Меню!A:E,4,0)</f>
        <v>Завтрак</v>
      </c>
      <c r="F1175">
        <f>VLOOKUP(C1175,Меню!A:E,5,0)</f>
        <v>220</v>
      </c>
    </row>
    <row r="1176" spans="1:6" ht="15.75" hidden="1" customHeight="1" x14ac:dyDescent="0.35">
      <c r="A1176" s="1">
        <v>1175</v>
      </c>
      <c r="B1176" s="1">
        <v>229</v>
      </c>
      <c r="C1176" s="1">
        <v>23</v>
      </c>
      <c r="D1176" t="str">
        <f>VLOOKUP(B1176,Заказы!A:C,3,0)</f>
        <v>2023-05-03 21:57:00</v>
      </c>
      <c r="E1176" t="str">
        <f>VLOOKUP(C1176,Меню!A:E,4,0)</f>
        <v>Салат</v>
      </c>
      <c r="F1176">
        <f>VLOOKUP(C1176,Меню!A:E,5,0)</f>
        <v>250</v>
      </c>
    </row>
    <row r="1177" spans="1:6" ht="15.75" hidden="1" customHeight="1" x14ac:dyDescent="0.35">
      <c r="A1177" s="1">
        <v>1176</v>
      </c>
      <c r="B1177" s="1">
        <v>229</v>
      </c>
      <c r="C1177" s="1">
        <v>36</v>
      </c>
      <c r="D1177" t="str">
        <f>VLOOKUP(B1177,Заказы!A:C,3,0)</f>
        <v>2023-05-03 21:57:00</v>
      </c>
      <c r="E1177" t="str">
        <f>VLOOKUP(C1177,Меню!A:E,4,0)</f>
        <v>Десерт</v>
      </c>
      <c r="F1177">
        <f>VLOOKUP(C1177,Меню!A:E,5,0)</f>
        <v>150</v>
      </c>
    </row>
    <row r="1178" spans="1:6" ht="15.75" hidden="1" customHeight="1" x14ac:dyDescent="0.35">
      <c r="A1178" s="1">
        <v>1177</v>
      </c>
      <c r="B1178" s="1">
        <v>229</v>
      </c>
      <c r="C1178" s="1">
        <v>19</v>
      </c>
      <c r="D1178" t="str">
        <f>VLOOKUP(B1178,Заказы!A:C,3,0)</f>
        <v>2023-05-03 21:57:00</v>
      </c>
      <c r="E1178" t="str">
        <f>VLOOKUP(C1178,Меню!A:E,4,0)</f>
        <v>Первое</v>
      </c>
      <c r="F1178">
        <f>VLOOKUP(C1178,Меню!A:E,5,0)</f>
        <v>300</v>
      </c>
    </row>
    <row r="1179" spans="1:6" ht="15.75" hidden="1" customHeight="1" x14ac:dyDescent="0.35">
      <c r="A1179" s="1">
        <v>1178</v>
      </c>
      <c r="B1179" s="1">
        <v>229</v>
      </c>
      <c r="C1179" s="1">
        <v>38</v>
      </c>
      <c r="D1179" t="str">
        <f>VLOOKUP(B1179,Заказы!A:C,3,0)</f>
        <v>2023-05-03 21:57:00</v>
      </c>
      <c r="E1179" t="str">
        <f>VLOOKUP(C1179,Меню!A:E,4,0)</f>
        <v>Десерт</v>
      </c>
      <c r="F1179">
        <f>VLOOKUP(C1179,Меню!A:E,5,0)</f>
        <v>150</v>
      </c>
    </row>
    <row r="1180" spans="1:6" ht="15.75" hidden="1" customHeight="1" x14ac:dyDescent="0.35">
      <c r="A1180" s="1">
        <v>1179</v>
      </c>
      <c r="B1180" s="1">
        <v>229</v>
      </c>
      <c r="C1180" s="1">
        <v>1</v>
      </c>
      <c r="D1180" t="str">
        <f>VLOOKUP(B1180,Заказы!A:C,3,0)</f>
        <v>2023-05-03 21:57:00</v>
      </c>
      <c r="E1180" t="str">
        <f>VLOOKUP(C1180,Меню!A:E,4,0)</f>
        <v>Завтрак</v>
      </c>
      <c r="F1180">
        <f>VLOOKUP(C1180,Меню!A:E,5,0)</f>
        <v>200</v>
      </c>
    </row>
    <row r="1181" spans="1:6" ht="15.75" hidden="1" customHeight="1" x14ac:dyDescent="0.35">
      <c r="A1181" s="1">
        <v>1180</v>
      </c>
      <c r="B1181" s="1">
        <v>230</v>
      </c>
      <c r="C1181" s="1">
        <v>47</v>
      </c>
      <c r="D1181" t="str">
        <f>VLOOKUP(B1181,Заказы!A:C,3,0)</f>
        <v>2023-05-04 15:13:00</v>
      </c>
      <c r="E1181" t="str">
        <f>VLOOKUP(C1181,Меню!A:E,4,0)</f>
        <v>Суши</v>
      </c>
      <c r="F1181">
        <f>VLOOKUP(C1181,Меню!A:E,5,0)</f>
        <v>200</v>
      </c>
    </row>
    <row r="1182" spans="1:6" ht="15.75" hidden="1" customHeight="1" x14ac:dyDescent="0.35">
      <c r="A1182" s="1">
        <v>1181</v>
      </c>
      <c r="B1182" s="1">
        <v>230</v>
      </c>
      <c r="C1182" s="1">
        <v>51</v>
      </c>
      <c r="D1182" t="str">
        <f>VLOOKUP(B1182,Заказы!A:C,3,0)</f>
        <v>2023-05-04 15:13:00</v>
      </c>
      <c r="E1182" t="str">
        <f>VLOOKUP(C1182,Меню!A:E,4,0)</f>
        <v>Суши</v>
      </c>
      <c r="F1182">
        <f>VLOOKUP(C1182,Меню!A:E,5,0)</f>
        <v>100</v>
      </c>
    </row>
    <row r="1183" spans="1:6" ht="15.75" hidden="1" customHeight="1" x14ac:dyDescent="0.35">
      <c r="A1183" s="1">
        <v>1182</v>
      </c>
      <c r="B1183" s="1">
        <v>230</v>
      </c>
      <c r="C1183" s="1">
        <v>31</v>
      </c>
      <c r="D1183" t="str">
        <f>VLOOKUP(B1183,Заказы!A:C,3,0)</f>
        <v>2023-05-04 15:13:00</v>
      </c>
      <c r="E1183" t="str">
        <f>VLOOKUP(C1183,Меню!A:E,4,0)</f>
        <v>Десерт</v>
      </c>
      <c r="F1183">
        <f>VLOOKUP(C1183,Меню!A:E,5,0)</f>
        <v>150</v>
      </c>
    </row>
    <row r="1184" spans="1:6" ht="15.75" hidden="1" customHeight="1" x14ac:dyDescent="0.35">
      <c r="A1184" s="1">
        <v>1183</v>
      </c>
      <c r="B1184" s="1">
        <v>231</v>
      </c>
      <c r="C1184" s="1">
        <v>11</v>
      </c>
      <c r="D1184" t="str">
        <f>VLOOKUP(B1184,Заказы!A:C,3,0)</f>
        <v>2023-05-04 15:16:00</v>
      </c>
      <c r="E1184" t="str">
        <f>VLOOKUP(C1184,Меню!A:E,4,0)</f>
        <v>Первое</v>
      </c>
      <c r="F1184">
        <f>VLOOKUP(C1184,Меню!A:E,5,0)</f>
        <v>300</v>
      </c>
    </row>
    <row r="1185" spans="1:6" ht="15.75" hidden="1" customHeight="1" x14ac:dyDescent="0.35">
      <c r="A1185" s="1">
        <v>1184</v>
      </c>
      <c r="B1185" s="1">
        <v>231</v>
      </c>
      <c r="C1185" s="1">
        <v>13</v>
      </c>
      <c r="D1185" t="str">
        <f>VLOOKUP(B1185,Заказы!A:C,3,0)</f>
        <v>2023-05-04 15:16:00</v>
      </c>
      <c r="E1185" t="str">
        <f>VLOOKUP(C1185,Меню!A:E,4,0)</f>
        <v>Первое</v>
      </c>
      <c r="F1185">
        <f>VLOOKUP(C1185,Меню!A:E,5,0)</f>
        <v>280</v>
      </c>
    </row>
    <row r="1186" spans="1:6" ht="15.75" hidden="1" customHeight="1" x14ac:dyDescent="0.35">
      <c r="A1186" s="1">
        <v>1185</v>
      </c>
      <c r="B1186" s="1">
        <v>231</v>
      </c>
      <c r="C1186" s="1">
        <v>22</v>
      </c>
      <c r="D1186" t="str">
        <f>VLOOKUP(B1186,Заказы!A:C,3,0)</f>
        <v>2023-05-04 15:16:00</v>
      </c>
      <c r="E1186" t="str">
        <f>VLOOKUP(C1186,Меню!A:E,4,0)</f>
        <v>Салат</v>
      </c>
      <c r="F1186">
        <f>VLOOKUP(C1186,Меню!A:E,5,0)</f>
        <v>250</v>
      </c>
    </row>
    <row r="1187" spans="1:6" ht="15.75" hidden="1" customHeight="1" x14ac:dyDescent="0.35">
      <c r="A1187" s="1">
        <v>1186</v>
      </c>
      <c r="B1187" s="1">
        <v>231</v>
      </c>
      <c r="C1187" s="1">
        <v>23</v>
      </c>
      <c r="D1187" t="str">
        <f>VLOOKUP(B1187,Заказы!A:C,3,0)</f>
        <v>2023-05-04 15:16:00</v>
      </c>
      <c r="E1187" t="str">
        <f>VLOOKUP(C1187,Меню!A:E,4,0)</f>
        <v>Салат</v>
      </c>
      <c r="F1187">
        <f>VLOOKUP(C1187,Меню!A:E,5,0)</f>
        <v>250</v>
      </c>
    </row>
    <row r="1188" spans="1:6" ht="15.75" hidden="1" customHeight="1" x14ac:dyDescent="0.35">
      <c r="A1188" s="1">
        <v>1187</v>
      </c>
      <c r="B1188" s="1">
        <v>231</v>
      </c>
      <c r="C1188" s="1">
        <v>40</v>
      </c>
      <c r="D1188" t="str">
        <f>VLOOKUP(B1188,Заказы!A:C,3,0)</f>
        <v>2023-05-04 15:16:00</v>
      </c>
      <c r="E1188" t="str">
        <f>VLOOKUP(C1188,Меню!A:E,4,0)</f>
        <v>Десерт</v>
      </c>
      <c r="F1188">
        <f>VLOOKUP(C1188,Меню!A:E,5,0)</f>
        <v>150</v>
      </c>
    </row>
    <row r="1189" spans="1:6" ht="15.75" hidden="1" customHeight="1" x14ac:dyDescent="0.35">
      <c r="A1189" s="1">
        <v>1188</v>
      </c>
      <c r="B1189" s="1">
        <v>231</v>
      </c>
      <c r="C1189" s="1">
        <v>25</v>
      </c>
      <c r="D1189" t="str">
        <f>VLOOKUP(B1189,Заказы!A:C,3,0)</f>
        <v>2023-05-04 15:16:00</v>
      </c>
      <c r="E1189" t="str">
        <f>VLOOKUP(C1189,Меню!A:E,4,0)</f>
        <v>Салат</v>
      </c>
      <c r="F1189">
        <f>VLOOKUP(C1189,Меню!A:E,5,0)</f>
        <v>250</v>
      </c>
    </row>
    <row r="1190" spans="1:6" ht="15.75" hidden="1" customHeight="1" x14ac:dyDescent="0.35">
      <c r="A1190" s="1">
        <v>1189</v>
      </c>
      <c r="B1190" s="1">
        <v>231</v>
      </c>
      <c r="C1190" s="1">
        <v>37</v>
      </c>
      <c r="D1190" t="str">
        <f>VLOOKUP(B1190,Заказы!A:C,3,0)</f>
        <v>2023-05-04 15:16:00</v>
      </c>
      <c r="E1190" t="str">
        <f>VLOOKUP(C1190,Меню!A:E,4,0)</f>
        <v>Десерт</v>
      </c>
      <c r="F1190">
        <f>VLOOKUP(C1190,Меню!A:E,5,0)</f>
        <v>100</v>
      </c>
    </row>
    <row r="1191" spans="1:6" ht="15.75" hidden="1" customHeight="1" x14ac:dyDescent="0.35">
      <c r="A1191" s="1">
        <v>1190</v>
      </c>
      <c r="B1191" s="1">
        <v>232</v>
      </c>
      <c r="C1191" s="1">
        <v>58</v>
      </c>
      <c r="D1191" t="str">
        <f>VLOOKUP(B1191,Заказы!A:C,3,0)</f>
        <v>2023-05-04 18:42:00</v>
      </c>
      <c r="E1191" t="str">
        <f>VLOOKUP(C1191,Меню!A:E,4,0)</f>
        <v>Суши</v>
      </c>
      <c r="F1191">
        <f>VLOOKUP(C1191,Меню!A:E,5,0)</f>
        <v>200</v>
      </c>
    </row>
    <row r="1192" spans="1:6" ht="15.75" hidden="1" customHeight="1" x14ac:dyDescent="0.35">
      <c r="A1192" s="1">
        <v>1191</v>
      </c>
      <c r="B1192" s="1">
        <v>233</v>
      </c>
      <c r="C1192" s="1">
        <v>52</v>
      </c>
      <c r="D1192" t="str">
        <f>VLOOKUP(B1192,Заказы!A:C,3,0)</f>
        <v>2023-05-05 16:26:00</v>
      </c>
      <c r="E1192" t="str">
        <f>VLOOKUP(C1192,Меню!A:E,4,0)</f>
        <v>Суши</v>
      </c>
      <c r="F1192">
        <f>VLOOKUP(C1192,Меню!A:E,5,0)</f>
        <v>100</v>
      </c>
    </row>
    <row r="1193" spans="1:6" ht="15.75" hidden="1" customHeight="1" x14ac:dyDescent="0.35">
      <c r="A1193" s="1">
        <v>1192</v>
      </c>
      <c r="B1193" s="1">
        <v>233</v>
      </c>
      <c r="C1193" s="1">
        <v>45</v>
      </c>
      <c r="D1193" t="str">
        <f>VLOOKUP(B1193,Заказы!A:C,3,0)</f>
        <v>2023-05-05 16:26:00</v>
      </c>
      <c r="E1193" t="str">
        <f>VLOOKUP(C1193,Меню!A:E,4,0)</f>
        <v>Суши</v>
      </c>
      <c r="F1193">
        <f>VLOOKUP(C1193,Меню!A:E,5,0)</f>
        <v>200</v>
      </c>
    </row>
    <row r="1194" spans="1:6" ht="15.75" hidden="1" customHeight="1" x14ac:dyDescent="0.35">
      <c r="A1194" s="1">
        <v>1193</v>
      </c>
      <c r="B1194" s="1">
        <v>233</v>
      </c>
      <c r="C1194" s="1">
        <v>36</v>
      </c>
      <c r="D1194" t="str">
        <f>VLOOKUP(B1194,Заказы!A:C,3,0)</f>
        <v>2023-05-05 16:26:00</v>
      </c>
      <c r="E1194" t="str">
        <f>VLOOKUP(C1194,Меню!A:E,4,0)</f>
        <v>Десерт</v>
      </c>
      <c r="F1194">
        <f>VLOOKUP(C1194,Меню!A:E,5,0)</f>
        <v>150</v>
      </c>
    </row>
    <row r="1195" spans="1:6" ht="15.75" hidden="1" customHeight="1" x14ac:dyDescent="0.35">
      <c r="A1195" s="1">
        <v>1194</v>
      </c>
      <c r="B1195" s="1">
        <v>233</v>
      </c>
      <c r="C1195" s="1">
        <v>38</v>
      </c>
      <c r="D1195" t="str">
        <f>VLOOKUP(B1195,Заказы!A:C,3,0)</f>
        <v>2023-05-05 16:26:00</v>
      </c>
      <c r="E1195" t="str">
        <f>VLOOKUP(C1195,Меню!A:E,4,0)</f>
        <v>Десерт</v>
      </c>
      <c r="F1195">
        <f>VLOOKUP(C1195,Меню!A:E,5,0)</f>
        <v>150</v>
      </c>
    </row>
    <row r="1196" spans="1:6" ht="15.75" hidden="1" customHeight="1" x14ac:dyDescent="0.35">
      <c r="A1196" s="1">
        <v>1195</v>
      </c>
      <c r="B1196" s="1">
        <v>233</v>
      </c>
      <c r="C1196" s="1">
        <v>44</v>
      </c>
      <c r="D1196" t="str">
        <f>VLOOKUP(B1196,Заказы!A:C,3,0)</f>
        <v>2023-05-05 16:26:00</v>
      </c>
      <c r="E1196" t="str">
        <f>VLOOKUP(C1196,Меню!A:E,4,0)</f>
        <v>Суши</v>
      </c>
      <c r="F1196">
        <f>VLOOKUP(C1196,Меню!A:E,5,0)</f>
        <v>250</v>
      </c>
    </row>
    <row r="1197" spans="1:6" ht="15.75" hidden="1" customHeight="1" x14ac:dyDescent="0.35">
      <c r="A1197" s="1">
        <v>1196</v>
      </c>
      <c r="B1197" s="1">
        <v>233</v>
      </c>
      <c r="C1197" s="1">
        <v>28</v>
      </c>
      <c r="D1197" t="str">
        <f>VLOOKUP(B1197,Заказы!A:C,3,0)</f>
        <v>2023-05-05 16:26:00</v>
      </c>
      <c r="E1197" t="str">
        <f>VLOOKUP(C1197,Меню!A:E,4,0)</f>
        <v>Салат</v>
      </c>
      <c r="F1197">
        <f>VLOOKUP(C1197,Меню!A:E,5,0)</f>
        <v>250</v>
      </c>
    </row>
    <row r="1198" spans="1:6" ht="15.75" hidden="1" customHeight="1" x14ac:dyDescent="0.35">
      <c r="A1198" s="1">
        <v>1197</v>
      </c>
      <c r="B1198" s="1">
        <v>234</v>
      </c>
      <c r="C1198" s="1">
        <v>12</v>
      </c>
      <c r="D1198" t="str">
        <f>VLOOKUP(B1198,Заказы!A:C,3,0)</f>
        <v>2023-05-05 17:07:00</v>
      </c>
      <c r="E1198" t="str">
        <f>VLOOKUP(C1198,Меню!A:E,4,0)</f>
        <v>Первое</v>
      </c>
      <c r="F1198">
        <f>VLOOKUP(C1198,Меню!A:E,5,0)</f>
        <v>300</v>
      </c>
    </row>
    <row r="1199" spans="1:6" ht="15.75" hidden="1" customHeight="1" x14ac:dyDescent="0.35">
      <c r="A1199" s="1">
        <v>1198</v>
      </c>
      <c r="B1199" s="1">
        <v>234</v>
      </c>
      <c r="C1199" s="1">
        <v>19</v>
      </c>
      <c r="D1199" t="str">
        <f>VLOOKUP(B1199,Заказы!A:C,3,0)</f>
        <v>2023-05-05 17:07:00</v>
      </c>
      <c r="E1199" t="str">
        <f>VLOOKUP(C1199,Меню!A:E,4,0)</f>
        <v>Первое</v>
      </c>
      <c r="F1199">
        <f>VLOOKUP(C1199,Меню!A:E,5,0)</f>
        <v>300</v>
      </c>
    </row>
    <row r="1200" spans="1:6" ht="15.75" hidden="1" customHeight="1" x14ac:dyDescent="0.35">
      <c r="A1200" s="1">
        <v>1199</v>
      </c>
      <c r="B1200" s="1">
        <v>234</v>
      </c>
      <c r="C1200" s="1">
        <v>36</v>
      </c>
      <c r="D1200" t="str">
        <f>VLOOKUP(B1200,Заказы!A:C,3,0)</f>
        <v>2023-05-05 17:07:00</v>
      </c>
      <c r="E1200" t="str">
        <f>VLOOKUP(C1200,Меню!A:E,4,0)</f>
        <v>Десерт</v>
      </c>
      <c r="F1200">
        <f>VLOOKUP(C1200,Меню!A:E,5,0)</f>
        <v>150</v>
      </c>
    </row>
    <row r="1201" spans="1:6" ht="15.75" hidden="1" customHeight="1" x14ac:dyDescent="0.35">
      <c r="A1201" s="1">
        <v>1200</v>
      </c>
      <c r="B1201" s="1">
        <v>234</v>
      </c>
      <c r="C1201" s="1">
        <v>54</v>
      </c>
      <c r="D1201" t="str">
        <f>VLOOKUP(B1201,Заказы!A:C,3,0)</f>
        <v>2023-05-05 17:07:00</v>
      </c>
      <c r="E1201" t="str">
        <f>VLOOKUP(C1201,Меню!A:E,4,0)</f>
        <v>Суши</v>
      </c>
      <c r="F1201">
        <f>VLOOKUP(C1201,Меню!A:E,5,0)</f>
        <v>100</v>
      </c>
    </row>
    <row r="1202" spans="1:6" ht="15.75" hidden="1" customHeight="1" x14ac:dyDescent="0.35">
      <c r="A1202" s="1">
        <v>1201</v>
      </c>
      <c r="B1202" s="1">
        <v>235</v>
      </c>
      <c r="C1202" s="1">
        <v>7</v>
      </c>
      <c r="D1202" t="str">
        <f>VLOOKUP(B1202,Заказы!A:C,3,0)</f>
        <v>2023-05-05 19:18:00</v>
      </c>
      <c r="E1202" t="str">
        <f>VLOOKUP(C1202,Меню!A:E,4,0)</f>
        <v>Завтрак</v>
      </c>
      <c r="F1202">
        <f>VLOOKUP(C1202,Меню!A:E,5,0)</f>
        <v>200</v>
      </c>
    </row>
    <row r="1203" spans="1:6" ht="15.75" hidden="1" customHeight="1" x14ac:dyDescent="0.35">
      <c r="A1203" s="1">
        <v>1202</v>
      </c>
      <c r="B1203" s="1">
        <v>235</v>
      </c>
      <c r="C1203" s="1">
        <v>58</v>
      </c>
      <c r="D1203" t="str">
        <f>VLOOKUP(B1203,Заказы!A:C,3,0)</f>
        <v>2023-05-05 19:18:00</v>
      </c>
      <c r="E1203" t="str">
        <f>VLOOKUP(C1203,Меню!A:E,4,0)</f>
        <v>Суши</v>
      </c>
      <c r="F1203">
        <f>VLOOKUP(C1203,Меню!A:E,5,0)</f>
        <v>200</v>
      </c>
    </row>
    <row r="1204" spans="1:6" ht="15.75" hidden="1" customHeight="1" x14ac:dyDescent="0.35">
      <c r="A1204" s="1">
        <v>1203</v>
      </c>
      <c r="B1204" s="1">
        <v>235</v>
      </c>
      <c r="C1204" s="1">
        <v>22</v>
      </c>
      <c r="D1204" t="str">
        <f>VLOOKUP(B1204,Заказы!A:C,3,0)</f>
        <v>2023-05-05 19:18:00</v>
      </c>
      <c r="E1204" t="str">
        <f>VLOOKUP(C1204,Меню!A:E,4,0)</f>
        <v>Салат</v>
      </c>
      <c r="F1204">
        <f>VLOOKUP(C1204,Меню!A:E,5,0)</f>
        <v>250</v>
      </c>
    </row>
    <row r="1205" spans="1:6" ht="15.75" hidden="1" customHeight="1" x14ac:dyDescent="0.35">
      <c r="A1205" s="1">
        <v>1204</v>
      </c>
      <c r="B1205" s="1">
        <v>236</v>
      </c>
      <c r="C1205" s="1">
        <v>55</v>
      </c>
      <c r="D1205" t="str">
        <f>VLOOKUP(B1205,Заказы!A:C,3,0)</f>
        <v>2023-05-05 21:02:00</v>
      </c>
      <c r="E1205" t="str">
        <f>VLOOKUP(C1205,Меню!A:E,4,0)</f>
        <v>Суши</v>
      </c>
      <c r="F1205">
        <f>VLOOKUP(C1205,Меню!A:E,5,0)</f>
        <v>100</v>
      </c>
    </row>
    <row r="1206" spans="1:6" ht="15.75" hidden="1" customHeight="1" x14ac:dyDescent="0.35">
      <c r="A1206" s="1">
        <v>1205</v>
      </c>
      <c r="B1206" s="1">
        <v>236</v>
      </c>
      <c r="C1206" s="1">
        <v>55</v>
      </c>
      <c r="D1206" t="str">
        <f>VLOOKUP(B1206,Заказы!A:C,3,0)</f>
        <v>2023-05-05 21:02:00</v>
      </c>
      <c r="E1206" t="str">
        <f>VLOOKUP(C1206,Меню!A:E,4,0)</f>
        <v>Суши</v>
      </c>
      <c r="F1206">
        <f>VLOOKUP(C1206,Меню!A:E,5,0)</f>
        <v>100</v>
      </c>
    </row>
    <row r="1207" spans="1:6" ht="15.75" hidden="1" customHeight="1" x14ac:dyDescent="0.35">
      <c r="A1207" s="1">
        <v>1206</v>
      </c>
      <c r="B1207" s="1">
        <v>236</v>
      </c>
      <c r="C1207" s="1">
        <v>1</v>
      </c>
      <c r="D1207" t="str">
        <f>VLOOKUP(B1207,Заказы!A:C,3,0)</f>
        <v>2023-05-05 21:02:00</v>
      </c>
      <c r="E1207" t="str">
        <f>VLOOKUP(C1207,Меню!A:E,4,0)</f>
        <v>Завтрак</v>
      </c>
      <c r="F1207">
        <f>VLOOKUP(C1207,Меню!A:E,5,0)</f>
        <v>200</v>
      </c>
    </row>
    <row r="1208" spans="1:6" ht="15.75" hidden="1" customHeight="1" x14ac:dyDescent="0.35">
      <c r="A1208" s="1">
        <v>1207</v>
      </c>
      <c r="B1208" s="1">
        <v>236</v>
      </c>
      <c r="C1208" s="1">
        <v>7</v>
      </c>
      <c r="D1208" t="str">
        <f>VLOOKUP(B1208,Заказы!A:C,3,0)</f>
        <v>2023-05-05 21:02:00</v>
      </c>
      <c r="E1208" t="str">
        <f>VLOOKUP(C1208,Меню!A:E,4,0)</f>
        <v>Завтрак</v>
      </c>
      <c r="F1208">
        <f>VLOOKUP(C1208,Меню!A:E,5,0)</f>
        <v>200</v>
      </c>
    </row>
    <row r="1209" spans="1:6" ht="15.75" hidden="1" customHeight="1" x14ac:dyDescent="0.35">
      <c r="A1209" s="1">
        <v>1208</v>
      </c>
      <c r="B1209" s="1">
        <v>236</v>
      </c>
      <c r="C1209" s="1">
        <v>34</v>
      </c>
      <c r="D1209" t="str">
        <f>VLOOKUP(B1209,Заказы!A:C,3,0)</f>
        <v>2023-05-05 21:02:00</v>
      </c>
      <c r="E1209" t="str">
        <f>VLOOKUP(C1209,Меню!A:E,4,0)</f>
        <v>Десерт</v>
      </c>
      <c r="F1209">
        <f>VLOOKUP(C1209,Меню!A:E,5,0)</f>
        <v>150</v>
      </c>
    </row>
    <row r="1210" spans="1:6" ht="15.75" hidden="1" customHeight="1" x14ac:dyDescent="0.35">
      <c r="A1210" s="1">
        <v>1209</v>
      </c>
      <c r="B1210" s="1">
        <v>236</v>
      </c>
      <c r="C1210" s="1">
        <v>56</v>
      </c>
      <c r="D1210" t="str">
        <f>VLOOKUP(B1210,Заказы!A:C,3,0)</f>
        <v>2023-05-05 21:02:00</v>
      </c>
      <c r="E1210" t="str">
        <f>VLOOKUP(C1210,Меню!A:E,4,0)</f>
        <v>Суши</v>
      </c>
      <c r="F1210">
        <f>VLOOKUP(C1210,Меню!A:E,5,0)</f>
        <v>200</v>
      </c>
    </row>
    <row r="1211" spans="1:6" ht="15.75" hidden="1" customHeight="1" x14ac:dyDescent="0.35">
      <c r="A1211" s="1">
        <v>1210</v>
      </c>
      <c r="B1211" s="1">
        <v>237</v>
      </c>
      <c r="C1211" s="1">
        <v>28</v>
      </c>
      <c r="D1211" t="str">
        <f>VLOOKUP(B1211,Заказы!A:C,3,0)</f>
        <v>2023-05-06 19:59:00</v>
      </c>
      <c r="E1211" t="str">
        <f>VLOOKUP(C1211,Меню!A:E,4,0)</f>
        <v>Салат</v>
      </c>
      <c r="F1211">
        <f>VLOOKUP(C1211,Меню!A:E,5,0)</f>
        <v>250</v>
      </c>
    </row>
    <row r="1212" spans="1:6" ht="15.75" hidden="1" customHeight="1" x14ac:dyDescent="0.35">
      <c r="A1212" s="1">
        <v>1211</v>
      </c>
      <c r="B1212" s="1">
        <v>237</v>
      </c>
      <c r="C1212" s="1">
        <v>9</v>
      </c>
      <c r="D1212" t="str">
        <f>VLOOKUP(B1212,Заказы!A:C,3,0)</f>
        <v>2023-05-06 19:59:00</v>
      </c>
      <c r="E1212" t="str">
        <f>VLOOKUP(C1212,Меню!A:E,4,0)</f>
        <v>Завтрак</v>
      </c>
      <c r="F1212">
        <f>VLOOKUP(C1212,Меню!A:E,5,0)</f>
        <v>220</v>
      </c>
    </row>
    <row r="1213" spans="1:6" ht="15.75" hidden="1" customHeight="1" x14ac:dyDescent="0.35">
      <c r="A1213" s="1">
        <v>1212</v>
      </c>
      <c r="B1213" s="1">
        <v>237</v>
      </c>
      <c r="C1213" s="1">
        <v>39</v>
      </c>
      <c r="D1213" t="str">
        <f>VLOOKUP(B1213,Заказы!A:C,3,0)</f>
        <v>2023-05-06 19:59:00</v>
      </c>
      <c r="E1213" t="str">
        <f>VLOOKUP(C1213,Меню!A:E,4,0)</f>
        <v>Десерт</v>
      </c>
      <c r="F1213">
        <f>VLOOKUP(C1213,Меню!A:E,5,0)</f>
        <v>150</v>
      </c>
    </row>
    <row r="1214" spans="1:6" ht="15.75" hidden="1" customHeight="1" x14ac:dyDescent="0.35">
      <c r="A1214" s="1">
        <v>1213</v>
      </c>
      <c r="B1214" s="1">
        <v>237</v>
      </c>
      <c r="C1214" s="1">
        <v>55</v>
      </c>
      <c r="D1214" t="str">
        <f>VLOOKUP(B1214,Заказы!A:C,3,0)</f>
        <v>2023-05-06 19:59:00</v>
      </c>
      <c r="E1214" t="str">
        <f>VLOOKUP(C1214,Меню!A:E,4,0)</f>
        <v>Суши</v>
      </c>
      <c r="F1214">
        <f>VLOOKUP(C1214,Меню!A:E,5,0)</f>
        <v>100</v>
      </c>
    </row>
    <row r="1215" spans="1:6" ht="15.75" hidden="1" customHeight="1" x14ac:dyDescent="0.35">
      <c r="A1215" s="1">
        <v>1214</v>
      </c>
      <c r="B1215" s="1">
        <v>237</v>
      </c>
      <c r="C1215" s="1">
        <v>2</v>
      </c>
      <c r="D1215" t="str">
        <f>VLOOKUP(B1215,Заказы!A:C,3,0)</f>
        <v>2023-05-06 19:59:00</v>
      </c>
      <c r="E1215" t="str">
        <f>VLOOKUP(C1215,Меню!A:E,4,0)</f>
        <v>Завтрак</v>
      </c>
      <c r="F1215">
        <f>VLOOKUP(C1215,Меню!A:E,5,0)</f>
        <v>250</v>
      </c>
    </row>
    <row r="1216" spans="1:6" ht="15.75" hidden="1" customHeight="1" x14ac:dyDescent="0.35">
      <c r="A1216" s="1">
        <v>1215</v>
      </c>
      <c r="B1216" s="1">
        <v>237</v>
      </c>
      <c r="C1216" s="1">
        <v>47</v>
      </c>
      <c r="D1216" t="str">
        <f>VLOOKUP(B1216,Заказы!A:C,3,0)</f>
        <v>2023-05-06 19:59:00</v>
      </c>
      <c r="E1216" t="str">
        <f>VLOOKUP(C1216,Меню!A:E,4,0)</f>
        <v>Суши</v>
      </c>
      <c r="F1216">
        <f>VLOOKUP(C1216,Меню!A:E,5,0)</f>
        <v>200</v>
      </c>
    </row>
    <row r="1217" spans="1:6" ht="15.75" hidden="1" customHeight="1" x14ac:dyDescent="0.35">
      <c r="A1217" s="1">
        <v>1216</v>
      </c>
      <c r="B1217" s="1">
        <v>237</v>
      </c>
      <c r="C1217" s="1">
        <v>46</v>
      </c>
      <c r="D1217" t="str">
        <f>VLOOKUP(B1217,Заказы!A:C,3,0)</f>
        <v>2023-05-06 19:59:00</v>
      </c>
      <c r="E1217" t="str">
        <f>VLOOKUP(C1217,Меню!A:E,4,0)</f>
        <v>Суши</v>
      </c>
      <c r="F1217">
        <f>VLOOKUP(C1217,Меню!A:E,5,0)</f>
        <v>200</v>
      </c>
    </row>
    <row r="1218" spans="1:6" ht="15.75" hidden="1" customHeight="1" x14ac:dyDescent="0.35">
      <c r="A1218" s="1">
        <v>1217</v>
      </c>
      <c r="B1218" s="1">
        <v>238</v>
      </c>
      <c r="C1218" s="1">
        <v>39</v>
      </c>
      <c r="D1218" t="str">
        <f>VLOOKUP(B1218,Заказы!A:C,3,0)</f>
        <v>2023-05-06 21:41:00</v>
      </c>
      <c r="E1218" t="str">
        <f>VLOOKUP(C1218,Меню!A:E,4,0)</f>
        <v>Десерт</v>
      </c>
      <c r="F1218">
        <f>VLOOKUP(C1218,Меню!A:E,5,0)</f>
        <v>150</v>
      </c>
    </row>
    <row r="1219" spans="1:6" ht="15.75" hidden="1" customHeight="1" x14ac:dyDescent="0.35">
      <c r="A1219" s="1">
        <v>1218</v>
      </c>
      <c r="B1219" s="1">
        <v>238</v>
      </c>
      <c r="C1219" s="1">
        <v>57</v>
      </c>
      <c r="D1219" t="str">
        <f>VLOOKUP(B1219,Заказы!A:C,3,0)</f>
        <v>2023-05-06 21:41:00</v>
      </c>
      <c r="E1219" t="str">
        <f>VLOOKUP(C1219,Меню!A:E,4,0)</f>
        <v>Суши</v>
      </c>
      <c r="F1219">
        <f>VLOOKUP(C1219,Меню!A:E,5,0)</f>
        <v>200</v>
      </c>
    </row>
    <row r="1220" spans="1:6" ht="15.75" hidden="1" customHeight="1" x14ac:dyDescent="0.35">
      <c r="A1220" s="1">
        <v>1219</v>
      </c>
      <c r="B1220" s="1">
        <v>238</v>
      </c>
      <c r="C1220" s="1">
        <v>20</v>
      </c>
      <c r="D1220" t="str">
        <f>VLOOKUP(B1220,Заказы!A:C,3,0)</f>
        <v>2023-05-06 21:41:00</v>
      </c>
      <c r="E1220" t="str">
        <f>VLOOKUP(C1220,Меню!A:E,4,0)</f>
        <v>Первое</v>
      </c>
      <c r="F1220">
        <f>VLOOKUP(C1220,Меню!A:E,5,0)</f>
        <v>250</v>
      </c>
    </row>
    <row r="1221" spans="1:6" ht="15.75" hidden="1" customHeight="1" x14ac:dyDescent="0.35">
      <c r="A1221" s="1">
        <v>1220</v>
      </c>
      <c r="B1221" s="1">
        <v>238</v>
      </c>
      <c r="C1221" s="1">
        <v>50</v>
      </c>
      <c r="D1221" t="str">
        <f>VLOOKUP(B1221,Заказы!A:C,3,0)</f>
        <v>2023-05-06 21:41:00</v>
      </c>
      <c r="E1221" t="str">
        <f>VLOOKUP(C1221,Меню!A:E,4,0)</f>
        <v>Суши</v>
      </c>
      <c r="F1221">
        <f>VLOOKUP(C1221,Меню!A:E,5,0)</f>
        <v>200</v>
      </c>
    </row>
    <row r="1222" spans="1:6" ht="15.75" hidden="1" customHeight="1" x14ac:dyDescent="0.35">
      <c r="A1222" s="1">
        <v>1221</v>
      </c>
      <c r="B1222" s="1">
        <v>238</v>
      </c>
      <c r="C1222" s="1">
        <v>29</v>
      </c>
      <c r="D1222" t="str">
        <f>VLOOKUP(B1222,Заказы!A:C,3,0)</f>
        <v>2023-05-06 21:41:00</v>
      </c>
      <c r="E1222" t="str">
        <f>VLOOKUP(C1222,Меню!A:E,4,0)</f>
        <v>Салат</v>
      </c>
      <c r="F1222">
        <f>VLOOKUP(C1222,Меню!A:E,5,0)</f>
        <v>250</v>
      </c>
    </row>
    <row r="1223" spans="1:6" ht="15.75" hidden="1" customHeight="1" x14ac:dyDescent="0.35">
      <c r="A1223" s="1">
        <v>1222</v>
      </c>
      <c r="B1223" s="1">
        <v>238</v>
      </c>
      <c r="C1223" s="1">
        <v>22</v>
      </c>
      <c r="D1223" t="str">
        <f>VLOOKUP(B1223,Заказы!A:C,3,0)</f>
        <v>2023-05-06 21:41:00</v>
      </c>
      <c r="E1223" t="str">
        <f>VLOOKUP(C1223,Меню!A:E,4,0)</f>
        <v>Салат</v>
      </c>
      <c r="F1223">
        <f>VLOOKUP(C1223,Меню!A:E,5,0)</f>
        <v>250</v>
      </c>
    </row>
    <row r="1224" spans="1:6" ht="15.75" hidden="1" customHeight="1" x14ac:dyDescent="0.35">
      <c r="A1224" s="1">
        <v>1223</v>
      </c>
      <c r="B1224" s="1">
        <v>238</v>
      </c>
      <c r="C1224" s="1">
        <v>60</v>
      </c>
      <c r="D1224" t="str">
        <f>VLOOKUP(B1224,Заказы!A:C,3,0)</f>
        <v>2023-05-06 21:41:00</v>
      </c>
      <c r="E1224" t="str">
        <f>VLOOKUP(C1224,Меню!A:E,4,0)</f>
        <v>Суши</v>
      </c>
      <c r="F1224">
        <f>VLOOKUP(C1224,Меню!A:E,5,0)</f>
        <v>250</v>
      </c>
    </row>
    <row r="1225" spans="1:6" ht="15.75" hidden="1" customHeight="1" x14ac:dyDescent="0.35">
      <c r="A1225" s="1">
        <v>1224</v>
      </c>
      <c r="B1225" s="1">
        <v>238</v>
      </c>
      <c r="C1225" s="1">
        <v>37</v>
      </c>
      <c r="D1225" t="str">
        <f>VLOOKUP(B1225,Заказы!A:C,3,0)</f>
        <v>2023-05-06 21:41:00</v>
      </c>
      <c r="E1225" t="str">
        <f>VLOOKUP(C1225,Меню!A:E,4,0)</f>
        <v>Десерт</v>
      </c>
      <c r="F1225">
        <f>VLOOKUP(C1225,Меню!A:E,5,0)</f>
        <v>100</v>
      </c>
    </row>
    <row r="1226" spans="1:6" ht="15.75" hidden="1" customHeight="1" x14ac:dyDescent="0.35">
      <c r="A1226" s="1">
        <v>1225</v>
      </c>
      <c r="B1226" s="1">
        <v>238</v>
      </c>
      <c r="C1226" s="1">
        <v>13</v>
      </c>
      <c r="D1226" t="str">
        <f>VLOOKUP(B1226,Заказы!A:C,3,0)</f>
        <v>2023-05-06 21:41:00</v>
      </c>
      <c r="E1226" t="str">
        <f>VLOOKUP(C1226,Меню!A:E,4,0)</f>
        <v>Первое</v>
      </c>
      <c r="F1226">
        <f>VLOOKUP(C1226,Меню!A:E,5,0)</f>
        <v>280</v>
      </c>
    </row>
    <row r="1227" spans="1:6" ht="15.75" hidden="1" customHeight="1" x14ac:dyDescent="0.35">
      <c r="A1227" s="1">
        <v>1226</v>
      </c>
      <c r="B1227" s="1">
        <v>239</v>
      </c>
      <c r="C1227" s="1">
        <v>24</v>
      </c>
      <c r="D1227" t="str">
        <f>VLOOKUP(B1227,Заказы!A:C,3,0)</f>
        <v>2023-05-07 17:19:00</v>
      </c>
      <c r="E1227" t="str">
        <f>VLOOKUP(C1227,Меню!A:E,4,0)</f>
        <v>Салат</v>
      </c>
      <c r="F1227">
        <f>VLOOKUP(C1227,Меню!A:E,5,0)</f>
        <v>250</v>
      </c>
    </row>
    <row r="1228" spans="1:6" ht="15.75" hidden="1" customHeight="1" x14ac:dyDescent="0.35">
      <c r="A1228" s="1">
        <v>1227</v>
      </c>
      <c r="B1228" s="1">
        <v>239</v>
      </c>
      <c r="C1228" s="1">
        <v>9</v>
      </c>
      <c r="D1228" t="str">
        <f>VLOOKUP(B1228,Заказы!A:C,3,0)</f>
        <v>2023-05-07 17:19:00</v>
      </c>
      <c r="E1228" t="str">
        <f>VLOOKUP(C1228,Меню!A:E,4,0)</f>
        <v>Завтрак</v>
      </c>
      <c r="F1228">
        <f>VLOOKUP(C1228,Меню!A:E,5,0)</f>
        <v>220</v>
      </c>
    </row>
    <row r="1229" spans="1:6" ht="15.75" hidden="1" customHeight="1" x14ac:dyDescent="0.35">
      <c r="A1229" s="1">
        <v>1228</v>
      </c>
      <c r="B1229" s="1">
        <v>239</v>
      </c>
      <c r="C1229" s="1">
        <v>48</v>
      </c>
      <c r="D1229" t="str">
        <f>VLOOKUP(B1229,Заказы!A:C,3,0)</f>
        <v>2023-05-07 17:19:00</v>
      </c>
      <c r="E1229" t="str">
        <f>VLOOKUP(C1229,Меню!A:E,4,0)</f>
        <v>Суши</v>
      </c>
      <c r="F1229">
        <f>VLOOKUP(C1229,Меню!A:E,5,0)</f>
        <v>200</v>
      </c>
    </row>
    <row r="1230" spans="1:6" ht="15.75" hidden="1" customHeight="1" x14ac:dyDescent="0.35">
      <c r="A1230" s="1">
        <v>1229</v>
      </c>
      <c r="B1230" s="1">
        <v>239</v>
      </c>
      <c r="C1230" s="1">
        <v>38</v>
      </c>
      <c r="D1230" t="str">
        <f>VLOOKUP(B1230,Заказы!A:C,3,0)</f>
        <v>2023-05-07 17:19:00</v>
      </c>
      <c r="E1230" t="str">
        <f>VLOOKUP(C1230,Меню!A:E,4,0)</f>
        <v>Десерт</v>
      </c>
      <c r="F1230">
        <f>VLOOKUP(C1230,Меню!A:E,5,0)</f>
        <v>150</v>
      </c>
    </row>
    <row r="1231" spans="1:6" ht="15.75" hidden="1" customHeight="1" x14ac:dyDescent="0.35">
      <c r="A1231" s="1">
        <v>1230</v>
      </c>
      <c r="B1231" s="1">
        <v>239</v>
      </c>
      <c r="C1231" s="1">
        <v>43</v>
      </c>
      <c r="D1231" t="str">
        <f>VLOOKUP(B1231,Заказы!A:C,3,0)</f>
        <v>2023-05-07 17:19:00</v>
      </c>
      <c r="E1231" t="str">
        <f>VLOOKUP(C1231,Меню!A:E,4,0)</f>
        <v>Суши</v>
      </c>
      <c r="F1231">
        <f>VLOOKUP(C1231,Меню!A:E,5,0)</f>
        <v>250</v>
      </c>
    </row>
    <row r="1232" spans="1:6" ht="15.75" hidden="1" customHeight="1" x14ac:dyDescent="0.35">
      <c r="A1232" s="1">
        <v>1231</v>
      </c>
      <c r="B1232" s="1">
        <v>239</v>
      </c>
      <c r="C1232" s="1">
        <v>46</v>
      </c>
      <c r="D1232" t="str">
        <f>VLOOKUP(B1232,Заказы!A:C,3,0)</f>
        <v>2023-05-07 17:19:00</v>
      </c>
      <c r="E1232" t="str">
        <f>VLOOKUP(C1232,Меню!A:E,4,0)</f>
        <v>Суши</v>
      </c>
      <c r="F1232">
        <f>VLOOKUP(C1232,Меню!A:E,5,0)</f>
        <v>200</v>
      </c>
    </row>
    <row r="1233" spans="1:6" ht="15.75" hidden="1" customHeight="1" x14ac:dyDescent="0.35">
      <c r="A1233" s="1">
        <v>1232</v>
      </c>
      <c r="B1233" s="1">
        <v>240</v>
      </c>
      <c r="C1233" s="1">
        <v>24</v>
      </c>
      <c r="D1233" t="str">
        <f>VLOOKUP(B1233,Заказы!A:C,3,0)</f>
        <v>2023-05-07 18:36:00</v>
      </c>
      <c r="E1233" t="str">
        <f>VLOOKUP(C1233,Меню!A:E,4,0)</f>
        <v>Салат</v>
      </c>
      <c r="F1233">
        <f>VLOOKUP(C1233,Меню!A:E,5,0)</f>
        <v>250</v>
      </c>
    </row>
    <row r="1234" spans="1:6" ht="15.75" hidden="1" customHeight="1" x14ac:dyDescent="0.35">
      <c r="A1234" s="1">
        <v>1233</v>
      </c>
      <c r="B1234" s="1">
        <v>240</v>
      </c>
      <c r="C1234" s="1">
        <v>51</v>
      </c>
      <c r="D1234" t="str">
        <f>VLOOKUP(B1234,Заказы!A:C,3,0)</f>
        <v>2023-05-07 18:36:00</v>
      </c>
      <c r="E1234" t="str">
        <f>VLOOKUP(C1234,Меню!A:E,4,0)</f>
        <v>Суши</v>
      </c>
      <c r="F1234">
        <f>VLOOKUP(C1234,Меню!A:E,5,0)</f>
        <v>100</v>
      </c>
    </row>
    <row r="1235" spans="1:6" ht="15.75" hidden="1" customHeight="1" x14ac:dyDescent="0.35">
      <c r="A1235" s="1">
        <v>1234</v>
      </c>
      <c r="B1235" s="1">
        <v>241</v>
      </c>
      <c r="C1235" s="1">
        <v>52</v>
      </c>
      <c r="D1235" t="str">
        <f>VLOOKUP(B1235,Заказы!A:C,3,0)</f>
        <v>2023-05-07 21:55:00</v>
      </c>
      <c r="E1235" t="str">
        <f>VLOOKUP(C1235,Меню!A:E,4,0)</f>
        <v>Суши</v>
      </c>
      <c r="F1235">
        <f>VLOOKUP(C1235,Меню!A:E,5,0)</f>
        <v>100</v>
      </c>
    </row>
    <row r="1236" spans="1:6" ht="15.75" hidden="1" customHeight="1" x14ac:dyDescent="0.35">
      <c r="A1236" s="1">
        <v>1235</v>
      </c>
      <c r="B1236" s="1">
        <v>241</v>
      </c>
      <c r="C1236" s="1">
        <v>20</v>
      </c>
      <c r="D1236" t="str">
        <f>VLOOKUP(B1236,Заказы!A:C,3,0)</f>
        <v>2023-05-07 21:55:00</v>
      </c>
      <c r="E1236" t="str">
        <f>VLOOKUP(C1236,Меню!A:E,4,0)</f>
        <v>Первое</v>
      </c>
      <c r="F1236">
        <f>VLOOKUP(C1236,Меню!A:E,5,0)</f>
        <v>250</v>
      </c>
    </row>
    <row r="1237" spans="1:6" ht="15.75" hidden="1" customHeight="1" x14ac:dyDescent="0.35">
      <c r="A1237" s="1">
        <v>1236</v>
      </c>
      <c r="B1237" s="1">
        <v>241</v>
      </c>
      <c r="C1237" s="1">
        <v>33</v>
      </c>
      <c r="D1237" t="str">
        <f>VLOOKUP(B1237,Заказы!A:C,3,0)</f>
        <v>2023-05-07 21:55:00</v>
      </c>
      <c r="E1237" t="str">
        <f>VLOOKUP(C1237,Меню!A:E,4,0)</f>
        <v>Десерт</v>
      </c>
      <c r="F1237">
        <f>VLOOKUP(C1237,Меню!A:E,5,0)</f>
        <v>150</v>
      </c>
    </row>
    <row r="1238" spans="1:6" ht="15.75" hidden="1" customHeight="1" x14ac:dyDescent="0.35">
      <c r="A1238" s="1">
        <v>1237</v>
      </c>
      <c r="B1238" s="1">
        <v>241</v>
      </c>
      <c r="C1238" s="1">
        <v>38</v>
      </c>
      <c r="D1238" t="str">
        <f>VLOOKUP(B1238,Заказы!A:C,3,0)</f>
        <v>2023-05-07 21:55:00</v>
      </c>
      <c r="E1238" t="str">
        <f>VLOOKUP(C1238,Меню!A:E,4,0)</f>
        <v>Десерт</v>
      </c>
      <c r="F1238">
        <f>VLOOKUP(C1238,Меню!A:E,5,0)</f>
        <v>150</v>
      </c>
    </row>
    <row r="1239" spans="1:6" ht="15.75" hidden="1" customHeight="1" x14ac:dyDescent="0.35">
      <c r="A1239" s="1">
        <v>1238</v>
      </c>
      <c r="B1239" s="1">
        <v>241</v>
      </c>
      <c r="C1239" s="1">
        <v>36</v>
      </c>
      <c r="D1239" t="str">
        <f>VLOOKUP(B1239,Заказы!A:C,3,0)</f>
        <v>2023-05-07 21:55:00</v>
      </c>
      <c r="E1239" t="str">
        <f>VLOOKUP(C1239,Меню!A:E,4,0)</f>
        <v>Десерт</v>
      </c>
      <c r="F1239">
        <f>VLOOKUP(C1239,Меню!A:E,5,0)</f>
        <v>150</v>
      </c>
    </row>
    <row r="1240" spans="1:6" ht="15.75" hidden="1" customHeight="1" x14ac:dyDescent="0.35">
      <c r="A1240" s="1">
        <v>1239</v>
      </c>
      <c r="B1240" s="1">
        <v>241</v>
      </c>
      <c r="C1240" s="1">
        <v>21</v>
      </c>
      <c r="D1240" t="str">
        <f>VLOOKUP(B1240,Заказы!A:C,3,0)</f>
        <v>2023-05-07 21:55:00</v>
      </c>
      <c r="E1240" t="str">
        <f>VLOOKUP(C1240,Меню!A:E,4,0)</f>
        <v>Салат</v>
      </c>
      <c r="F1240">
        <f>VLOOKUP(C1240,Меню!A:E,5,0)</f>
        <v>250</v>
      </c>
    </row>
    <row r="1241" spans="1:6" ht="15.75" hidden="1" customHeight="1" x14ac:dyDescent="0.35">
      <c r="A1241" s="1">
        <v>1240</v>
      </c>
      <c r="B1241" s="1">
        <v>241</v>
      </c>
      <c r="C1241" s="1">
        <v>32</v>
      </c>
      <c r="D1241" t="str">
        <f>VLOOKUP(B1241,Заказы!A:C,3,0)</f>
        <v>2023-05-07 21:55:00</v>
      </c>
      <c r="E1241" t="str">
        <f>VLOOKUP(C1241,Меню!A:E,4,0)</f>
        <v>Десерт</v>
      </c>
      <c r="F1241">
        <f>VLOOKUP(C1241,Меню!A:E,5,0)</f>
        <v>150</v>
      </c>
    </row>
    <row r="1242" spans="1:6" ht="15.75" hidden="1" customHeight="1" x14ac:dyDescent="0.35">
      <c r="A1242" s="1">
        <v>1241</v>
      </c>
      <c r="B1242" s="1">
        <v>242</v>
      </c>
      <c r="C1242" s="1">
        <v>2</v>
      </c>
      <c r="D1242" t="str">
        <f>VLOOKUP(B1242,Заказы!A:C,3,0)</f>
        <v>2023-05-07 22:16:00</v>
      </c>
      <c r="E1242" t="str">
        <f>VLOOKUP(C1242,Меню!A:E,4,0)</f>
        <v>Завтрак</v>
      </c>
      <c r="F1242">
        <f>VLOOKUP(C1242,Меню!A:E,5,0)</f>
        <v>250</v>
      </c>
    </row>
    <row r="1243" spans="1:6" ht="15.75" hidden="1" customHeight="1" x14ac:dyDescent="0.35">
      <c r="A1243" s="1">
        <v>1242</v>
      </c>
      <c r="B1243" s="1">
        <v>243</v>
      </c>
      <c r="C1243" s="1">
        <v>34</v>
      </c>
      <c r="D1243" t="str">
        <f>VLOOKUP(B1243,Заказы!A:C,3,0)</f>
        <v>2023-05-08 16:29:00</v>
      </c>
      <c r="E1243" t="str">
        <f>VLOOKUP(C1243,Меню!A:E,4,0)</f>
        <v>Десерт</v>
      </c>
      <c r="F1243">
        <f>VLOOKUP(C1243,Меню!A:E,5,0)</f>
        <v>150</v>
      </c>
    </row>
    <row r="1244" spans="1:6" ht="15.75" hidden="1" customHeight="1" x14ac:dyDescent="0.35">
      <c r="A1244" s="1">
        <v>1243</v>
      </c>
      <c r="B1244" s="1">
        <v>243</v>
      </c>
      <c r="C1244" s="1">
        <v>31</v>
      </c>
      <c r="D1244" t="str">
        <f>VLOOKUP(B1244,Заказы!A:C,3,0)</f>
        <v>2023-05-08 16:29:00</v>
      </c>
      <c r="E1244" t="str">
        <f>VLOOKUP(C1244,Меню!A:E,4,0)</f>
        <v>Десерт</v>
      </c>
      <c r="F1244">
        <f>VLOOKUP(C1244,Меню!A:E,5,0)</f>
        <v>150</v>
      </c>
    </row>
    <row r="1245" spans="1:6" ht="15.75" hidden="1" customHeight="1" x14ac:dyDescent="0.35">
      <c r="A1245" s="1">
        <v>1244</v>
      </c>
      <c r="B1245" s="1">
        <v>244</v>
      </c>
      <c r="C1245" s="1">
        <v>53</v>
      </c>
      <c r="D1245" t="str">
        <f>VLOOKUP(B1245,Заказы!A:C,3,0)</f>
        <v>2023-05-08 17:25:00</v>
      </c>
      <c r="E1245" t="str">
        <f>VLOOKUP(C1245,Меню!A:E,4,0)</f>
        <v>Суши</v>
      </c>
      <c r="F1245">
        <f>VLOOKUP(C1245,Меню!A:E,5,0)</f>
        <v>100</v>
      </c>
    </row>
    <row r="1246" spans="1:6" ht="15.75" hidden="1" customHeight="1" x14ac:dyDescent="0.35">
      <c r="A1246" s="1">
        <v>1245</v>
      </c>
      <c r="B1246" s="1">
        <v>244</v>
      </c>
      <c r="C1246" s="1">
        <v>13</v>
      </c>
      <c r="D1246" t="str">
        <f>VLOOKUP(B1246,Заказы!A:C,3,0)</f>
        <v>2023-05-08 17:25:00</v>
      </c>
      <c r="E1246" t="str">
        <f>VLOOKUP(C1246,Меню!A:E,4,0)</f>
        <v>Первое</v>
      </c>
      <c r="F1246">
        <f>VLOOKUP(C1246,Меню!A:E,5,0)</f>
        <v>280</v>
      </c>
    </row>
    <row r="1247" spans="1:6" ht="15.75" hidden="1" customHeight="1" x14ac:dyDescent="0.35">
      <c r="A1247" s="1">
        <v>1246</v>
      </c>
      <c r="B1247" s="1">
        <v>244</v>
      </c>
      <c r="C1247" s="1">
        <v>9</v>
      </c>
      <c r="D1247" t="str">
        <f>VLOOKUP(B1247,Заказы!A:C,3,0)</f>
        <v>2023-05-08 17:25:00</v>
      </c>
      <c r="E1247" t="str">
        <f>VLOOKUP(C1247,Меню!A:E,4,0)</f>
        <v>Завтрак</v>
      </c>
      <c r="F1247">
        <f>VLOOKUP(C1247,Меню!A:E,5,0)</f>
        <v>220</v>
      </c>
    </row>
    <row r="1248" spans="1:6" ht="15.75" hidden="1" customHeight="1" x14ac:dyDescent="0.35">
      <c r="A1248" s="1">
        <v>1247</v>
      </c>
      <c r="B1248" s="1">
        <v>244</v>
      </c>
      <c r="C1248" s="1">
        <v>56</v>
      </c>
      <c r="D1248" t="str">
        <f>VLOOKUP(B1248,Заказы!A:C,3,0)</f>
        <v>2023-05-08 17:25:00</v>
      </c>
      <c r="E1248" t="str">
        <f>VLOOKUP(C1248,Меню!A:E,4,0)</f>
        <v>Суши</v>
      </c>
      <c r="F1248">
        <f>VLOOKUP(C1248,Меню!A:E,5,0)</f>
        <v>200</v>
      </c>
    </row>
    <row r="1249" spans="1:6" ht="15.75" hidden="1" customHeight="1" x14ac:dyDescent="0.35">
      <c r="A1249" s="1">
        <v>1248</v>
      </c>
      <c r="B1249" s="1">
        <v>244</v>
      </c>
      <c r="C1249" s="1">
        <v>53</v>
      </c>
      <c r="D1249" t="str">
        <f>VLOOKUP(B1249,Заказы!A:C,3,0)</f>
        <v>2023-05-08 17:25:00</v>
      </c>
      <c r="E1249" t="str">
        <f>VLOOKUP(C1249,Меню!A:E,4,0)</f>
        <v>Суши</v>
      </c>
      <c r="F1249">
        <f>VLOOKUP(C1249,Меню!A:E,5,0)</f>
        <v>100</v>
      </c>
    </row>
    <row r="1250" spans="1:6" ht="15.75" hidden="1" customHeight="1" x14ac:dyDescent="0.35">
      <c r="A1250" s="1">
        <v>1249</v>
      </c>
      <c r="B1250" s="1">
        <v>245</v>
      </c>
      <c r="C1250" s="1">
        <v>31</v>
      </c>
      <c r="D1250" t="str">
        <f>VLOOKUP(B1250,Заказы!A:C,3,0)</f>
        <v>2023-05-08 17:27:00</v>
      </c>
      <c r="E1250" t="str">
        <f>VLOOKUP(C1250,Меню!A:E,4,0)</f>
        <v>Десерт</v>
      </c>
      <c r="F1250">
        <f>VLOOKUP(C1250,Меню!A:E,5,0)</f>
        <v>150</v>
      </c>
    </row>
    <row r="1251" spans="1:6" ht="15.75" hidden="1" customHeight="1" x14ac:dyDescent="0.35">
      <c r="A1251" s="1">
        <v>1250</v>
      </c>
      <c r="B1251" s="1">
        <v>245</v>
      </c>
      <c r="C1251" s="1">
        <v>9</v>
      </c>
      <c r="D1251" t="str">
        <f>VLOOKUP(B1251,Заказы!A:C,3,0)</f>
        <v>2023-05-08 17:27:00</v>
      </c>
      <c r="E1251" t="str">
        <f>VLOOKUP(C1251,Меню!A:E,4,0)</f>
        <v>Завтрак</v>
      </c>
      <c r="F1251">
        <f>VLOOKUP(C1251,Меню!A:E,5,0)</f>
        <v>220</v>
      </c>
    </row>
    <row r="1252" spans="1:6" ht="15.75" hidden="1" customHeight="1" x14ac:dyDescent="0.35">
      <c r="A1252" s="1">
        <v>1251</v>
      </c>
      <c r="B1252" s="1">
        <v>245</v>
      </c>
      <c r="C1252" s="1">
        <v>35</v>
      </c>
      <c r="D1252" t="str">
        <f>VLOOKUP(B1252,Заказы!A:C,3,0)</f>
        <v>2023-05-08 17:27:00</v>
      </c>
      <c r="E1252" t="str">
        <f>VLOOKUP(C1252,Меню!A:E,4,0)</f>
        <v>Десерт</v>
      </c>
      <c r="F1252">
        <f>VLOOKUP(C1252,Меню!A:E,5,0)</f>
        <v>150</v>
      </c>
    </row>
    <row r="1253" spans="1:6" ht="15.75" hidden="1" customHeight="1" x14ac:dyDescent="0.35">
      <c r="A1253" s="1">
        <v>1252</v>
      </c>
      <c r="B1253" s="1">
        <v>245</v>
      </c>
      <c r="C1253" s="1">
        <v>15</v>
      </c>
      <c r="D1253" t="str">
        <f>VLOOKUP(B1253,Заказы!A:C,3,0)</f>
        <v>2023-05-08 17:27:00</v>
      </c>
      <c r="E1253" t="str">
        <f>VLOOKUP(C1253,Меню!A:E,4,0)</f>
        <v>Первое</v>
      </c>
      <c r="F1253">
        <f>VLOOKUP(C1253,Меню!A:E,5,0)</f>
        <v>250</v>
      </c>
    </row>
    <row r="1254" spans="1:6" ht="15.75" hidden="1" customHeight="1" x14ac:dyDescent="0.35">
      <c r="A1254" s="1">
        <v>1253</v>
      </c>
      <c r="B1254" s="1">
        <v>245</v>
      </c>
      <c r="C1254" s="1">
        <v>59</v>
      </c>
      <c r="D1254" t="str">
        <f>VLOOKUP(B1254,Заказы!A:C,3,0)</f>
        <v>2023-05-08 17:27:00</v>
      </c>
      <c r="E1254" t="str">
        <f>VLOOKUP(C1254,Меню!A:E,4,0)</f>
        <v>Суши</v>
      </c>
      <c r="F1254">
        <f>VLOOKUP(C1254,Меню!A:E,5,0)</f>
        <v>300</v>
      </c>
    </row>
    <row r="1255" spans="1:6" ht="15.75" hidden="1" customHeight="1" x14ac:dyDescent="0.35">
      <c r="A1255" s="1">
        <v>1254</v>
      </c>
      <c r="B1255" s="1">
        <v>245</v>
      </c>
      <c r="C1255" s="1">
        <v>52</v>
      </c>
      <c r="D1255" t="str">
        <f>VLOOKUP(B1255,Заказы!A:C,3,0)</f>
        <v>2023-05-08 17:27:00</v>
      </c>
      <c r="E1255" t="str">
        <f>VLOOKUP(C1255,Меню!A:E,4,0)</f>
        <v>Суши</v>
      </c>
      <c r="F1255">
        <f>VLOOKUP(C1255,Меню!A:E,5,0)</f>
        <v>100</v>
      </c>
    </row>
    <row r="1256" spans="1:6" ht="15.75" hidden="1" customHeight="1" x14ac:dyDescent="0.35">
      <c r="A1256" s="1">
        <v>1255</v>
      </c>
      <c r="B1256" s="1">
        <v>245</v>
      </c>
      <c r="C1256" s="1">
        <v>5</v>
      </c>
      <c r="D1256" t="str">
        <f>VLOOKUP(B1256,Заказы!A:C,3,0)</f>
        <v>2023-05-08 17:27:00</v>
      </c>
      <c r="E1256" t="str">
        <f>VLOOKUP(C1256,Меню!A:E,4,0)</f>
        <v>Завтрак</v>
      </c>
      <c r="F1256">
        <f>VLOOKUP(C1256,Меню!A:E,5,0)</f>
        <v>220</v>
      </c>
    </row>
    <row r="1257" spans="1:6" ht="15.75" hidden="1" customHeight="1" x14ac:dyDescent="0.35">
      <c r="A1257" s="1">
        <v>1256</v>
      </c>
      <c r="B1257" s="1">
        <v>245</v>
      </c>
      <c r="C1257" s="1">
        <v>23</v>
      </c>
      <c r="D1257" t="str">
        <f>VLOOKUP(B1257,Заказы!A:C,3,0)</f>
        <v>2023-05-08 17:27:00</v>
      </c>
      <c r="E1257" t="str">
        <f>VLOOKUP(C1257,Меню!A:E,4,0)</f>
        <v>Салат</v>
      </c>
      <c r="F1257">
        <f>VLOOKUP(C1257,Меню!A:E,5,0)</f>
        <v>250</v>
      </c>
    </row>
    <row r="1258" spans="1:6" ht="15.75" hidden="1" customHeight="1" x14ac:dyDescent="0.35">
      <c r="A1258" s="1">
        <v>1257</v>
      </c>
      <c r="B1258" s="1">
        <v>245</v>
      </c>
      <c r="C1258" s="1">
        <v>42</v>
      </c>
      <c r="D1258" t="str">
        <f>VLOOKUP(B1258,Заказы!A:C,3,0)</f>
        <v>2023-05-08 17:27:00</v>
      </c>
      <c r="E1258" t="str">
        <f>VLOOKUP(C1258,Меню!A:E,4,0)</f>
        <v>Суши</v>
      </c>
      <c r="F1258">
        <f>VLOOKUP(C1258,Меню!A:E,5,0)</f>
        <v>250</v>
      </c>
    </row>
    <row r="1259" spans="1:6" ht="15.75" hidden="1" customHeight="1" x14ac:dyDescent="0.35">
      <c r="A1259" s="1">
        <v>1258</v>
      </c>
      <c r="B1259" s="1">
        <v>246</v>
      </c>
      <c r="C1259" s="1">
        <v>36</v>
      </c>
      <c r="D1259" t="str">
        <f>VLOOKUP(B1259,Заказы!A:C,3,0)</f>
        <v>2023-05-08 17:53:00</v>
      </c>
      <c r="E1259" t="str">
        <f>VLOOKUP(C1259,Меню!A:E,4,0)</f>
        <v>Десерт</v>
      </c>
      <c r="F1259">
        <f>VLOOKUP(C1259,Меню!A:E,5,0)</f>
        <v>150</v>
      </c>
    </row>
    <row r="1260" spans="1:6" ht="15.75" hidden="1" customHeight="1" x14ac:dyDescent="0.35">
      <c r="A1260" s="1">
        <v>1259</v>
      </c>
      <c r="B1260" s="1">
        <v>246</v>
      </c>
      <c r="C1260" s="1">
        <v>17</v>
      </c>
      <c r="D1260" t="str">
        <f>VLOOKUP(B1260,Заказы!A:C,3,0)</f>
        <v>2023-05-08 17:53:00</v>
      </c>
      <c r="E1260" t="str">
        <f>VLOOKUP(C1260,Меню!A:E,4,0)</f>
        <v>Первое</v>
      </c>
      <c r="F1260">
        <f>VLOOKUP(C1260,Меню!A:E,5,0)</f>
        <v>250</v>
      </c>
    </row>
    <row r="1261" spans="1:6" ht="15.75" hidden="1" customHeight="1" x14ac:dyDescent="0.35">
      <c r="A1261" s="1">
        <v>1260</v>
      </c>
      <c r="B1261" s="1">
        <v>246</v>
      </c>
      <c r="C1261" s="1">
        <v>36</v>
      </c>
      <c r="D1261" t="str">
        <f>VLOOKUP(B1261,Заказы!A:C,3,0)</f>
        <v>2023-05-08 17:53:00</v>
      </c>
      <c r="E1261" t="str">
        <f>VLOOKUP(C1261,Меню!A:E,4,0)</f>
        <v>Десерт</v>
      </c>
      <c r="F1261">
        <f>VLOOKUP(C1261,Меню!A:E,5,0)</f>
        <v>150</v>
      </c>
    </row>
    <row r="1262" spans="1:6" ht="15.75" hidden="1" customHeight="1" x14ac:dyDescent="0.35">
      <c r="A1262" s="1">
        <v>1261</v>
      </c>
      <c r="B1262" s="1">
        <v>246</v>
      </c>
      <c r="C1262" s="1">
        <v>60</v>
      </c>
      <c r="D1262" t="str">
        <f>VLOOKUP(B1262,Заказы!A:C,3,0)</f>
        <v>2023-05-08 17:53:00</v>
      </c>
      <c r="E1262" t="str">
        <f>VLOOKUP(C1262,Меню!A:E,4,0)</f>
        <v>Суши</v>
      </c>
      <c r="F1262">
        <f>VLOOKUP(C1262,Меню!A:E,5,0)</f>
        <v>250</v>
      </c>
    </row>
    <row r="1263" spans="1:6" ht="15.75" hidden="1" customHeight="1" x14ac:dyDescent="0.35">
      <c r="A1263" s="1">
        <v>1262</v>
      </c>
      <c r="B1263" s="1">
        <v>246</v>
      </c>
      <c r="C1263" s="1">
        <v>7</v>
      </c>
      <c r="D1263" t="str">
        <f>VLOOKUP(B1263,Заказы!A:C,3,0)</f>
        <v>2023-05-08 17:53:00</v>
      </c>
      <c r="E1263" t="str">
        <f>VLOOKUP(C1263,Меню!A:E,4,0)</f>
        <v>Завтрак</v>
      </c>
      <c r="F1263">
        <f>VLOOKUP(C1263,Меню!A:E,5,0)</f>
        <v>200</v>
      </c>
    </row>
    <row r="1264" spans="1:6" ht="15.75" hidden="1" customHeight="1" x14ac:dyDescent="0.35">
      <c r="A1264" s="1">
        <v>1263</v>
      </c>
      <c r="B1264" s="1">
        <v>246</v>
      </c>
      <c r="C1264" s="1">
        <v>41</v>
      </c>
      <c r="D1264" t="str">
        <f>VLOOKUP(B1264,Заказы!A:C,3,0)</f>
        <v>2023-05-08 17:53:00</v>
      </c>
      <c r="E1264" t="str">
        <f>VLOOKUP(C1264,Меню!A:E,4,0)</f>
        <v>Суши</v>
      </c>
      <c r="F1264">
        <f>VLOOKUP(C1264,Меню!A:E,5,0)</f>
        <v>220</v>
      </c>
    </row>
    <row r="1265" spans="1:6" ht="15.75" hidden="1" customHeight="1" x14ac:dyDescent="0.35">
      <c r="A1265" s="1">
        <v>1264</v>
      </c>
      <c r="B1265" s="1">
        <v>247</v>
      </c>
      <c r="C1265" s="1">
        <v>52</v>
      </c>
      <c r="D1265" t="str">
        <f>VLOOKUP(B1265,Заказы!A:C,3,0)</f>
        <v>2023-05-08 19:00:00</v>
      </c>
      <c r="E1265" t="str">
        <f>VLOOKUP(C1265,Меню!A:E,4,0)</f>
        <v>Суши</v>
      </c>
      <c r="F1265">
        <f>VLOOKUP(C1265,Меню!A:E,5,0)</f>
        <v>100</v>
      </c>
    </row>
    <row r="1266" spans="1:6" ht="15.75" hidden="1" customHeight="1" x14ac:dyDescent="0.35">
      <c r="A1266" s="1">
        <v>1265</v>
      </c>
      <c r="B1266" s="1">
        <v>247</v>
      </c>
      <c r="C1266" s="1">
        <v>18</v>
      </c>
      <c r="D1266" t="str">
        <f>VLOOKUP(B1266,Заказы!A:C,3,0)</f>
        <v>2023-05-08 19:00:00</v>
      </c>
      <c r="E1266" t="str">
        <f>VLOOKUP(C1266,Меню!A:E,4,0)</f>
        <v>Первое</v>
      </c>
      <c r="F1266">
        <f>VLOOKUP(C1266,Меню!A:E,5,0)</f>
        <v>300</v>
      </c>
    </row>
    <row r="1267" spans="1:6" ht="15.75" hidden="1" customHeight="1" x14ac:dyDescent="0.35">
      <c r="A1267" s="1">
        <v>1266</v>
      </c>
      <c r="B1267" s="1">
        <v>247</v>
      </c>
      <c r="C1267" s="1">
        <v>43</v>
      </c>
      <c r="D1267" t="str">
        <f>VLOOKUP(B1267,Заказы!A:C,3,0)</f>
        <v>2023-05-08 19:00:00</v>
      </c>
      <c r="E1267" t="str">
        <f>VLOOKUP(C1267,Меню!A:E,4,0)</f>
        <v>Суши</v>
      </c>
      <c r="F1267">
        <f>VLOOKUP(C1267,Меню!A:E,5,0)</f>
        <v>250</v>
      </c>
    </row>
    <row r="1268" spans="1:6" ht="15.75" hidden="1" customHeight="1" x14ac:dyDescent="0.35">
      <c r="A1268" s="1">
        <v>1267</v>
      </c>
      <c r="B1268" s="1">
        <v>248</v>
      </c>
      <c r="C1268" s="1">
        <v>15</v>
      </c>
      <c r="D1268" t="str">
        <f>VLOOKUP(B1268,Заказы!A:C,3,0)</f>
        <v>2023-05-08 19:19:00</v>
      </c>
      <c r="E1268" t="str">
        <f>VLOOKUP(C1268,Меню!A:E,4,0)</f>
        <v>Первое</v>
      </c>
      <c r="F1268">
        <f>VLOOKUP(C1268,Меню!A:E,5,0)</f>
        <v>250</v>
      </c>
    </row>
    <row r="1269" spans="1:6" ht="15.75" hidden="1" customHeight="1" x14ac:dyDescent="0.35">
      <c r="A1269" s="1">
        <v>1268</v>
      </c>
      <c r="B1269" s="1">
        <v>248</v>
      </c>
      <c r="C1269" s="1">
        <v>3</v>
      </c>
      <c r="D1269" t="str">
        <f>VLOOKUP(B1269,Заказы!A:C,3,0)</f>
        <v>2023-05-08 19:19:00</v>
      </c>
      <c r="E1269" t="str">
        <f>VLOOKUP(C1269,Меню!A:E,4,0)</f>
        <v>Завтрак</v>
      </c>
      <c r="F1269">
        <f>VLOOKUP(C1269,Меню!A:E,5,0)</f>
        <v>150</v>
      </c>
    </row>
    <row r="1270" spans="1:6" ht="15.75" hidden="1" customHeight="1" x14ac:dyDescent="0.35">
      <c r="A1270" s="1">
        <v>1269</v>
      </c>
      <c r="B1270" s="1">
        <v>248</v>
      </c>
      <c r="C1270" s="1">
        <v>30</v>
      </c>
      <c r="D1270" t="str">
        <f>VLOOKUP(B1270,Заказы!A:C,3,0)</f>
        <v>2023-05-08 19:19:00</v>
      </c>
      <c r="E1270" t="str">
        <f>VLOOKUP(C1270,Меню!A:E,4,0)</f>
        <v>Салат</v>
      </c>
      <c r="F1270">
        <f>VLOOKUP(C1270,Меню!A:E,5,0)</f>
        <v>250</v>
      </c>
    </row>
    <row r="1271" spans="1:6" ht="15.75" hidden="1" customHeight="1" x14ac:dyDescent="0.35">
      <c r="A1271" s="1">
        <v>1270</v>
      </c>
      <c r="B1271" s="1">
        <v>249</v>
      </c>
      <c r="C1271" s="1">
        <v>23</v>
      </c>
      <c r="D1271" t="str">
        <f>VLOOKUP(B1271,Заказы!A:C,3,0)</f>
        <v>2023-05-09 15:21:00</v>
      </c>
      <c r="E1271" t="str">
        <f>VLOOKUP(C1271,Меню!A:E,4,0)</f>
        <v>Салат</v>
      </c>
      <c r="F1271">
        <f>VLOOKUP(C1271,Меню!A:E,5,0)</f>
        <v>250</v>
      </c>
    </row>
    <row r="1272" spans="1:6" ht="15.75" hidden="1" customHeight="1" x14ac:dyDescent="0.35">
      <c r="A1272" s="1">
        <v>1271</v>
      </c>
      <c r="B1272" s="1">
        <v>249</v>
      </c>
      <c r="C1272" s="1">
        <v>20</v>
      </c>
      <c r="D1272" t="str">
        <f>VLOOKUP(B1272,Заказы!A:C,3,0)</f>
        <v>2023-05-09 15:21:00</v>
      </c>
      <c r="E1272" t="str">
        <f>VLOOKUP(C1272,Меню!A:E,4,0)</f>
        <v>Первое</v>
      </c>
      <c r="F1272">
        <f>VLOOKUP(C1272,Меню!A:E,5,0)</f>
        <v>250</v>
      </c>
    </row>
    <row r="1273" spans="1:6" ht="15.75" hidden="1" customHeight="1" x14ac:dyDescent="0.35">
      <c r="A1273" s="1">
        <v>1272</v>
      </c>
      <c r="B1273" s="1">
        <v>249</v>
      </c>
      <c r="C1273" s="1">
        <v>56</v>
      </c>
      <c r="D1273" t="str">
        <f>VLOOKUP(B1273,Заказы!A:C,3,0)</f>
        <v>2023-05-09 15:21:00</v>
      </c>
      <c r="E1273" t="str">
        <f>VLOOKUP(C1273,Меню!A:E,4,0)</f>
        <v>Суши</v>
      </c>
      <c r="F1273">
        <f>VLOOKUP(C1273,Меню!A:E,5,0)</f>
        <v>200</v>
      </c>
    </row>
    <row r="1274" spans="1:6" ht="15.75" hidden="1" customHeight="1" x14ac:dyDescent="0.35">
      <c r="A1274" s="1">
        <v>1273</v>
      </c>
      <c r="B1274" s="1">
        <v>249</v>
      </c>
      <c r="C1274" s="1">
        <v>24</v>
      </c>
      <c r="D1274" t="str">
        <f>VLOOKUP(B1274,Заказы!A:C,3,0)</f>
        <v>2023-05-09 15:21:00</v>
      </c>
      <c r="E1274" t="str">
        <f>VLOOKUP(C1274,Меню!A:E,4,0)</f>
        <v>Салат</v>
      </c>
      <c r="F1274">
        <f>VLOOKUP(C1274,Меню!A:E,5,0)</f>
        <v>250</v>
      </c>
    </row>
    <row r="1275" spans="1:6" ht="15.75" hidden="1" customHeight="1" x14ac:dyDescent="0.35">
      <c r="A1275" s="1">
        <v>1274</v>
      </c>
      <c r="B1275" s="1">
        <v>249</v>
      </c>
      <c r="C1275" s="1">
        <v>31</v>
      </c>
      <c r="D1275" t="str">
        <f>VLOOKUP(B1275,Заказы!A:C,3,0)</f>
        <v>2023-05-09 15:21:00</v>
      </c>
      <c r="E1275" t="str">
        <f>VLOOKUP(C1275,Меню!A:E,4,0)</f>
        <v>Десерт</v>
      </c>
      <c r="F1275">
        <f>VLOOKUP(C1275,Меню!A:E,5,0)</f>
        <v>150</v>
      </c>
    </row>
    <row r="1276" spans="1:6" ht="15.75" hidden="1" customHeight="1" x14ac:dyDescent="0.35">
      <c r="A1276" s="1">
        <v>1275</v>
      </c>
      <c r="B1276" s="1">
        <v>249</v>
      </c>
      <c r="C1276" s="1">
        <v>54</v>
      </c>
      <c r="D1276" t="str">
        <f>VLOOKUP(B1276,Заказы!A:C,3,0)</f>
        <v>2023-05-09 15:21:00</v>
      </c>
      <c r="E1276" t="str">
        <f>VLOOKUP(C1276,Меню!A:E,4,0)</f>
        <v>Суши</v>
      </c>
      <c r="F1276">
        <f>VLOOKUP(C1276,Меню!A:E,5,0)</f>
        <v>100</v>
      </c>
    </row>
    <row r="1277" spans="1:6" ht="15.75" hidden="1" customHeight="1" x14ac:dyDescent="0.35">
      <c r="A1277" s="1">
        <v>1276</v>
      </c>
      <c r="B1277" s="1">
        <v>249</v>
      </c>
      <c r="C1277" s="1">
        <v>47</v>
      </c>
      <c r="D1277" t="str">
        <f>VLOOKUP(B1277,Заказы!A:C,3,0)</f>
        <v>2023-05-09 15:21:00</v>
      </c>
      <c r="E1277" t="str">
        <f>VLOOKUP(C1277,Меню!A:E,4,0)</f>
        <v>Суши</v>
      </c>
      <c r="F1277">
        <f>VLOOKUP(C1277,Меню!A:E,5,0)</f>
        <v>200</v>
      </c>
    </row>
    <row r="1278" spans="1:6" ht="15.75" hidden="1" customHeight="1" x14ac:dyDescent="0.35">
      <c r="A1278" s="1">
        <v>1277</v>
      </c>
      <c r="B1278" s="1">
        <v>249</v>
      </c>
      <c r="C1278" s="1">
        <v>24</v>
      </c>
      <c r="D1278" t="str">
        <f>VLOOKUP(B1278,Заказы!A:C,3,0)</f>
        <v>2023-05-09 15:21:00</v>
      </c>
      <c r="E1278" t="str">
        <f>VLOOKUP(C1278,Меню!A:E,4,0)</f>
        <v>Салат</v>
      </c>
      <c r="F1278">
        <f>VLOOKUP(C1278,Меню!A:E,5,0)</f>
        <v>250</v>
      </c>
    </row>
    <row r="1279" spans="1:6" ht="15.75" hidden="1" customHeight="1" x14ac:dyDescent="0.35">
      <c r="A1279" s="1">
        <v>1278</v>
      </c>
      <c r="B1279" s="1">
        <v>249</v>
      </c>
      <c r="C1279" s="1">
        <v>50</v>
      </c>
      <c r="D1279" t="str">
        <f>VLOOKUP(B1279,Заказы!A:C,3,0)</f>
        <v>2023-05-09 15:21:00</v>
      </c>
      <c r="E1279" t="str">
        <f>VLOOKUP(C1279,Меню!A:E,4,0)</f>
        <v>Суши</v>
      </c>
      <c r="F1279">
        <f>VLOOKUP(C1279,Меню!A:E,5,0)</f>
        <v>200</v>
      </c>
    </row>
    <row r="1280" spans="1:6" ht="15.75" hidden="1" customHeight="1" x14ac:dyDescent="0.35">
      <c r="A1280" s="1">
        <v>1279</v>
      </c>
      <c r="B1280" s="1">
        <v>250</v>
      </c>
      <c r="C1280" s="1">
        <v>24</v>
      </c>
      <c r="D1280" t="str">
        <f>VLOOKUP(B1280,Заказы!A:C,3,0)</f>
        <v>2023-05-09 16:03:00</v>
      </c>
      <c r="E1280" t="str">
        <f>VLOOKUP(C1280,Меню!A:E,4,0)</f>
        <v>Салат</v>
      </c>
      <c r="F1280">
        <f>VLOOKUP(C1280,Меню!A:E,5,0)</f>
        <v>250</v>
      </c>
    </row>
    <row r="1281" spans="1:6" ht="15.75" hidden="1" customHeight="1" x14ac:dyDescent="0.35">
      <c r="A1281" s="1">
        <v>1280</v>
      </c>
      <c r="B1281" s="1">
        <v>250</v>
      </c>
      <c r="C1281" s="1">
        <v>54</v>
      </c>
      <c r="D1281" t="str">
        <f>VLOOKUP(B1281,Заказы!A:C,3,0)</f>
        <v>2023-05-09 16:03:00</v>
      </c>
      <c r="E1281" t="str">
        <f>VLOOKUP(C1281,Меню!A:E,4,0)</f>
        <v>Суши</v>
      </c>
      <c r="F1281">
        <f>VLOOKUP(C1281,Меню!A:E,5,0)</f>
        <v>100</v>
      </c>
    </row>
    <row r="1282" spans="1:6" ht="15.75" hidden="1" customHeight="1" x14ac:dyDescent="0.35">
      <c r="A1282" s="1">
        <v>1281</v>
      </c>
      <c r="B1282" s="1">
        <v>250</v>
      </c>
      <c r="C1282" s="1">
        <v>46</v>
      </c>
      <c r="D1282" t="str">
        <f>VLOOKUP(B1282,Заказы!A:C,3,0)</f>
        <v>2023-05-09 16:03:00</v>
      </c>
      <c r="E1282" t="str">
        <f>VLOOKUP(C1282,Меню!A:E,4,0)</f>
        <v>Суши</v>
      </c>
      <c r="F1282">
        <f>VLOOKUP(C1282,Меню!A:E,5,0)</f>
        <v>200</v>
      </c>
    </row>
    <row r="1283" spans="1:6" ht="15.75" hidden="1" customHeight="1" x14ac:dyDescent="0.35">
      <c r="A1283" s="1">
        <v>1282</v>
      </c>
      <c r="B1283" s="1">
        <v>250</v>
      </c>
      <c r="C1283" s="1">
        <v>47</v>
      </c>
      <c r="D1283" t="str">
        <f>VLOOKUP(B1283,Заказы!A:C,3,0)</f>
        <v>2023-05-09 16:03:00</v>
      </c>
      <c r="E1283" t="str">
        <f>VLOOKUP(C1283,Меню!A:E,4,0)</f>
        <v>Суши</v>
      </c>
      <c r="F1283">
        <f>VLOOKUP(C1283,Меню!A:E,5,0)</f>
        <v>200</v>
      </c>
    </row>
    <row r="1284" spans="1:6" ht="15.75" hidden="1" customHeight="1" x14ac:dyDescent="0.35">
      <c r="A1284" s="1">
        <v>1283</v>
      </c>
      <c r="B1284" s="1">
        <v>250</v>
      </c>
      <c r="C1284" s="1">
        <v>47</v>
      </c>
      <c r="D1284" t="str">
        <f>VLOOKUP(B1284,Заказы!A:C,3,0)</f>
        <v>2023-05-09 16:03:00</v>
      </c>
      <c r="E1284" t="str">
        <f>VLOOKUP(C1284,Меню!A:E,4,0)</f>
        <v>Суши</v>
      </c>
      <c r="F1284">
        <f>VLOOKUP(C1284,Меню!A:E,5,0)</f>
        <v>200</v>
      </c>
    </row>
    <row r="1285" spans="1:6" ht="15.75" hidden="1" customHeight="1" x14ac:dyDescent="0.35">
      <c r="A1285" s="1">
        <v>1284</v>
      </c>
      <c r="B1285" s="1">
        <v>250</v>
      </c>
      <c r="C1285" s="1">
        <v>16</v>
      </c>
      <c r="D1285" t="str">
        <f>VLOOKUP(B1285,Заказы!A:C,3,0)</f>
        <v>2023-05-09 16:03:00</v>
      </c>
      <c r="E1285" t="str">
        <f>VLOOKUP(C1285,Меню!A:E,4,0)</f>
        <v>Первое</v>
      </c>
      <c r="F1285">
        <f>VLOOKUP(C1285,Меню!A:E,5,0)</f>
        <v>250</v>
      </c>
    </row>
    <row r="1286" spans="1:6" ht="15.75" hidden="1" customHeight="1" x14ac:dyDescent="0.35">
      <c r="A1286" s="1">
        <v>1285</v>
      </c>
      <c r="B1286" s="1">
        <v>250</v>
      </c>
      <c r="C1286" s="1">
        <v>54</v>
      </c>
      <c r="D1286" t="str">
        <f>VLOOKUP(B1286,Заказы!A:C,3,0)</f>
        <v>2023-05-09 16:03:00</v>
      </c>
      <c r="E1286" t="str">
        <f>VLOOKUP(C1286,Меню!A:E,4,0)</f>
        <v>Суши</v>
      </c>
      <c r="F1286">
        <f>VLOOKUP(C1286,Меню!A:E,5,0)</f>
        <v>100</v>
      </c>
    </row>
    <row r="1287" spans="1:6" ht="15.75" hidden="1" customHeight="1" x14ac:dyDescent="0.35">
      <c r="A1287" s="1">
        <v>1286</v>
      </c>
      <c r="B1287" s="1">
        <v>251</v>
      </c>
      <c r="C1287" s="1">
        <v>43</v>
      </c>
      <c r="D1287" t="str">
        <f>VLOOKUP(B1287,Заказы!A:C,3,0)</f>
        <v>2023-05-09 16:58:00</v>
      </c>
      <c r="E1287" t="str">
        <f>VLOOKUP(C1287,Меню!A:E,4,0)</f>
        <v>Суши</v>
      </c>
      <c r="F1287">
        <f>VLOOKUP(C1287,Меню!A:E,5,0)</f>
        <v>250</v>
      </c>
    </row>
    <row r="1288" spans="1:6" ht="15.75" hidden="1" customHeight="1" x14ac:dyDescent="0.35">
      <c r="A1288" s="1">
        <v>1287</v>
      </c>
      <c r="B1288" s="1">
        <v>251</v>
      </c>
      <c r="C1288" s="1">
        <v>24</v>
      </c>
      <c r="D1288" t="str">
        <f>VLOOKUP(B1288,Заказы!A:C,3,0)</f>
        <v>2023-05-09 16:58:00</v>
      </c>
      <c r="E1288" t="str">
        <f>VLOOKUP(C1288,Меню!A:E,4,0)</f>
        <v>Салат</v>
      </c>
      <c r="F1288">
        <f>VLOOKUP(C1288,Меню!A:E,5,0)</f>
        <v>250</v>
      </c>
    </row>
    <row r="1289" spans="1:6" ht="15.75" hidden="1" customHeight="1" x14ac:dyDescent="0.35">
      <c r="A1289" s="1">
        <v>1288</v>
      </c>
      <c r="B1289" s="1">
        <v>251</v>
      </c>
      <c r="C1289" s="1">
        <v>58</v>
      </c>
      <c r="D1289" t="str">
        <f>VLOOKUP(B1289,Заказы!A:C,3,0)</f>
        <v>2023-05-09 16:58:00</v>
      </c>
      <c r="E1289" t="str">
        <f>VLOOKUP(C1289,Меню!A:E,4,0)</f>
        <v>Суши</v>
      </c>
      <c r="F1289">
        <f>VLOOKUP(C1289,Меню!A:E,5,0)</f>
        <v>200</v>
      </c>
    </row>
    <row r="1290" spans="1:6" ht="15.75" hidden="1" customHeight="1" x14ac:dyDescent="0.35">
      <c r="A1290" s="1">
        <v>1289</v>
      </c>
      <c r="B1290" s="1">
        <v>251</v>
      </c>
      <c r="C1290" s="1">
        <v>53</v>
      </c>
      <c r="D1290" t="str">
        <f>VLOOKUP(B1290,Заказы!A:C,3,0)</f>
        <v>2023-05-09 16:58:00</v>
      </c>
      <c r="E1290" t="str">
        <f>VLOOKUP(C1290,Меню!A:E,4,0)</f>
        <v>Суши</v>
      </c>
      <c r="F1290">
        <f>VLOOKUP(C1290,Меню!A:E,5,0)</f>
        <v>100</v>
      </c>
    </row>
    <row r="1291" spans="1:6" ht="15.75" hidden="1" customHeight="1" x14ac:dyDescent="0.35">
      <c r="A1291" s="1">
        <v>1290</v>
      </c>
      <c r="B1291" s="1">
        <v>251</v>
      </c>
      <c r="C1291" s="1">
        <v>35</v>
      </c>
      <c r="D1291" t="str">
        <f>VLOOKUP(B1291,Заказы!A:C,3,0)</f>
        <v>2023-05-09 16:58:00</v>
      </c>
      <c r="E1291" t="str">
        <f>VLOOKUP(C1291,Меню!A:E,4,0)</f>
        <v>Десерт</v>
      </c>
      <c r="F1291">
        <f>VLOOKUP(C1291,Меню!A:E,5,0)</f>
        <v>150</v>
      </c>
    </row>
    <row r="1292" spans="1:6" ht="15.75" hidden="1" customHeight="1" x14ac:dyDescent="0.35">
      <c r="A1292" s="1">
        <v>1291</v>
      </c>
      <c r="B1292" s="1">
        <v>251</v>
      </c>
      <c r="C1292" s="1">
        <v>54</v>
      </c>
      <c r="D1292" t="str">
        <f>VLOOKUP(B1292,Заказы!A:C,3,0)</f>
        <v>2023-05-09 16:58:00</v>
      </c>
      <c r="E1292" t="str">
        <f>VLOOKUP(C1292,Меню!A:E,4,0)</f>
        <v>Суши</v>
      </c>
      <c r="F1292">
        <f>VLOOKUP(C1292,Меню!A:E,5,0)</f>
        <v>100</v>
      </c>
    </row>
    <row r="1293" spans="1:6" ht="15.75" hidden="1" customHeight="1" x14ac:dyDescent="0.35">
      <c r="A1293" s="1">
        <v>1292</v>
      </c>
      <c r="B1293" s="1">
        <v>252</v>
      </c>
      <c r="C1293" s="1">
        <v>4</v>
      </c>
      <c r="D1293" t="str">
        <f>VLOOKUP(B1293,Заказы!A:C,3,0)</f>
        <v>2023-05-09 18:19:00</v>
      </c>
      <c r="E1293" t="str">
        <f>VLOOKUP(C1293,Меню!A:E,4,0)</f>
        <v>Завтрак</v>
      </c>
      <c r="F1293">
        <f>VLOOKUP(C1293,Меню!A:E,5,0)</f>
        <v>180</v>
      </c>
    </row>
    <row r="1294" spans="1:6" ht="15.75" hidden="1" customHeight="1" x14ac:dyDescent="0.35">
      <c r="A1294" s="1">
        <v>1293</v>
      </c>
      <c r="B1294" s="1">
        <v>253</v>
      </c>
      <c r="C1294" s="1">
        <v>51</v>
      </c>
      <c r="D1294" t="str">
        <f>VLOOKUP(B1294,Заказы!A:C,3,0)</f>
        <v>2023-05-09 21:22:00</v>
      </c>
      <c r="E1294" t="str">
        <f>VLOOKUP(C1294,Меню!A:E,4,0)</f>
        <v>Суши</v>
      </c>
      <c r="F1294">
        <f>VLOOKUP(C1294,Меню!A:E,5,0)</f>
        <v>100</v>
      </c>
    </row>
    <row r="1295" spans="1:6" ht="15.75" hidden="1" customHeight="1" x14ac:dyDescent="0.35">
      <c r="A1295" s="1">
        <v>1294</v>
      </c>
      <c r="B1295" s="1">
        <v>253</v>
      </c>
      <c r="C1295" s="1">
        <v>13</v>
      </c>
      <c r="D1295" t="str">
        <f>VLOOKUP(B1295,Заказы!A:C,3,0)</f>
        <v>2023-05-09 21:22:00</v>
      </c>
      <c r="E1295" t="str">
        <f>VLOOKUP(C1295,Меню!A:E,4,0)</f>
        <v>Первое</v>
      </c>
      <c r="F1295">
        <f>VLOOKUP(C1295,Меню!A:E,5,0)</f>
        <v>280</v>
      </c>
    </row>
    <row r="1296" spans="1:6" ht="15.75" hidden="1" customHeight="1" x14ac:dyDescent="0.35">
      <c r="A1296" s="1">
        <v>1295</v>
      </c>
      <c r="B1296" s="1">
        <v>253</v>
      </c>
      <c r="C1296" s="1">
        <v>48</v>
      </c>
      <c r="D1296" t="str">
        <f>VLOOKUP(B1296,Заказы!A:C,3,0)</f>
        <v>2023-05-09 21:22:00</v>
      </c>
      <c r="E1296" t="str">
        <f>VLOOKUP(C1296,Меню!A:E,4,0)</f>
        <v>Суши</v>
      </c>
      <c r="F1296">
        <f>VLOOKUP(C1296,Меню!A:E,5,0)</f>
        <v>200</v>
      </c>
    </row>
    <row r="1297" spans="1:6" ht="15.75" hidden="1" customHeight="1" x14ac:dyDescent="0.35">
      <c r="A1297" s="1">
        <v>1296</v>
      </c>
      <c r="B1297" s="1">
        <v>253</v>
      </c>
      <c r="C1297" s="1">
        <v>20</v>
      </c>
      <c r="D1297" t="str">
        <f>VLOOKUP(B1297,Заказы!A:C,3,0)</f>
        <v>2023-05-09 21:22:00</v>
      </c>
      <c r="E1297" t="str">
        <f>VLOOKUP(C1297,Меню!A:E,4,0)</f>
        <v>Первое</v>
      </c>
      <c r="F1297">
        <f>VLOOKUP(C1297,Меню!A:E,5,0)</f>
        <v>250</v>
      </c>
    </row>
    <row r="1298" spans="1:6" ht="15.75" hidden="1" customHeight="1" x14ac:dyDescent="0.35">
      <c r="A1298" s="1">
        <v>1297</v>
      </c>
      <c r="B1298" s="1">
        <v>253</v>
      </c>
      <c r="C1298" s="1">
        <v>37</v>
      </c>
      <c r="D1298" t="str">
        <f>VLOOKUP(B1298,Заказы!A:C,3,0)</f>
        <v>2023-05-09 21:22:00</v>
      </c>
      <c r="E1298" t="str">
        <f>VLOOKUP(C1298,Меню!A:E,4,0)</f>
        <v>Десерт</v>
      </c>
      <c r="F1298">
        <f>VLOOKUP(C1298,Меню!A:E,5,0)</f>
        <v>100</v>
      </c>
    </row>
    <row r="1299" spans="1:6" ht="15.75" hidden="1" customHeight="1" x14ac:dyDescent="0.35">
      <c r="A1299" s="1">
        <v>1298</v>
      </c>
      <c r="B1299" s="1">
        <v>253</v>
      </c>
      <c r="C1299" s="1">
        <v>60</v>
      </c>
      <c r="D1299" t="str">
        <f>VLOOKUP(B1299,Заказы!A:C,3,0)</f>
        <v>2023-05-09 21:22:00</v>
      </c>
      <c r="E1299" t="str">
        <f>VLOOKUP(C1299,Меню!A:E,4,0)</f>
        <v>Суши</v>
      </c>
      <c r="F1299">
        <f>VLOOKUP(C1299,Меню!A:E,5,0)</f>
        <v>250</v>
      </c>
    </row>
    <row r="1300" spans="1:6" ht="15.75" hidden="1" customHeight="1" x14ac:dyDescent="0.35">
      <c r="A1300" s="1">
        <v>1299</v>
      </c>
      <c r="B1300" s="1">
        <v>253</v>
      </c>
      <c r="C1300" s="1">
        <v>38</v>
      </c>
      <c r="D1300" t="str">
        <f>VLOOKUP(B1300,Заказы!A:C,3,0)</f>
        <v>2023-05-09 21:22:00</v>
      </c>
      <c r="E1300" t="str">
        <f>VLOOKUP(C1300,Меню!A:E,4,0)</f>
        <v>Десерт</v>
      </c>
      <c r="F1300">
        <f>VLOOKUP(C1300,Меню!A:E,5,0)</f>
        <v>150</v>
      </c>
    </row>
    <row r="1301" spans="1:6" ht="15.75" hidden="1" customHeight="1" x14ac:dyDescent="0.35">
      <c r="A1301" s="1">
        <v>1300</v>
      </c>
      <c r="B1301" s="1">
        <v>254</v>
      </c>
      <c r="C1301" s="1">
        <v>22</v>
      </c>
      <c r="D1301" t="str">
        <f>VLOOKUP(B1301,Заказы!A:C,3,0)</f>
        <v>2023-05-10 16:30:00</v>
      </c>
      <c r="E1301" t="str">
        <f>VLOOKUP(C1301,Меню!A:E,4,0)</f>
        <v>Салат</v>
      </c>
      <c r="F1301">
        <f>VLOOKUP(C1301,Меню!A:E,5,0)</f>
        <v>250</v>
      </c>
    </row>
    <row r="1302" spans="1:6" ht="15.75" hidden="1" customHeight="1" x14ac:dyDescent="0.35">
      <c r="A1302" s="1">
        <v>1301</v>
      </c>
      <c r="B1302" s="1">
        <v>254</v>
      </c>
      <c r="C1302" s="1">
        <v>53</v>
      </c>
      <c r="D1302" t="str">
        <f>VLOOKUP(B1302,Заказы!A:C,3,0)</f>
        <v>2023-05-10 16:30:00</v>
      </c>
      <c r="E1302" t="str">
        <f>VLOOKUP(C1302,Меню!A:E,4,0)</f>
        <v>Суши</v>
      </c>
      <c r="F1302">
        <f>VLOOKUP(C1302,Меню!A:E,5,0)</f>
        <v>100</v>
      </c>
    </row>
    <row r="1303" spans="1:6" ht="15.75" hidden="1" customHeight="1" x14ac:dyDescent="0.35">
      <c r="A1303" s="1">
        <v>1302</v>
      </c>
      <c r="B1303" s="1">
        <v>254</v>
      </c>
      <c r="C1303" s="1">
        <v>43</v>
      </c>
      <c r="D1303" t="str">
        <f>VLOOKUP(B1303,Заказы!A:C,3,0)</f>
        <v>2023-05-10 16:30:00</v>
      </c>
      <c r="E1303" t="str">
        <f>VLOOKUP(C1303,Меню!A:E,4,0)</f>
        <v>Суши</v>
      </c>
      <c r="F1303">
        <f>VLOOKUP(C1303,Меню!A:E,5,0)</f>
        <v>250</v>
      </c>
    </row>
    <row r="1304" spans="1:6" ht="15.75" hidden="1" customHeight="1" x14ac:dyDescent="0.35">
      <c r="A1304" s="1">
        <v>1303</v>
      </c>
      <c r="B1304" s="1">
        <v>254</v>
      </c>
      <c r="C1304" s="1">
        <v>45</v>
      </c>
      <c r="D1304" t="str">
        <f>VLOOKUP(B1304,Заказы!A:C,3,0)</f>
        <v>2023-05-10 16:30:00</v>
      </c>
      <c r="E1304" t="str">
        <f>VLOOKUP(C1304,Меню!A:E,4,0)</f>
        <v>Суши</v>
      </c>
      <c r="F1304">
        <f>VLOOKUP(C1304,Меню!A:E,5,0)</f>
        <v>200</v>
      </c>
    </row>
    <row r="1305" spans="1:6" ht="15.75" hidden="1" customHeight="1" x14ac:dyDescent="0.35">
      <c r="A1305" s="1">
        <v>1304</v>
      </c>
      <c r="B1305" s="1">
        <v>255</v>
      </c>
      <c r="C1305" s="1">
        <v>32</v>
      </c>
      <c r="D1305" t="str">
        <f>VLOOKUP(B1305,Заказы!A:C,3,0)</f>
        <v>2023-05-10 16:56:00</v>
      </c>
      <c r="E1305" t="str">
        <f>VLOOKUP(C1305,Меню!A:E,4,0)</f>
        <v>Десерт</v>
      </c>
      <c r="F1305">
        <f>VLOOKUP(C1305,Меню!A:E,5,0)</f>
        <v>150</v>
      </c>
    </row>
    <row r="1306" spans="1:6" ht="15.75" hidden="1" customHeight="1" x14ac:dyDescent="0.35">
      <c r="A1306" s="1">
        <v>1305</v>
      </c>
      <c r="B1306" s="1">
        <v>255</v>
      </c>
      <c r="C1306" s="1">
        <v>48</v>
      </c>
      <c r="D1306" t="str">
        <f>VLOOKUP(B1306,Заказы!A:C,3,0)</f>
        <v>2023-05-10 16:56:00</v>
      </c>
      <c r="E1306" t="str">
        <f>VLOOKUP(C1306,Меню!A:E,4,0)</f>
        <v>Суши</v>
      </c>
      <c r="F1306">
        <f>VLOOKUP(C1306,Меню!A:E,5,0)</f>
        <v>200</v>
      </c>
    </row>
    <row r="1307" spans="1:6" ht="15.75" hidden="1" customHeight="1" x14ac:dyDescent="0.35">
      <c r="A1307" s="1">
        <v>1306</v>
      </c>
      <c r="B1307" s="1">
        <v>255</v>
      </c>
      <c r="C1307" s="1">
        <v>31</v>
      </c>
      <c r="D1307" t="str">
        <f>VLOOKUP(B1307,Заказы!A:C,3,0)</f>
        <v>2023-05-10 16:56:00</v>
      </c>
      <c r="E1307" t="str">
        <f>VLOOKUP(C1307,Меню!A:E,4,0)</f>
        <v>Десерт</v>
      </c>
      <c r="F1307">
        <f>VLOOKUP(C1307,Меню!A:E,5,0)</f>
        <v>150</v>
      </c>
    </row>
    <row r="1308" spans="1:6" ht="15.75" hidden="1" customHeight="1" x14ac:dyDescent="0.35">
      <c r="A1308" s="1">
        <v>1307</v>
      </c>
      <c r="B1308" s="1">
        <v>255</v>
      </c>
      <c r="C1308" s="1">
        <v>48</v>
      </c>
      <c r="D1308" t="str">
        <f>VLOOKUP(B1308,Заказы!A:C,3,0)</f>
        <v>2023-05-10 16:56:00</v>
      </c>
      <c r="E1308" t="str">
        <f>VLOOKUP(C1308,Меню!A:E,4,0)</f>
        <v>Суши</v>
      </c>
      <c r="F1308">
        <f>VLOOKUP(C1308,Меню!A:E,5,0)</f>
        <v>200</v>
      </c>
    </row>
    <row r="1309" spans="1:6" ht="15.75" hidden="1" customHeight="1" x14ac:dyDescent="0.35">
      <c r="A1309" s="1">
        <v>1308</v>
      </c>
      <c r="B1309" s="1">
        <v>256</v>
      </c>
      <c r="C1309" s="1">
        <v>25</v>
      </c>
      <c r="D1309" t="str">
        <f>VLOOKUP(B1309,Заказы!A:C,3,0)</f>
        <v>2023-05-10 17:43:00</v>
      </c>
      <c r="E1309" t="str">
        <f>VLOOKUP(C1309,Меню!A:E,4,0)</f>
        <v>Салат</v>
      </c>
      <c r="F1309">
        <f>VLOOKUP(C1309,Меню!A:E,5,0)</f>
        <v>250</v>
      </c>
    </row>
    <row r="1310" spans="1:6" ht="15.75" hidden="1" customHeight="1" x14ac:dyDescent="0.35">
      <c r="A1310" s="1">
        <v>1309</v>
      </c>
      <c r="B1310" s="1">
        <v>256</v>
      </c>
      <c r="C1310" s="1">
        <v>39</v>
      </c>
      <c r="D1310" t="str">
        <f>VLOOKUP(B1310,Заказы!A:C,3,0)</f>
        <v>2023-05-10 17:43:00</v>
      </c>
      <c r="E1310" t="str">
        <f>VLOOKUP(C1310,Меню!A:E,4,0)</f>
        <v>Десерт</v>
      </c>
      <c r="F1310">
        <f>VLOOKUP(C1310,Меню!A:E,5,0)</f>
        <v>150</v>
      </c>
    </row>
    <row r="1311" spans="1:6" ht="15.75" hidden="1" customHeight="1" x14ac:dyDescent="0.35">
      <c r="A1311" s="1">
        <v>1310</v>
      </c>
      <c r="B1311" s="1">
        <v>256</v>
      </c>
      <c r="C1311" s="1">
        <v>52</v>
      </c>
      <c r="D1311" t="str">
        <f>VLOOKUP(B1311,Заказы!A:C,3,0)</f>
        <v>2023-05-10 17:43:00</v>
      </c>
      <c r="E1311" t="str">
        <f>VLOOKUP(C1311,Меню!A:E,4,0)</f>
        <v>Суши</v>
      </c>
      <c r="F1311">
        <f>VLOOKUP(C1311,Меню!A:E,5,0)</f>
        <v>100</v>
      </c>
    </row>
    <row r="1312" spans="1:6" ht="15.75" hidden="1" customHeight="1" x14ac:dyDescent="0.35">
      <c r="A1312" s="1">
        <v>1311</v>
      </c>
      <c r="B1312" s="1">
        <v>256</v>
      </c>
      <c r="C1312" s="1">
        <v>8</v>
      </c>
      <c r="D1312" t="str">
        <f>VLOOKUP(B1312,Заказы!A:C,3,0)</f>
        <v>2023-05-10 17:43:00</v>
      </c>
      <c r="E1312" t="str">
        <f>VLOOKUP(C1312,Меню!A:E,4,0)</f>
        <v>Завтрак</v>
      </c>
      <c r="F1312">
        <f>VLOOKUP(C1312,Меню!A:E,5,0)</f>
        <v>180</v>
      </c>
    </row>
    <row r="1313" spans="1:6" ht="15.75" hidden="1" customHeight="1" x14ac:dyDescent="0.35">
      <c r="A1313" s="1">
        <v>1312</v>
      </c>
      <c r="B1313" s="1">
        <v>256</v>
      </c>
      <c r="C1313" s="1">
        <v>56</v>
      </c>
      <c r="D1313" t="str">
        <f>VLOOKUP(B1313,Заказы!A:C,3,0)</f>
        <v>2023-05-10 17:43:00</v>
      </c>
      <c r="E1313" t="str">
        <f>VLOOKUP(C1313,Меню!A:E,4,0)</f>
        <v>Суши</v>
      </c>
      <c r="F1313">
        <f>VLOOKUP(C1313,Меню!A:E,5,0)</f>
        <v>200</v>
      </c>
    </row>
    <row r="1314" spans="1:6" ht="15.75" hidden="1" customHeight="1" x14ac:dyDescent="0.35">
      <c r="A1314" s="1">
        <v>1313</v>
      </c>
      <c r="B1314" s="1">
        <v>256</v>
      </c>
      <c r="C1314" s="1">
        <v>26</v>
      </c>
      <c r="D1314" t="str">
        <f>VLOOKUP(B1314,Заказы!A:C,3,0)</f>
        <v>2023-05-10 17:43:00</v>
      </c>
      <c r="E1314" t="str">
        <f>VLOOKUP(C1314,Меню!A:E,4,0)</f>
        <v>Салат</v>
      </c>
      <c r="F1314">
        <f>VLOOKUP(C1314,Меню!A:E,5,0)</f>
        <v>250</v>
      </c>
    </row>
    <row r="1315" spans="1:6" ht="15.75" hidden="1" customHeight="1" x14ac:dyDescent="0.35">
      <c r="A1315" s="1">
        <v>1314</v>
      </c>
      <c r="B1315" s="1">
        <v>256</v>
      </c>
      <c r="C1315" s="1">
        <v>20</v>
      </c>
      <c r="D1315" t="str">
        <f>VLOOKUP(B1315,Заказы!A:C,3,0)</f>
        <v>2023-05-10 17:43:00</v>
      </c>
      <c r="E1315" t="str">
        <f>VLOOKUP(C1315,Меню!A:E,4,0)</f>
        <v>Первое</v>
      </c>
      <c r="F1315">
        <f>VLOOKUP(C1315,Меню!A:E,5,0)</f>
        <v>250</v>
      </c>
    </row>
    <row r="1316" spans="1:6" ht="15.75" hidden="1" customHeight="1" x14ac:dyDescent="0.35">
      <c r="A1316" s="1">
        <v>1315</v>
      </c>
      <c r="B1316" s="1">
        <v>257</v>
      </c>
      <c r="C1316" s="1">
        <v>7</v>
      </c>
      <c r="D1316" t="str">
        <f>VLOOKUP(B1316,Заказы!A:C,3,0)</f>
        <v>2023-05-10 19:15:00</v>
      </c>
      <c r="E1316" t="str">
        <f>VLOOKUP(C1316,Меню!A:E,4,0)</f>
        <v>Завтрак</v>
      </c>
      <c r="F1316">
        <f>VLOOKUP(C1316,Меню!A:E,5,0)</f>
        <v>200</v>
      </c>
    </row>
    <row r="1317" spans="1:6" ht="15.75" hidden="1" customHeight="1" x14ac:dyDescent="0.35">
      <c r="A1317" s="1">
        <v>1316</v>
      </c>
      <c r="B1317" s="1">
        <v>258</v>
      </c>
      <c r="C1317" s="1">
        <v>15</v>
      </c>
      <c r="D1317" t="str">
        <f>VLOOKUP(B1317,Заказы!A:C,3,0)</f>
        <v>2023-05-10 21:04:00</v>
      </c>
      <c r="E1317" t="str">
        <f>VLOOKUP(C1317,Меню!A:E,4,0)</f>
        <v>Первое</v>
      </c>
      <c r="F1317">
        <f>VLOOKUP(C1317,Меню!A:E,5,0)</f>
        <v>250</v>
      </c>
    </row>
    <row r="1318" spans="1:6" ht="15.75" hidden="1" customHeight="1" x14ac:dyDescent="0.35">
      <c r="A1318" s="1">
        <v>1317</v>
      </c>
      <c r="B1318" s="1">
        <v>258</v>
      </c>
      <c r="C1318" s="1">
        <v>35</v>
      </c>
      <c r="D1318" t="str">
        <f>VLOOKUP(B1318,Заказы!A:C,3,0)</f>
        <v>2023-05-10 21:04:00</v>
      </c>
      <c r="E1318" t="str">
        <f>VLOOKUP(C1318,Меню!A:E,4,0)</f>
        <v>Десерт</v>
      </c>
      <c r="F1318">
        <f>VLOOKUP(C1318,Меню!A:E,5,0)</f>
        <v>150</v>
      </c>
    </row>
    <row r="1319" spans="1:6" ht="15.75" hidden="1" customHeight="1" x14ac:dyDescent="0.35">
      <c r="A1319" s="1">
        <v>1318</v>
      </c>
      <c r="B1319" s="1">
        <v>258</v>
      </c>
      <c r="C1319" s="1">
        <v>2</v>
      </c>
      <c r="D1319" t="str">
        <f>VLOOKUP(B1319,Заказы!A:C,3,0)</f>
        <v>2023-05-10 21:04:00</v>
      </c>
      <c r="E1319" t="str">
        <f>VLOOKUP(C1319,Меню!A:E,4,0)</f>
        <v>Завтрак</v>
      </c>
      <c r="F1319">
        <f>VLOOKUP(C1319,Меню!A:E,5,0)</f>
        <v>250</v>
      </c>
    </row>
    <row r="1320" spans="1:6" ht="15.75" hidden="1" customHeight="1" x14ac:dyDescent="0.35">
      <c r="A1320" s="1">
        <v>1319</v>
      </c>
      <c r="B1320" s="1">
        <v>259</v>
      </c>
      <c r="C1320" s="1">
        <v>37</v>
      </c>
      <c r="D1320" t="str">
        <f>VLOOKUP(B1320,Заказы!A:C,3,0)</f>
        <v>2023-05-10 22:27:00</v>
      </c>
      <c r="E1320" t="str">
        <f>VLOOKUP(C1320,Меню!A:E,4,0)</f>
        <v>Десерт</v>
      </c>
      <c r="F1320">
        <f>VLOOKUP(C1320,Меню!A:E,5,0)</f>
        <v>100</v>
      </c>
    </row>
    <row r="1321" spans="1:6" ht="15.75" hidden="1" customHeight="1" x14ac:dyDescent="0.35">
      <c r="A1321" s="1">
        <v>1320</v>
      </c>
      <c r="B1321" s="1">
        <v>260</v>
      </c>
      <c r="C1321" s="1">
        <v>45</v>
      </c>
      <c r="D1321" t="str">
        <f>VLOOKUP(B1321,Заказы!A:C,3,0)</f>
        <v>2023-05-11 17:07:00</v>
      </c>
      <c r="E1321" t="str">
        <f>VLOOKUP(C1321,Меню!A:E,4,0)</f>
        <v>Суши</v>
      </c>
      <c r="F1321">
        <f>VLOOKUP(C1321,Меню!A:E,5,0)</f>
        <v>200</v>
      </c>
    </row>
    <row r="1322" spans="1:6" ht="15.75" hidden="1" customHeight="1" x14ac:dyDescent="0.35">
      <c r="A1322" s="1">
        <v>1321</v>
      </c>
      <c r="B1322" s="1">
        <v>260</v>
      </c>
      <c r="C1322" s="1">
        <v>40</v>
      </c>
      <c r="D1322" t="str">
        <f>VLOOKUP(B1322,Заказы!A:C,3,0)</f>
        <v>2023-05-11 17:07:00</v>
      </c>
      <c r="E1322" t="str">
        <f>VLOOKUP(C1322,Меню!A:E,4,0)</f>
        <v>Десерт</v>
      </c>
      <c r="F1322">
        <f>VLOOKUP(C1322,Меню!A:E,5,0)</f>
        <v>150</v>
      </c>
    </row>
    <row r="1323" spans="1:6" ht="15.75" hidden="1" customHeight="1" x14ac:dyDescent="0.35">
      <c r="A1323" s="1">
        <v>1322</v>
      </c>
      <c r="B1323" s="1">
        <v>260</v>
      </c>
      <c r="C1323" s="1">
        <v>35</v>
      </c>
      <c r="D1323" t="str">
        <f>VLOOKUP(B1323,Заказы!A:C,3,0)</f>
        <v>2023-05-11 17:07:00</v>
      </c>
      <c r="E1323" t="str">
        <f>VLOOKUP(C1323,Меню!A:E,4,0)</f>
        <v>Десерт</v>
      </c>
      <c r="F1323">
        <f>VLOOKUP(C1323,Меню!A:E,5,0)</f>
        <v>150</v>
      </c>
    </row>
    <row r="1324" spans="1:6" ht="15.75" hidden="1" customHeight="1" x14ac:dyDescent="0.35">
      <c r="A1324" s="1">
        <v>1323</v>
      </c>
      <c r="B1324" s="1">
        <v>260</v>
      </c>
      <c r="C1324" s="1">
        <v>34</v>
      </c>
      <c r="D1324" t="str">
        <f>VLOOKUP(B1324,Заказы!A:C,3,0)</f>
        <v>2023-05-11 17:07:00</v>
      </c>
      <c r="E1324" t="str">
        <f>VLOOKUP(C1324,Меню!A:E,4,0)</f>
        <v>Десерт</v>
      </c>
      <c r="F1324">
        <f>VLOOKUP(C1324,Меню!A:E,5,0)</f>
        <v>150</v>
      </c>
    </row>
    <row r="1325" spans="1:6" ht="15.75" hidden="1" customHeight="1" x14ac:dyDescent="0.35">
      <c r="A1325" s="1">
        <v>1324</v>
      </c>
      <c r="B1325" s="1">
        <v>260</v>
      </c>
      <c r="C1325" s="1">
        <v>1</v>
      </c>
      <c r="D1325" t="str">
        <f>VLOOKUP(B1325,Заказы!A:C,3,0)</f>
        <v>2023-05-11 17:07:00</v>
      </c>
      <c r="E1325" t="str">
        <f>VLOOKUP(C1325,Меню!A:E,4,0)</f>
        <v>Завтрак</v>
      </c>
      <c r="F1325">
        <f>VLOOKUP(C1325,Меню!A:E,5,0)</f>
        <v>200</v>
      </c>
    </row>
    <row r="1326" spans="1:6" ht="15.75" hidden="1" customHeight="1" x14ac:dyDescent="0.35">
      <c r="A1326" s="1">
        <v>1325</v>
      </c>
      <c r="B1326" s="1">
        <v>260</v>
      </c>
      <c r="C1326" s="1">
        <v>1</v>
      </c>
      <c r="D1326" t="str">
        <f>VLOOKUP(B1326,Заказы!A:C,3,0)</f>
        <v>2023-05-11 17:07:00</v>
      </c>
      <c r="E1326" t="str">
        <f>VLOOKUP(C1326,Меню!A:E,4,0)</f>
        <v>Завтрак</v>
      </c>
      <c r="F1326">
        <f>VLOOKUP(C1326,Меню!A:E,5,0)</f>
        <v>200</v>
      </c>
    </row>
    <row r="1327" spans="1:6" ht="15.75" hidden="1" customHeight="1" x14ac:dyDescent="0.35">
      <c r="A1327" s="1">
        <v>1326</v>
      </c>
      <c r="B1327" s="1">
        <v>261</v>
      </c>
      <c r="C1327" s="1">
        <v>24</v>
      </c>
      <c r="D1327" t="str">
        <f>VLOOKUP(B1327,Заказы!A:C,3,0)</f>
        <v>2023-05-11 18:08:00</v>
      </c>
      <c r="E1327" t="str">
        <f>VLOOKUP(C1327,Меню!A:E,4,0)</f>
        <v>Салат</v>
      </c>
      <c r="F1327">
        <f>VLOOKUP(C1327,Меню!A:E,5,0)</f>
        <v>250</v>
      </c>
    </row>
    <row r="1328" spans="1:6" ht="15.75" hidden="1" customHeight="1" x14ac:dyDescent="0.35">
      <c r="A1328" s="1">
        <v>1327</v>
      </c>
      <c r="B1328" s="1">
        <v>261</v>
      </c>
      <c r="C1328" s="1">
        <v>47</v>
      </c>
      <c r="D1328" t="str">
        <f>VLOOKUP(B1328,Заказы!A:C,3,0)</f>
        <v>2023-05-11 18:08:00</v>
      </c>
      <c r="E1328" t="str">
        <f>VLOOKUP(C1328,Меню!A:E,4,0)</f>
        <v>Суши</v>
      </c>
      <c r="F1328">
        <f>VLOOKUP(C1328,Меню!A:E,5,0)</f>
        <v>200</v>
      </c>
    </row>
    <row r="1329" spans="1:6" ht="15.75" hidden="1" customHeight="1" x14ac:dyDescent="0.35">
      <c r="A1329" s="1">
        <v>1328</v>
      </c>
      <c r="B1329" s="1">
        <v>261</v>
      </c>
      <c r="C1329" s="1">
        <v>26</v>
      </c>
      <c r="D1329" t="str">
        <f>VLOOKUP(B1329,Заказы!A:C,3,0)</f>
        <v>2023-05-11 18:08:00</v>
      </c>
      <c r="E1329" t="str">
        <f>VLOOKUP(C1329,Меню!A:E,4,0)</f>
        <v>Салат</v>
      </c>
      <c r="F1329">
        <f>VLOOKUP(C1329,Меню!A:E,5,0)</f>
        <v>250</v>
      </c>
    </row>
    <row r="1330" spans="1:6" ht="15.75" hidden="1" customHeight="1" x14ac:dyDescent="0.35">
      <c r="A1330" s="1">
        <v>1329</v>
      </c>
      <c r="B1330" s="1">
        <v>261</v>
      </c>
      <c r="C1330" s="1">
        <v>9</v>
      </c>
      <c r="D1330" t="str">
        <f>VLOOKUP(B1330,Заказы!A:C,3,0)</f>
        <v>2023-05-11 18:08:00</v>
      </c>
      <c r="E1330" t="str">
        <f>VLOOKUP(C1330,Меню!A:E,4,0)</f>
        <v>Завтрак</v>
      </c>
      <c r="F1330">
        <f>VLOOKUP(C1330,Меню!A:E,5,0)</f>
        <v>220</v>
      </c>
    </row>
    <row r="1331" spans="1:6" ht="15.75" hidden="1" customHeight="1" x14ac:dyDescent="0.35">
      <c r="A1331" s="1">
        <v>1330</v>
      </c>
      <c r="B1331" s="1">
        <v>261</v>
      </c>
      <c r="C1331" s="1">
        <v>58</v>
      </c>
      <c r="D1331" t="str">
        <f>VLOOKUP(B1331,Заказы!A:C,3,0)</f>
        <v>2023-05-11 18:08:00</v>
      </c>
      <c r="E1331" t="str">
        <f>VLOOKUP(C1331,Меню!A:E,4,0)</f>
        <v>Суши</v>
      </c>
      <c r="F1331">
        <f>VLOOKUP(C1331,Меню!A:E,5,0)</f>
        <v>200</v>
      </c>
    </row>
    <row r="1332" spans="1:6" ht="15.75" hidden="1" customHeight="1" x14ac:dyDescent="0.35">
      <c r="A1332" s="1">
        <v>1331</v>
      </c>
      <c r="B1332" s="1">
        <v>262</v>
      </c>
      <c r="C1332" s="1">
        <v>32</v>
      </c>
      <c r="D1332" t="str">
        <f>VLOOKUP(B1332,Заказы!A:C,3,0)</f>
        <v>2023-05-11 19:13:00</v>
      </c>
      <c r="E1332" t="str">
        <f>VLOOKUP(C1332,Меню!A:E,4,0)</f>
        <v>Десерт</v>
      </c>
      <c r="F1332">
        <f>VLOOKUP(C1332,Меню!A:E,5,0)</f>
        <v>150</v>
      </c>
    </row>
    <row r="1333" spans="1:6" ht="15.75" hidden="1" customHeight="1" x14ac:dyDescent="0.35">
      <c r="A1333" s="1">
        <v>1332</v>
      </c>
      <c r="B1333" s="1">
        <v>262</v>
      </c>
      <c r="C1333" s="1">
        <v>10</v>
      </c>
      <c r="D1333" t="str">
        <f>VLOOKUP(B1333,Заказы!A:C,3,0)</f>
        <v>2023-05-11 19:13:00</v>
      </c>
      <c r="E1333" t="str">
        <f>VLOOKUP(C1333,Меню!A:E,4,0)</f>
        <v>Завтрак</v>
      </c>
      <c r="F1333">
        <f>VLOOKUP(C1333,Меню!A:E,5,0)</f>
        <v>200</v>
      </c>
    </row>
    <row r="1334" spans="1:6" ht="15.75" hidden="1" customHeight="1" x14ac:dyDescent="0.35">
      <c r="A1334" s="1">
        <v>1333</v>
      </c>
      <c r="B1334" s="1">
        <v>262</v>
      </c>
      <c r="C1334" s="1">
        <v>56</v>
      </c>
      <c r="D1334" t="str">
        <f>VLOOKUP(B1334,Заказы!A:C,3,0)</f>
        <v>2023-05-11 19:13:00</v>
      </c>
      <c r="E1334" t="str">
        <f>VLOOKUP(C1334,Меню!A:E,4,0)</f>
        <v>Суши</v>
      </c>
      <c r="F1334">
        <f>VLOOKUP(C1334,Меню!A:E,5,0)</f>
        <v>200</v>
      </c>
    </row>
    <row r="1335" spans="1:6" ht="15.75" hidden="1" customHeight="1" x14ac:dyDescent="0.35">
      <c r="A1335" s="1">
        <v>1334</v>
      </c>
      <c r="B1335" s="1">
        <v>263</v>
      </c>
      <c r="C1335" s="1">
        <v>10</v>
      </c>
      <c r="D1335" t="str">
        <f>VLOOKUP(B1335,Заказы!A:C,3,0)</f>
        <v>2023-05-11 20:43:00</v>
      </c>
      <c r="E1335" t="str">
        <f>VLOOKUP(C1335,Меню!A:E,4,0)</f>
        <v>Завтрак</v>
      </c>
      <c r="F1335">
        <f>VLOOKUP(C1335,Меню!A:E,5,0)</f>
        <v>200</v>
      </c>
    </row>
    <row r="1336" spans="1:6" ht="15.75" hidden="1" customHeight="1" x14ac:dyDescent="0.35">
      <c r="A1336" s="1">
        <v>1335</v>
      </c>
      <c r="B1336" s="1">
        <v>263</v>
      </c>
      <c r="C1336" s="1">
        <v>51</v>
      </c>
      <c r="D1336" t="str">
        <f>VLOOKUP(B1336,Заказы!A:C,3,0)</f>
        <v>2023-05-11 20:43:00</v>
      </c>
      <c r="E1336" t="str">
        <f>VLOOKUP(C1336,Меню!A:E,4,0)</f>
        <v>Суши</v>
      </c>
      <c r="F1336">
        <f>VLOOKUP(C1336,Меню!A:E,5,0)</f>
        <v>100</v>
      </c>
    </row>
    <row r="1337" spans="1:6" ht="15.75" hidden="1" customHeight="1" x14ac:dyDescent="0.35">
      <c r="A1337" s="1">
        <v>1336</v>
      </c>
      <c r="B1337" s="1">
        <v>263</v>
      </c>
      <c r="C1337" s="1">
        <v>31</v>
      </c>
      <c r="D1337" t="str">
        <f>VLOOKUP(B1337,Заказы!A:C,3,0)</f>
        <v>2023-05-11 20:43:00</v>
      </c>
      <c r="E1337" t="str">
        <f>VLOOKUP(C1337,Меню!A:E,4,0)</f>
        <v>Десерт</v>
      </c>
      <c r="F1337">
        <f>VLOOKUP(C1337,Меню!A:E,5,0)</f>
        <v>150</v>
      </c>
    </row>
    <row r="1338" spans="1:6" ht="15.75" hidden="1" customHeight="1" x14ac:dyDescent="0.35">
      <c r="A1338" s="1">
        <v>1337</v>
      </c>
      <c r="B1338" s="1">
        <v>263</v>
      </c>
      <c r="C1338" s="1">
        <v>50</v>
      </c>
      <c r="D1338" t="str">
        <f>VLOOKUP(B1338,Заказы!A:C,3,0)</f>
        <v>2023-05-11 20:43:00</v>
      </c>
      <c r="E1338" t="str">
        <f>VLOOKUP(C1338,Меню!A:E,4,0)</f>
        <v>Суши</v>
      </c>
      <c r="F1338">
        <f>VLOOKUP(C1338,Меню!A:E,5,0)</f>
        <v>200</v>
      </c>
    </row>
    <row r="1339" spans="1:6" ht="15.75" hidden="1" customHeight="1" x14ac:dyDescent="0.35">
      <c r="A1339" s="1">
        <v>1338</v>
      </c>
      <c r="B1339" s="1">
        <v>263</v>
      </c>
      <c r="C1339" s="1">
        <v>12</v>
      </c>
      <c r="D1339" t="str">
        <f>VLOOKUP(B1339,Заказы!A:C,3,0)</f>
        <v>2023-05-11 20:43:00</v>
      </c>
      <c r="E1339" t="str">
        <f>VLOOKUP(C1339,Меню!A:E,4,0)</f>
        <v>Первое</v>
      </c>
      <c r="F1339">
        <f>VLOOKUP(C1339,Меню!A:E,5,0)</f>
        <v>300</v>
      </c>
    </row>
    <row r="1340" spans="1:6" ht="15.75" hidden="1" customHeight="1" x14ac:dyDescent="0.35">
      <c r="A1340" s="1">
        <v>1339</v>
      </c>
      <c r="B1340" s="1">
        <v>263</v>
      </c>
      <c r="C1340" s="1">
        <v>2</v>
      </c>
      <c r="D1340" t="str">
        <f>VLOOKUP(B1340,Заказы!A:C,3,0)</f>
        <v>2023-05-11 20:43:00</v>
      </c>
      <c r="E1340" t="str">
        <f>VLOOKUP(C1340,Меню!A:E,4,0)</f>
        <v>Завтрак</v>
      </c>
      <c r="F1340">
        <f>VLOOKUP(C1340,Меню!A:E,5,0)</f>
        <v>250</v>
      </c>
    </row>
    <row r="1341" spans="1:6" ht="15.75" hidden="1" customHeight="1" x14ac:dyDescent="0.35">
      <c r="A1341" s="1">
        <v>1340</v>
      </c>
      <c r="B1341" s="1">
        <v>264</v>
      </c>
      <c r="C1341" s="1">
        <v>40</v>
      </c>
      <c r="D1341" t="str">
        <f>VLOOKUP(B1341,Заказы!A:C,3,0)</f>
        <v>2023-05-11 22:14:00</v>
      </c>
      <c r="E1341" t="str">
        <f>VLOOKUP(C1341,Меню!A:E,4,0)</f>
        <v>Десерт</v>
      </c>
      <c r="F1341">
        <f>VLOOKUP(C1341,Меню!A:E,5,0)</f>
        <v>150</v>
      </c>
    </row>
    <row r="1342" spans="1:6" ht="15.75" hidden="1" customHeight="1" x14ac:dyDescent="0.35">
      <c r="A1342" s="1">
        <v>1341</v>
      </c>
      <c r="B1342" s="1">
        <v>265</v>
      </c>
      <c r="C1342" s="1">
        <v>28</v>
      </c>
      <c r="D1342" t="str">
        <f>VLOOKUP(B1342,Заказы!A:C,3,0)</f>
        <v>2023-05-12 19:33:00</v>
      </c>
      <c r="E1342" t="str">
        <f>VLOOKUP(C1342,Меню!A:E,4,0)</f>
        <v>Салат</v>
      </c>
      <c r="F1342">
        <f>VLOOKUP(C1342,Меню!A:E,5,0)</f>
        <v>250</v>
      </c>
    </row>
    <row r="1343" spans="1:6" ht="15.75" hidden="1" customHeight="1" x14ac:dyDescent="0.35">
      <c r="A1343" s="1">
        <v>1342</v>
      </c>
      <c r="B1343" s="1">
        <v>265</v>
      </c>
      <c r="C1343" s="1">
        <v>21</v>
      </c>
      <c r="D1343" t="str">
        <f>VLOOKUP(B1343,Заказы!A:C,3,0)</f>
        <v>2023-05-12 19:33:00</v>
      </c>
      <c r="E1343" t="str">
        <f>VLOOKUP(C1343,Меню!A:E,4,0)</f>
        <v>Салат</v>
      </c>
      <c r="F1343">
        <f>VLOOKUP(C1343,Меню!A:E,5,0)</f>
        <v>250</v>
      </c>
    </row>
    <row r="1344" spans="1:6" ht="15.75" hidden="1" customHeight="1" x14ac:dyDescent="0.35">
      <c r="A1344" s="1">
        <v>1343</v>
      </c>
      <c r="B1344" s="1">
        <v>265</v>
      </c>
      <c r="C1344" s="1">
        <v>41</v>
      </c>
      <c r="D1344" t="str">
        <f>VLOOKUP(B1344,Заказы!A:C,3,0)</f>
        <v>2023-05-12 19:33:00</v>
      </c>
      <c r="E1344" t="str">
        <f>VLOOKUP(C1344,Меню!A:E,4,0)</f>
        <v>Суши</v>
      </c>
      <c r="F1344">
        <f>VLOOKUP(C1344,Меню!A:E,5,0)</f>
        <v>220</v>
      </c>
    </row>
    <row r="1345" spans="1:6" ht="15.75" hidden="1" customHeight="1" x14ac:dyDescent="0.35">
      <c r="A1345" s="1">
        <v>1344</v>
      </c>
      <c r="B1345" s="1">
        <v>265</v>
      </c>
      <c r="C1345" s="1">
        <v>23</v>
      </c>
      <c r="D1345" t="str">
        <f>VLOOKUP(B1345,Заказы!A:C,3,0)</f>
        <v>2023-05-12 19:33:00</v>
      </c>
      <c r="E1345" t="str">
        <f>VLOOKUP(C1345,Меню!A:E,4,0)</f>
        <v>Салат</v>
      </c>
      <c r="F1345">
        <f>VLOOKUP(C1345,Меню!A:E,5,0)</f>
        <v>250</v>
      </c>
    </row>
    <row r="1346" spans="1:6" ht="15.75" hidden="1" customHeight="1" x14ac:dyDescent="0.35">
      <c r="A1346" s="1">
        <v>1345</v>
      </c>
      <c r="B1346" s="1">
        <v>265</v>
      </c>
      <c r="C1346" s="1">
        <v>46</v>
      </c>
      <c r="D1346" t="str">
        <f>VLOOKUP(B1346,Заказы!A:C,3,0)</f>
        <v>2023-05-12 19:33:00</v>
      </c>
      <c r="E1346" t="str">
        <f>VLOOKUP(C1346,Меню!A:E,4,0)</f>
        <v>Суши</v>
      </c>
      <c r="F1346">
        <f>VLOOKUP(C1346,Меню!A:E,5,0)</f>
        <v>200</v>
      </c>
    </row>
    <row r="1347" spans="1:6" ht="15.75" hidden="1" customHeight="1" x14ac:dyDescent="0.35">
      <c r="A1347" s="1">
        <v>1346</v>
      </c>
      <c r="B1347" s="1">
        <v>265</v>
      </c>
      <c r="C1347" s="1">
        <v>18</v>
      </c>
      <c r="D1347" t="str">
        <f>VLOOKUP(B1347,Заказы!A:C,3,0)</f>
        <v>2023-05-12 19:33:00</v>
      </c>
      <c r="E1347" t="str">
        <f>VLOOKUP(C1347,Меню!A:E,4,0)</f>
        <v>Первое</v>
      </c>
      <c r="F1347">
        <f>VLOOKUP(C1347,Меню!A:E,5,0)</f>
        <v>300</v>
      </c>
    </row>
    <row r="1348" spans="1:6" ht="15.75" hidden="1" customHeight="1" x14ac:dyDescent="0.35">
      <c r="A1348" s="1">
        <v>1347</v>
      </c>
      <c r="B1348" s="1">
        <v>265</v>
      </c>
      <c r="C1348" s="1">
        <v>48</v>
      </c>
      <c r="D1348" t="str">
        <f>VLOOKUP(B1348,Заказы!A:C,3,0)</f>
        <v>2023-05-12 19:33:00</v>
      </c>
      <c r="E1348" t="str">
        <f>VLOOKUP(C1348,Меню!A:E,4,0)</f>
        <v>Суши</v>
      </c>
      <c r="F1348">
        <f>VLOOKUP(C1348,Меню!A:E,5,0)</f>
        <v>200</v>
      </c>
    </row>
    <row r="1349" spans="1:6" ht="15.75" hidden="1" customHeight="1" x14ac:dyDescent="0.35">
      <c r="A1349" s="1">
        <v>1348</v>
      </c>
      <c r="B1349" s="1">
        <v>266</v>
      </c>
      <c r="C1349" s="1">
        <v>44</v>
      </c>
      <c r="D1349" t="str">
        <f>VLOOKUP(B1349,Заказы!A:C,3,0)</f>
        <v>2023-05-12 20:32:00</v>
      </c>
      <c r="E1349" t="str">
        <f>VLOOKUP(C1349,Меню!A:E,4,0)</f>
        <v>Суши</v>
      </c>
      <c r="F1349">
        <f>VLOOKUP(C1349,Меню!A:E,5,0)</f>
        <v>250</v>
      </c>
    </row>
    <row r="1350" spans="1:6" ht="15.75" hidden="1" customHeight="1" x14ac:dyDescent="0.35">
      <c r="A1350" s="1">
        <v>1349</v>
      </c>
      <c r="B1350" s="1">
        <v>266</v>
      </c>
      <c r="C1350" s="1">
        <v>43</v>
      </c>
      <c r="D1350" t="str">
        <f>VLOOKUP(B1350,Заказы!A:C,3,0)</f>
        <v>2023-05-12 20:32:00</v>
      </c>
      <c r="E1350" t="str">
        <f>VLOOKUP(C1350,Меню!A:E,4,0)</f>
        <v>Суши</v>
      </c>
      <c r="F1350">
        <f>VLOOKUP(C1350,Меню!A:E,5,0)</f>
        <v>250</v>
      </c>
    </row>
    <row r="1351" spans="1:6" ht="15.75" hidden="1" customHeight="1" x14ac:dyDescent="0.35">
      <c r="A1351" s="1">
        <v>1350</v>
      </c>
      <c r="B1351" s="1">
        <v>266</v>
      </c>
      <c r="C1351" s="1">
        <v>51</v>
      </c>
      <c r="D1351" t="str">
        <f>VLOOKUP(B1351,Заказы!A:C,3,0)</f>
        <v>2023-05-12 20:32:00</v>
      </c>
      <c r="E1351" t="str">
        <f>VLOOKUP(C1351,Меню!A:E,4,0)</f>
        <v>Суши</v>
      </c>
      <c r="F1351">
        <f>VLOOKUP(C1351,Меню!A:E,5,0)</f>
        <v>100</v>
      </c>
    </row>
    <row r="1352" spans="1:6" ht="15.75" hidden="1" customHeight="1" x14ac:dyDescent="0.35">
      <c r="A1352" s="1">
        <v>1351</v>
      </c>
      <c r="B1352" s="1">
        <v>266</v>
      </c>
      <c r="C1352" s="1">
        <v>14</v>
      </c>
      <c r="D1352" t="str">
        <f>VLOOKUP(B1352,Заказы!A:C,3,0)</f>
        <v>2023-05-12 20:32:00</v>
      </c>
      <c r="E1352" t="str">
        <f>VLOOKUP(C1352,Меню!A:E,4,0)</f>
        <v>Первое</v>
      </c>
      <c r="F1352">
        <f>VLOOKUP(C1352,Меню!A:E,5,0)</f>
        <v>350</v>
      </c>
    </row>
    <row r="1353" spans="1:6" ht="15.75" hidden="1" customHeight="1" x14ac:dyDescent="0.35">
      <c r="A1353" s="1">
        <v>1352</v>
      </c>
      <c r="B1353" s="1">
        <v>266</v>
      </c>
      <c r="C1353" s="1">
        <v>50</v>
      </c>
      <c r="D1353" t="str">
        <f>VLOOKUP(B1353,Заказы!A:C,3,0)</f>
        <v>2023-05-12 20:32:00</v>
      </c>
      <c r="E1353" t="str">
        <f>VLOOKUP(C1353,Меню!A:E,4,0)</f>
        <v>Суши</v>
      </c>
      <c r="F1353">
        <f>VLOOKUP(C1353,Меню!A:E,5,0)</f>
        <v>200</v>
      </c>
    </row>
    <row r="1354" spans="1:6" ht="15.75" hidden="1" customHeight="1" x14ac:dyDescent="0.35">
      <c r="A1354" s="1">
        <v>1353</v>
      </c>
      <c r="B1354" s="1">
        <v>266</v>
      </c>
      <c r="C1354" s="1">
        <v>32</v>
      </c>
      <c r="D1354" t="str">
        <f>VLOOKUP(B1354,Заказы!A:C,3,0)</f>
        <v>2023-05-12 20:32:00</v>
      </c>
      <c r="E1354" t="str">
        <f>VLOOKUP(C1354,Меню!A:E,4,0)</f>
        <v>Десерт</v>
      </c>
      <c r="F1354">
        <f>VLOOKUP(C1354,Меню!A:E,5,0)</f>
        <v>150</v>
      </c>
    </row>
    <row r="1355" spans="1:6" ht="15.75" hidden="1" customHeight="1" x14ac:dyDescent="0.35">
      <c r="A1355" s="1">
        <v>1354</v>
      </c>
      <c r="B1355" s="1">
        <v>266</v>
      </c>
      <c r="C1355" s="1">
        <v>14</v>
      </c>
      <c r="D1355" t="str">
        <f>VLOOKUP(B1355,Заказы!A:C,3,0)</f>
        <v>2023-05-12 20:32:00</v>
      </c>
      <c r="E1355" t="str">
        <f>VLOOKUP(C1355,Меню!A:E,4,0)</f>
        <v>Первое</v>
      </c>
      <c r="F1355">
        <f>VLOOKUP(C1355,Меню!A:E,5,0)</f>
        <v>350</v>
      </c>
    </row>
    <row r="1356" spans="1:6" ht="15.75" hidden="1" customHeight="1" x14ac:dyDescent="0.35">
      <c r="A1356" s="1">
        <v>1355</v>
      </c>
      <c r="B1356" s="1">
        <v>266</v>
      </c>
      <c r="C1356" s="1">
        <v>47</v>
      </c>
      <c r="D1356" t="str">
        <f>VLOOKUP(B1356,Заказы!A:C,3,0)</f>
        <v>2023-05-12 20:32:00</v>
      </c>
      <c r="E1356" t="str">
        <f>VLOOKUP(C1356,Меню!A:E,4,0)</f>
        <v>Суши</v>
      </c>
      <c r="F1356">
        <f>VLOOKUP(C1356,Меню!A:E,5,0)</f>
        <v>200</v>
      </c>
    </row>
    <row r="1357" spans="1:6" ht="15.75" hidden="1" customHeight="1" x14ac:dyDescent="0.35">
      <c r="A1357" s="1">
        <v>1356</v>
      </c>
      <c r="B1357" s="1">
        <v>266</v>
      </c>
      <c r="C1357" s="1">
        <v>14</v>
      </c>
      <c r="D1357" t="str">
        <f>VLOOKUP(B1357,Заказы!A:C,3,0)</f>
        <v>2023-05-12 20:32:00</v>
      </c>
      <c r="E1357" t="str">
        <f>VLOOKUP(C1357,Меню!A:E,4,0)</f>
        <v>Первое</v>
      </c>
      <c r="F1357">
        <f>VLOOKUP(C1357,Меню!A:E,5,0)</f>
        <v>350</v>
      </c>
    </row>
    <row r="1358" spans="1:6" ht="15.75" hidden="1" customHeight="1" x14ac:dyDescent="0.35">
      <c r="A1358" s="1">
        <v>1357</v>
      </c>
      <c r="B1358" s="1">
        <v>266</v>
      </c>
      <c r="C1358" s="1">
        <v>24</v>
      </c>
      <c r="D1358" t="str">
        <f>VLOOKUP(B1358,Заказы!A:C,3,0)</f>
        <v>2023-05-12 20:32:00</v>
      </c>
      <c r="E1358" t="str">
        <f>VLOOKUP(C1358,Меню!A:E,4,0)</f>
        <v>Салат</v>
      </c>
      <c r="F1358">
        <f>VLOOKUP(C1358,Меню!A:E,5,0)</f>
        <v>250</v>
      </c>
    </row>
    <row r="1359" spans="1:6" ht="15.75" hidden="1" customHeight="1" x14ac:dyDescent="0.35">
      <c r="A1359" s="1">
        <v>1358</v>
      </c>
      <c r="B1359" s="1">
        <v>267</v>
      </c>
      <c r="C1359" s="1">
        <v>44</v>
      </c>
      <c r="D1359" t="str">
        <f>VLOOKUP(B1359,Заказы!A:C,3,0)</f>
        <v>2023-05-12 20:41:00</v>
      </c>
      <c r="E1359" t="str">
        <f>VLOOKUP(C1359,Меню!A:E,4,0)</f>
        <v>Суши</v>
      </c>
      <c r="F1359">
        <f>VLOOKUP(C1359,Меню!A:E,5,0)</f>
        <v>250</v>
      </c>
    </row>
    <row r="1360" spans="1:6" ht="15.75" hidden="1" customHeight="1" x14ac:dyDescent="0.35">
      <c r="A1360" s="1">
        <v>1359</v>
      </c>
      <c r="B1360" s="1">
        <v>267</v>
      </c>
      <c r="C1360" s="1">
        <v>17</v>
      </c>
      <c r="D1360" t="str">
        <f>VLOOKUP(B1360,Заказы!A:C,3,0)</f>
        <v>2023-05-12 20:41:00</v>
      </c>
      <c r="E1360" t="str">
        <f>VLOOKUP(C1360,Меню!A:E,4,0)</f>
        <v>Первое</v>
      </c>
      <c r="F1360">
        <f>VLOOKUP(C1360,Меню!A:E,5,0)</f>
        <v>250</v>
      </c>
    </row>
    <row r="1361" spans="1:6" ht="15.75" hidden="1" customHeight="1" x14ac:dyDescent="0.35">
      <c r="A1361" s="1">
        <v>1360</v>
      </c>
      <c r="B1361" s="1">
        <v>267</v>
      </c>
      <c r="C1361" s="1">
        <v>52</v>
      </c>
      <c r="D1361" t="str">
        <f>VLOOKUP(B1361,Заказы!A:C,3,0)</f>
        <v>2023-05-12 20:41:00</v>
      </c>
      <c r="E1361" t="str">
        <f>VLOOKUP(C1361,Меню!A:E,4,0)</f>
        <v>Суши</v>
      </c>
      <c r="F1361">
        <f>VLOOKUP(C1361,Меню!A:E,5,0)</f>
        <v>100</v>
      </c>
    </row>
    <row r="1362" spans="1:6" ht="15.75" hidden="1" customHeight="1" x14ac:dyDescent="0.35">
      <c r="A1362" s="1">
        <v>1361</v>
      </c>
      <c r="B1362" s="1">
        <v>267</v>
      </c>
      <c r="C1362" s="1">
        <v>13</v>
      </c>
      <c r="D1362" t="str">
        <f>VLOOKUP(B1362,Заказы!A:C,3,0)</f>
        <v>2023-05-12 20:41:00</v>
      </c>
      <c r="E1362" t="str">
        <f>VLOOKUP(C1362,Меню!A:E,4,0)</f>
        <v>Первое</v>
      </c>
      <c r="F1362">
        <f>VLOOKUP(C1362,Меню!A:E,5,0)</f>
        <v>280</v>
      </c>
    </row>
    <row r="1363" spans="1:6" ht="15.75" hidden="1" customHeight="1" x14ac:dyDescent="0.35">
      <c r="A1363" s="1">
        <v>1362</v>
      </c>
      <c r="B1363" s="1">
        <v>267</v>
      </c>
      <c r="C1363" s="1">
        <v>18</v>
      </c>
      <c r="D1363" t="str">
        <f>VLOOKUP(B1363,Заказы!A:C,3,0)</f>
        <v>2023-05-12 20:41:00</v>
      </c>
      <c r="E1363" t="str">
        <f>VLOOKUP(C1363,Меню!A:E,4,0)</f>
        <v>Первое</v>
      </c>
      <c r="F1363">
        <f>VLOOKUP(C1363,Меню!A:E,5,0)</f>
        <v>300</v>
      </c>
    </row>
    <row r="1364" spans="1:6" ht="15.75" hidden="1" customHeight="1" x14ac:dyDescent="0.35">
      <c r="A1364" s="1">
        <v>1363</v>
      </c>
      <c r="B1364" s="1">
        <v>267</v>
      </c>
      <c r="C1364" s="1">
        <v>39</v>
      </c>
      <c r="D1364" t="str">
        <f>VLOOKUP(B1364,Заказы!A:C,3,0)</f>
        <v>2023-05-12 20:41:00</v>
      </c>
      <c r="E1364" t="str">
        <f>VLOOKUP(C1364,Меню!A:E,4,0)</f>
        <v>Десерт</v>
      </c>
      <c r="F1364">
        <f>VLOOKUP(C1364,Меню!A:E,5,0)</f>
        <v>150</v>
      </c>
    </row>
    <row r="1365" spans="1:6" ht="15.75" hidden="1" customHeight="1" x14ac:dyDescent="0.35">
      <c r="A1365" s="1">
        <v>1364</v>
      </c>
      <c r="B1365" s="1">
        <v>267</v>
      </c>
      <c r="C1365" s="1">
        <v>21</v>
      </c>
      <c r="D1365" t="str">
        <f>VLOOKUP(B1365,Заказы!A:C,3,0)</f>
        <v>2023-05-12 20:41:00</v>
      </c>
      <c r="E1365" t="str">
        <f>VLOOKUP(C1365,Меню!A:E,4,0)</f>
        <v>Салат</v>
      </c>
      <c r="F1365">
        <f>VLOOKUP(C1365,Меню!A:E,5,0)</f>
        <v>250</v>
      </c>
    </row>
    <row r="1366" spans="1:6" ht="15.75" hidden="1" customHeight="1" x14ac:dyDescent="0.35">
      <c r="A1366" s="1">
        <v>1365</v>
      </c>
      <c r="B1366" s="1">
        <v>267</v>
      </c>
      <c r="C1366" s="1">
        <v>12</v>
      </c>
      <c r="D1366" t="str">
        <f>VLOOKUP(B1366,Заказы!A:C,3,0)</f>
        <v>2023-05-12 20:41:00</v>
      </c>
      <c r="E1366" t="str">
        <f>VLOOKUP(C1366,Меню!A:E,4,0)</f>
        <v>Первое</v>
      </c>
      <c r="F1366">
        <f>VLOOKUP(C1366,Меню!A:E,5,0)</f>
        <v>300</v>
      </c>
    </row>
    <row r="1367" spans="1:6" ht="15.75" hidden="1" customHeight="1" x14ac:dyDescent="0.35">
      <c r="A1367" s="1">
        <v>1366</v>
      </c>
      <c r="B1367" s="1">
        <v>267</v>
      </c>
      <c r="C1367" s="1">
        <v>31</v>
      </c>
      <c r="D1367" t="str">
        <f>VLOOKUP(B1367,Заказы!A:C,3,0)</f>
        <v>2023-05-12 20:41:00</v>
      </c>
      <c r="E1367" t="str">
        <f>VLOOKUP(C1367,Меню!A:E,4,0)</f>
        <v>Десерт</v>
      </c>
      <c r="F1367">
        <f>VLOOKUP(C1367,Меню!A:E,5,0)</f>
        <v>150</v>
      </c>
    </row>
    <row r="1368" spans="1:6" ht="15.75" hidden="1" customHeight="1" x14ac:dyDescent="0.35">
      <c r="A1368" s="1">
        <v>1367</v>
      </c>
      <c r="B1368" s="1">
        <v>267</v>
      </c>
      <c r="C1368" s="1">
        <v>56</v>
      </c>
      <c r="D1368" t="str">
        <f>VLOOKUP(B1368,Заказы!A:C,3,0)</f>
        <v>2023-05-12 20:41:00</v>
      </c>
      <c r="E1368" t="str">
        <f>VLOOKUP(C1368,Меню!A:E,4,0)</f>
        <v>Суши</v>
      </c>
      <c r="F1368">
        <f>VLOOKUP(C1368,Меню!A:E,5,0)</f>
        <v>200</v>
      </c>
    </row>
    <row r="1369" spans="1:6" ht="15.75" hidden="1" customHeight="1" x14ac:dyDescent="0.35">
      <c r="A1369" s="1">
        <v>1368</v>
      </c>
      <c r="B1369" s="1">
        <v>268</v>
      </c>
      <c r="C1369" s="1">
        <v>46</v>
      </c>
      <c r="D1369" t="str">
        <f>VLOOKUP(B1369,Заказы!A:C,3,0)</f>
        <v>2023-05-12 21:55:00</v>
      </c>
      <c r="E1369" t="str">
        <f>VLOOKUP(C1369,Меню!A:E,4,0)</f>
        <v>Суши</v>
      </c>
      <c r="F1369">
        <f>VLOOKUP(C1369,Меню!A:E,5,0)</f>
        <v>200</v>
      </c>
    </row>
    <row r="1370" spans="1:6" ht="15.75" hidden="1" customHeight="1" x14ac:dyDescent="0.35">
      <c r="A1370" s="1">
        <v>1369</v>
      </c>
      <c r="B1370" s="1">
        <v>268</v>
      </c>
      <c r="C1370" s="1">
        <v>36</v>
      </c>
      <c r="D1370" t="str">
        <f>VLOOKUP(B1370,Заказы!A:C,3,0)</f>
        <v>2023-05-12 21:55:00</v>
      </c>
      <c r="E1370" t="str">
        <f>VLOOKUP(C1370,Меню!A:E,4,0)</f>
        <v>Десерт</v>
      </c>
      <c r="F1370">
        <f>VLOOKUP(C1370,Меню!A:E,5,0)</f>
        <v>150</v>
      </c>
    </row>
    <row r="1371" spans="1:6" ht="15.75" hidden="1" customHeight="1" x14ac:dyDescent="0.35">
      <c r="A1371" s="1">
        <v>1370</v>
      </c>
      <c r="B1371" s="1">
        <v>268</v>
      </c>
      <c r="C1371" s="1">
        <v>13</v>
      </c>
      <c r="D1371" t="str">
        <f>VLOOKUP(B1371,Заказы!A:C,3,0)</f>
        <v>2023-05-12 21:55:00</v>
      </c>
      <c r="E1371" t="str">
        <f>VLOOKUP(C1371,Меню!A:E,4,0)</f>
        <v>Первое</v>
      </c>
      <c r="F1371">
        <f>VLOOKUP(C1371,Меню!A:E,5,0)</f>
        <v>280</v>
      </c>
    </row>
    <row r="1372" spans="1:6" ht="15.75" hidden="1" customHeight="1" x14ac:dyDescent="0.35">
      <c r="A1372" s="1">
        <v>1371</v>
      </c>
      <c r="B1372" s="1">
        <v>268</v>
      </c>
      <c r="C1372" s="1">
        <v>58</v>
      </c>
      <c r="D1372" t="str">
        <f>VLOOKUP(B1372,Заказы!A:C,3,0)</f>
        <v>2023-05-12 21:55:00</v>
      </c>
      <c r="E1372" t="str">
        <f>VLOOKUP(C1372,Меню!A:E,4,0)</f>
        <v>Суши</v>
      </c>
      <c r="F1372">
        <f>VLOOKUP(C1372,Меню!A:E,5,0)</f>
        <v>200</v>
      </c>
    </row>
    <row r="1373" spans="1:6" ht="15.75" hidden="1" customHeight="1" x14ac:dyDescent="0.35">
      <c r="A1373" s="1">
        <v>1372</v>
      </c>
      <c r="B1373" s="1">
        <v>268</v>
      </c>
      <c r="C1373" s="1">
        <v>60</v>
      </c>
      <c r="D1373" t="str">
        <f>VLOOKUP(B1373,Заказы!A:C,3,0)</f>
        <v>2023-05-12 21:55:00</v>
      </c>
      <c r="E1373" t="str">
        <f>VLOOKUP(C1373,Меню!A:E,4,0)</f>
        <v>Суши</v>
      </c>
      <c r="F1373">
        <f>VLOOKUP(C1373,Меню!A:E,5,0)</f>
        <v>250</v>
      </c>
    </row>
    <row r="1374" spans="1:6" ht="15.75" hidden="1" customHeight="1" x14ac:dyDescent="0.35">
      <c r="A1374" s="1">
        <v>1373</v>
      </c>
      <c r="B1374" s="1">
        <v>268</v>
      </c>
      <c r="C1374" s="1">
        <v>41</v>
      </c>
      <c r="D1374" t="str">
        <f>VLOOKUP(B1374,Заказы!A:C,3,0)</f>
        <v>2023-05-12 21:55:00</v>
      </c>
      <c r="E1374" t="str">
        <f>VLOOKUP(C1374,Меню!A:E,4,0)</f>
        <v>Суши</v>
      </c>
      <c r="F1374">
        <f>VLOOKUP(C1374,Меню!A:E,5,0)</f>
        <v>220</v>
      </c>
    </row>
    <row r="1375" spans="1:6" ht="15.75" hidden="1" customHeight="1" x14ac:dyDescent="0.35">
      <c r="A1375" s="1">
        <v>1374</v>
      </c>
      <c r="B1375" s="1">
        <v>269</v>
      </c>
      <c r="C1375" s="1">
        <v>31</v>
      </c>
      <c r="D1375" t="str">
        <f>VLOOKUP(B1375,Заказы!A:C,3,0)</f>
        <v>2023-05-12 22:21:00</v>
      </c>
      <c r="E1375" t="str">
        <f>VLOOKUP(C1375,Меню!A:E,4,0)</f>
        <v>Десерт</v>
      </c>
      <c r="F1375">
        <f>VLOOKUP(C1375,Меню!A:E,5,0)</f>
        <v>150</v>
      </c>
    </row>
    <row r="1376" spans="1:6" ht="15.75" hidden="1" customHeight="1" x14ac:dyDescent="0.35">
      <c r="A1376" s="1">
        <v>1375</v>
      </c>
      <c r="B1376" s="1">
        <v>270</v>
      </c>
      <c r="C1376" s="1">
        <v>57</v>
      </c>
      <c r="D1376" t="str">
        <f>VLOOKUP(B1376,Заказы!A:C,3,0)</f>
        <v>2023-05-13 17:35:00</v>
      </c>
      <c r="E1376" t="str">
        <f>VLOOKUP(C1376,Меню!A:E,4,0)</f>
        <v>Суши</v>
      </c>
      <c r="F1376">
        <f>VLOOKUP(C1376,Меню!A:E,5,0)</f>
        <v>200</v>
      </c>
    </row>
    <row r="1377" spans="1:6" ht="15.75" hidden="1" customHeight="1" x14ac:dyDescent="0.35">
      <c r="A1377" s="1">
        <v>1376</v>
      </c>
      <c r="B1377" s="1">
        <v>270</v>
      </c>
      <c r="C1377" s="1">
        <v>21</v>
      </c>
      <c r="D1377" t="str">
        <f>VLOOKUP(B1377,Заказы!A:C,3,0)</f>
        <v>2023-05-13 17:35:00</v>
      </c>
      <c r="E1377" t="str">
        <f>VLOOKUP(C1377,Меню!A:E,4,0)</f>
        <v>Салат</v>
      </c>
      <c r="F1377">
        <f>VLOOKUP(C1377,Меню!A:E,5,0)</f>
        <v>250</v>
      </c>
    </row>
    <row r="1378" spans="1:6" ht="15.75" hidden="1" customHeight="1" x14ac:dyDescent="0.35">
      <c r="A1378" s="1">
        <v>1377</v>
      </c>
      <c r="B1378" s="1">
        <v>270</v>
      </c>
      <c r="C1378" s="1">
        <v>41</v>
      </c>
      <c r="D1378" t="str">
        <f>VLOOKUP(B1378,Заказы!A:C,3,0)</f>
        <v>2023-05-13 17:35:00</v>
      </c>
      <c r="E1378" t="str">
        <f>VLOOKUP(C1378,Меню!A:E,4,0)</f>
        <v>Суши</v>
      </c>
      <c r="F1378">
        <f>VLOOKUP(C1378,Меню!A:E,5,0)</f>
        <v>220</v>
      </c>
    </row>
    <row r="1379" spans="1:6" ht="15.75" hidden="1" customHeight="1" x14ac:dyDescent="0.35">
      <c r="A1379" s="1">
        <v>1378</v>
      </c>
      <c r="B1379" s="1">
        <v>270</v>
      </c>
      <c r="C1379" s="1">
        <v>7</v>
      </c>
      <c r="D1379" t="str">
        <f>VLOOKUP(B1379,Заказы!A:C,3,0)</f>
        <v>2023-05-13 17:35:00</v>
      </c>
      <c r="E1379" t="str">
        <f>VLOOKUP(C1379,Меню!A:E,4,0)</f>
        <v>Завтрак</v>
      </c>
      <c r="F1379">
        <f>VLOOKUP(C1379,Меню!A:E,5,0)</f>
        <v>200</v>
      </c>
    </row>
    <row r="1380" spans="1:6" ht="15.75" hidden="1" customHeight="1" x14ac:dyDescent="0.35">
      <c r="A1380" s="1">
        <v>1379</v>
      </c>
      <c r="B1380" s="1">
        <v>270</v>
      </c>
      <c r="C1380" s="1">
        <v>29</v>
      </c>
      <c r="D1380" t="str">
        <f>VLOOKUP(B1380,Заказы!A:C,3,0)</f>
        <v>2023-05-13 17:35:00</v>
      </c>
      <c r="E1380" t="str">
        <f>VLOOKUP(C1380,Меню!A:E,4,0)</f>
        <v>Салат</v>
      </c>
      <c r="F1380">
        <f>VLOOKUP(C1380,Меню!A:E,5,0)</f>
        <v>250</v>
      </c>
    </row>
    <row r="1381" spans="1:6" ht="15.75" hidden="1" customHeight="1" x14ac:dyDescent="0.35">
      <c r="A1381" s="1">
        <v>1380</v>
      </c>
      <c r="B1381" s="1">
        <v>270</v>
      </c>
      <c r="C1381" s="1">
        <v>17</v>
      </c>
      <c r="D1381" t="str">
        <f>VLOOKUP(B1381,Заказы!A:C,3,0)</f>
        <v>2023-05-13 17:35:00</v>
      </c>
      <c r="E1381" t="str">
        <f>VLOOKUP(C1381,Меню!A:E,4,0)</f>
        <v>Первое</v>
      </c>
      <c r="F1381">
        <f>VLOOKUP(C1381,Меню!A:E,5,0)</f>
        <v>250</v>
      </c>
    </row>
    <row r="1382" spans="1:6" ht="15.75" hidden="1" customHeight="1" x14ac:dyDescent="0.35">
      <c r="A1382" s="1">
        <v>1381</v>
      </c>
      <c r="B1382" s="1">
        <v>270</v>
      </c>
      <c r="C1382" s="1">
        <v>55</v>
      </c>
      <c r="D1382" t="str">
        <f>VLOOKUP(B1382,Заказы!A:C,3,0)</f>
        <v>2023-05-13 17:35:00</v>
      </c>
      <c r="E1382" t="str">
        <f>VLOOKUP(C1382,Меню!A:E,4,0)</f>
        <v>Суши</v>
      </c>
      <c r="F1382">
        <f>VLOOKUP(C1382,Меню!A:E,5,0)</f>
        <v>100</v>
      </c>
    </row>
    <row r="1383" spans="1:6" ht="15.75" hidden="1" customHeight="1" x14ac:dyDescent="0.35">
      <c r="A1383" s="1">
        <v>1382</v>
      </c>
      <c r="B1383" s="1">
        <v>271</v>
      </c>
      <c r="C1383" s="1">
        <v>47</v>
      </c>
      <c r="D1383" t="str">
        <f>VLOOKUP(B1383,Заказы!A:C,3,0)</f>
        <v>2023-05-14 15:06:00</v>
      </c>
      <c r="E1383" t="str">
        <f>VLOOKUP(C1383,Меню!A:E,4,0)</f>
        <v>Суши</v>
      </c>
      <c r="F1383">
        <f>VLOOKUP(C1383,Меню!A:E,5,0)</f>
        <v>200</v>
      </c>
    </row>
    <row r="1384" spans="1:6" ht="15.75" hidden="1" customHeight="1" x14ac:dyDescent="0.35">
      <c r="A1384" s="1">
        <v>1383</v>
      </c>
      <c r="B1384" s="1">
        <v>271</v>
      </c>
      <c r="C1384" s="1">
        <v>48</v>
      </c>
      <c r="D1384" t="str">
        <f>VLOOKUP(B1384,Заказы!A:C,3,0)</f>
        <v>2023-05-14 15:06:00</v>
      </c>
      <c r="E1384" t="str">
        <f>VLOOKUP(C1384,Меню!A:E,4,0)</f>
        <v>Суши</v>
      </c>
      <c r="F1384">
        <f>VLOOKUP(C1384,Меню!A:E,5,0)</f>
        <v>200</v>
      </c>
    </row>
    <row r="1385" spans="1:6" ht="15.75" hidden="1" customHeight="1" x14ac:dyDescent="0.35">
      <c r="A1385" s="1">
        <v>1384</v>
      </c>
      <c r="B1385" s="1">
        <v>271</v>
      </c>
      <c r="C1385" s="1">
        <v>5</v>
      </c>
      <c r="D1385" t="str">
        <f>VLOOKUP(B1385,Заказы!A:C,3,0)</f>
        <v>2023-05-14 15:06:00</v>
      </c>
      <c r="E1385" t="str">
        <f>VLOOKUP(C1385,Меню!A:E,4,0)</f>
        <v>Завтрак</v>
      </c>
      <c r="F1385">
        <f>VLOOKUP(C1385,Меню!A:E,5,0)</f>
        <v>220</v>
      </c>
    </row>
    <row r="1386" spans="1:6" ht="15.75" hidden="1" customHeight="1" x14ac:dyDescent="0.35">
      <c r="A1386" s="1">
        <v>1385</v>
      </c>
      <c r="B1386" s="1">
        <v>272</v>
      </c>
      <c r="C1386" s="1">
        <v>4</v>
      </c>
      <c r="D1386" t="str">
        <f>VLOOKUP(B1386,Заказы!A:C,3,0)</f>
        <v>2023-05-14 15:53:00</v>
      </c>
      <c r="E1386" t="str">
        <f>VLOOKUP(C1386,Меню!A:E,4,0)</f>
        <v>Завтрак</v>
      </c>
      <c r="F1386">
        <f>VLOOKUP(C1386,Меню!A:E,5,0)</f>
        <v>180</v>
      </c>
    </row>
    <row r="1387" spans="1:6" ht="15.75" hidden="1" customHeight="1" x14ac:dyDescent="0.35">
      <c r="A1387" s="1">
        <v>1386</v>
      </c>
      <c r="B1387" s="1">
        <v>272</v>
      </c>
      <c r="C1387" s="1">
        <v>22</v>
      </c>
      <c r="D1387" t="str">
        <f>VLOOKUP(B1387,Заказы!A:C,3,0)</f>
        <v>2023-05-14 15:53:00</v>
      </c>
      <c r="E1387" t="str">
        <f>VLOOKUP(C1387,Меню!A:E,4,0)</f>
        <v>Салат</v>
      </c>
      <c r="F1387">
        <f>VLOOKUP(C1387,Меню!A:E,5,0)</f>
        <v>250</v>
      </c>
    </row>
    <row r="1388" spans="1:6" ht="15.75" hidden="1" customHeight="1" x14ac:dyDescent="0.35">
      <c r="A1388" s="1">
        <v>1387</v>
      </c>
      <c r="B1388" s="1">
        <v>272</v>
      </c>
      <c r="C1388" s="1">
        <v>29</v>
      </c>
      <c r="D1388" t="str">
        <f>VLOOKUP(B1388,Заказы!A:C,3,0)</f>
        <v>2023-05-14 15:53:00</v>
      </c>
      <c r="E1388" t="str">
        <f>VLOOKUP(C1388,Меню!A:E,4,0)</f>
        <v>Салат</v>
      </c>
      <c r="F1388">
        <f>VLOOKUP(C1388,Меню!A:E,5,0)</f>
        <v>250</v>
      </c>
    </row>
    <row r="1389" spans="1:6" ht="15.75" hidden="1" customHeight="1" x14ac:dyDescent="0.35">
      <c r="A1389" s="1">
        <v>1388</v>
      </c>
      <c r="B1389" s="1">
        <v>272</v>
      </c>
      <c r="C1389" s="1">
        <v>48</v>
      </c>
      <c r="D1389" t="str">
        <f>VLOOKUP(B1389,Заказы!A:C,3,0)</f>
        <v>2023-05-14 15:53:00</v>
      </c>
      <c r="E1389" t="str">
        <f>VLOOKUP(C1389,Меню!A:E,4,0)</f>
        <v>Суши</v>
      </c>
      <c r="F1389">
        <f>VLOOKUP(C1389,Меню!A:E,5,0)</f>
        <v>200</v>
      </c>
    </row>
    <row r="1390" spans="1:6" ht="15.75" hidden="1" customHeight="1" x14ac:dyDescent="0.35">
      <c r="A1390" s="1">
        <v>1389</v>
      </c>
      <c r="B1390" s="1">
        <v>272</v>
      </c>
      <c r="C1390" s="1">
        <v>43</v>
      </c>
      <c r="D1390" t="str">
        <f>VLOOKUP(B1390,Заказы!A:C,3,0)</f>
        <v>2023-05-14 15:53:00</v>
      </c>
      <c r="E1390" t="str">
        <f>VLOOKUP(C1390,Меню!A:E,4,0)</f>
        <v>Суши</v>
      </c>
      <c r="F1390">
        <f>VLOOKUP(C1390,Меню!A:E,5,0)</f>
        <v>250</v>
      </c>
    </row>
    <row r="1391" spans="1:6" ht="15.75" hidden="1" customHeight="1" x14ac:dyDescent="0.35">
      <c r="A1391" s="1">
        <v>1390</v>
      </c>
      <c r="B1391" s="1">
        <v>272</v>
      </c>
      <c r="C1391" s="1">
        <v>28</v>
      </c>
      <c r="D1391" t="str">
        <f>VLOOKUP(B1391,Заказы!A:C,3,0)</f>
        <v>2023-05-14 15:53:00</v>
      </c>
      <c r="E1391" t="str">
        <f>VLOOKUP(C1391,Меню!A:E,4,0)</f>
        <v>Салат</v>
      </c>
      <c r="F1391">
        <f>VLOOKUP(C1391,Меню!A:E,5,0)</f>
        <v>250</v>
      </c>
    </row>
    <row r="1392" spans="1:6" ht="15.75" hidden="1" customHeight="1" x14ac:dyDescent="0.35">
      <c r="A1392" s="1">
        <v>1391</v>
      </c>
      <c r="B1392" s="1">
        <v>273</v>
      </c>
      <c r="C1392" s="1">
        <v>3</v>
      </c>
      <c r="D1392" t="str">
        <f>VLOOKUP(B1392,Заказы!A:C,3,0)</f>
        <v>2023-05-14 16:43:00</v>
      </c>
      <c r="E1392" t="str">
        <f>VLOOKUP(C1392,Меню!A:E,4,0)</f>
        <v>Завтрак</v>
      </c>
      <c r="F1392">
        <f>VLOOKUP(C1392,Меню!A:E,5,0)</f>
        <v>150</v>
      </c>
    </row>
    <row r="1393" spans="1:6" ht="15.75" hidden="1" customHeight="1" x14ac:dyDescent="0.35">
      <c r="A1393" s="1">
        <v>1392</v>
      </c>
      <c r="B1393" s="1">
        <v>273</v>
      </c>
      <c r="C1393" s="1">
        <v>9</v>
      </c>
      <c r="D1393" t="str">
        <f>VLOOKUP(B1393,Заказы!A:C,3,0)</f>
        <v>2023-05-14 16:43:00</v>
      </c>
      <c r="E1393" t="str">
        <f>VLOOKUP(C1393,Меню!A:E,4,0)</f>
        <v>Завтрак</v>
      </c>
      <c r="F1393">
        <f>VLOOKUP(C1393,Меню!A:E,5,0)</f>
        <v>220</v>
      </c>
    </row>
    <row r="1394" spans="1:6" ht="15.75" hidden="1" customHeight="1" x14ac:dyDescent="0.35">
      <c r="A1394" s="1">
        <v>1393</v>
      </c>
      <c r="B1394" s="1">
        <v>273</v>
      </c>
      <c r="C1394" s="1">
        <v>42</v>
      </c>
      <c r="D1394" t="str">
        <f>VLOOKUP(B1394,Заказы!A:C,3,0)</f>
        <v>2023-05-14 16:43:00</v>
      </c>
      <c r="E1394" t="str">
        <f>VLOOKUP(C1394,Меню!A:E,4,0)</f>
        <v>Суши</v>
      </c>
      <c r="F1394">
        <f>VLOOKUP(C1394,Меню!A:E,5,0)</f>
        <v>250</v>
      </c>
    </row>
    <row r="1395" spans="1:6" ht="15.75" hidden="1" customHeight="1" x14ac:dyDescent="0.35">
      <c r="A1395" s="1">
        <v>1394</v>
      </c>
      <c r="B1395" s="1">
        <v>273</v>
      </c>
      <c r="C1395" s="1">
        <v>39</v>
      </c>
      <c r="D1395" t="str">
        <f>VLOOKUP(B1395,Заказы!A:C,3,0)</f>
        <v>2023-05-14 16:43:00</v>
      </c>
      <c r="E1395" t="str">
        <f>VLOOKUP(C1395,Меню!A:E,4,0)</f>
        <v>Десерт</v>
      </c>
      <c r="F1395">
        <f>VLOOKUP(C1395,Меню!A:E,5,0)</f>
        <v>150</v>
      </c>
    </row>
    <row r="1396" spans="1:6" ht="15.75" hidden="1" customHeight="1" x14ac:dyDescent="0.35">
      <c r="A1396" s="1">
        <v>1395</v>
      </c>
      <c r="B1396" s="1">
        <v>274</v>
      </c>
      <c r="C1396" s="1">
        <v>25</v>
      </c>
      <c r="D1396" t="str">
        <f>VLOOKUP(B1396,Заказы!A:C,3,0)</f>
        <v>2023-05-14 17:14:00</v>
      </c>
      <c r="E1396" t="str">
        <f>VLOOKUP(C1396,Меню!A:E,4,0)</f>
        <v>Салат</v>
      </c>
      <c r="F1396">
        <f>VLOOKUP(C1396,Меню!A:E,5,0)</f>
        <v>250</v>
      </c>
    </row>
    <row r="1397" spans="1:6" ht="15.75" hidden="1" customHeight="1" x14ac:dyDescent="0.35">
      <c r="A1397" s="1">
        <v>1396</v>
      </c>
      <c r="B1397" s="1">
        <v>274</v>
      </c>
      <c r="C1397" s="1">
        <v>15</v>
      </c>
      <c r="D1397" t="str">
        <f>VLOOKUP(B1397,Заказы!A:C,3,0)</f>
        <v>2023-05-14 17:14:00</v>
      </c>
      <c r="E1397" t="str">
        <f>VLOOKUP(C1397,Меню!A:E,4,0)</f>
        <v>Первое</v>
      </c>
      <c r="F1397">
        <f>VLOOKUP(C1397,Меню!A:E,5,0)</f>
        <v>250</v>
      </c>
    </row>
    <row r="1398" spans="1:6" ht="15.75" hidden="1" customHeight="1" x14ac:dyDescent="0.35">
      <c r="A1398" s="1">
        <v>1397</v>
      </c>
      <c r="B1398" s="1">
        <v>274</v>
      </c>
      <c r="C1398" s="1">
        <v>58</v>
      </c>
      <c r="D1398" t="str">
        <f>VLOOKUP(B1398,Заказы!A:C,3,0)</f>
        <v>2023-05-14 17:14:00</v>
      </c>
      <c r="E1398" t="str">
        <f>VLOOKUP(C1398,Меню!A:E,4,0)</f>
        <v>Суши</v>
      </c>
      <c r="F1398">
        <f>VLOOKUP(C1398,Меню!A:E,5,0)</f>
        <v>200</v>
      </c>
    </row>
    <row r="1399" spans="1:6" ht="15.75" hidden="1" customHeight="1" x14ac:dyDescent="0.35">
      <c r="A1399" s="1">
        <v>1398</v>
      </c>
      <c r="B1399" s="1">
        <v>274</v>
      </c>
      <c r="C1399" s="1">
        <v>36</v>
      </c>
      <c r="D1399" t="str">
        <f>VLOOKUP(B1399,Заказы!A:C,3,0)</f>
        <v>2023-05-14 17:14:00</v>
      </c>
      <c r="E1399" t="str">
        <f>VLOOKUP(C1399,Меню!A:E,4,0)</f>
        <v>Десерт</v>
      </c>
      <c r="F1399">
        <f>VLOOKUP(C1399,Меню!A:E,5,0)</f>
        <v>150</v>
      </c>
    </row>
    <row r="1400" spans="1:6" ht="15.75" hidden="1" customHeight="1" x14ac:dyDescent="0.35">
      <c r="A1400" s="1">
        <v>1399</v>
      </c>
      <c r="B1400" s="1">
        <v>274</v>
      </c>
      <c r="C1400" s="1">
        <v>42</v>
      </c>
      <c r="D1400" t="str">
        <f>VLOOKUP(B1400,Заказы!A:C,3,0)</f>
        <v>2023-05-14 17:14:00</v>
      </c>
      <c r="E1400" t="str">
        <f>VLOOKUP(C1400,Меню!A:E,4,0)</f>
        <v>Суши</v>
      </c>
      <c r="F1400">
        <f>VLOOKUP(C1400,Меню!A:E,5,0)</f>
        <v>250</v>
      </c>
    </row>
    <row r="1401" spans="1:6" ht="15.75" hidden="1" customHeight="1" x14ac:dyDescent="0.35">
      <c r="A1401" s="1">
        <v>1400</v>
      </c>
      <c r="B1401" s="1">
        <v>274</v>
      </c>
      <c r="C1401" s="1">
        <v>23</v>
      </c>
      <c r="D1401" t="str">
        <f>VLOOKUP(B1401,Заказы!A:C,3,0)</f>
        <v>2023-05-14 17:14:00</v>
      </c>
      <c r="E1401" t="str">
        <f>VLOOKUP(C1401,Меню!A:E,4,0)</f>
        <v>Салат</v>
      </c>
      <c r="F1401">
        <f>VLOOKUP(C1401,Меню!A:E,5,0)</f>
        <v>250</v>
      </c>
    </row>
    <row r="1402" spans="1:6" ht="15.75" hidden="1" customHeight="1" x14ac:dyDescent="0.35">
      <c r="A1402" s="1">
        <v>1401</v>
      </c>
      <c r="B1402" s="1">
        <v>275</v>
      </c>
      <c r="C1402" s="1">
        <v>48</v>
      </c>
      <c r="D1402" t="str">
        <f>VLOOKUP(B1402,Заказы!A:C,3,0)</f>
        <v>2023-05-14 18:37:00</v>
      </c>
      <c r="E1402" t="str">
        <f>VLOOKUP(C1402,Меню!A:E,4,0)</f>
        <v>Суши</v>
      </c>
      <c r="F1402">
        <f>VLOOKUP(C1402,Меню!A:E,5,0)</f>
        <v>200</v>
      </c>
    </row>
    <row r="1403" spans="1:6" ht="15.75" hidden="1" customHeight="1" x14ac:dyDescent="0.35">
      <c r="A1403" s="1">
        <v>1402</v>
      </c>
      <c r="B1403" s="1">
        <v>275</v>
      </c>
      <c r="C1403" s="1">
        <v>1</v>
      </c>
      <c r="D1403" t="str">
        <f>VLOOKUP(B1403,Заказы!A:C,3,0)</f>
        <v>2023-05-14 18:37:00</v>
      </c>
      <c r="E1403" t="str">
        <f>VLOOKUP(C1403,Меню!A:E,4,0)</f>
        <v>Завтрак</v>
      </c>
      <c r="F1403">
        <f>VLOOKUP(C1403,Меню!A:E,5,0)</f>
        <v>200</v>
      </c>
    </row>
    <row r="1404" spans="1:6" ht="15.75" hidden="1" customHeight="1" x14ac:dyDescent="0.35">
      <c r="A1404" s="1">
        <v>1403</v>
      </c>
      <c r="B1404" s="1">
        <v>275</v>
      </c>
      <c r="C1404" s="1">
        <v>46</v>
      </c>
      <c r="D1404" t="str">
        <f>VLOOKUP(B1404,Заказы!A:C,3,0)</f>
        <v>2023-05-14 18:37:00</v>
      </c>
      <c r="E1404" t="str">
        <f>VLOOKUP(C1404,Меню!A:E,4,0)</f>
        <v>Суши</v>
      </c>
      <c r="F1404">
        <f>VLOOKUP(C1404,Меню!A:E,5,0)</f>
        <v>200</v>
      </c>
    </row>
    <row r="1405" spans="1:6" ht="15.75" hidden="1" customHeight="1" x14ac:dyDescent="0.35">
      <c r="A1405" s="1">
        <v>1404</v>
      </c>
      <c r="B1405" s="1">
        <v>275</v>
      </c>
      <c r="C1405" s="1">
        <v>41</v>
      </c>
      <c r="D1405" t="str">
        <f>VLOOKUP(B1405,Заказы!A:C,3,0)</f>
        <v>2023-05-14 18:37:00</v>
      </c>
      <c r="E1405" t="str">
        <f>VLOOKUP(C1405,Меню!A:E,4,0)</f>
        <v>Суши</v>
      </c>
      <c r="F1405">
        <f>VLOOKUP(C1405,Меню!A:E,5,0)</f>
        <v>220</v>
      </c>
    </row>
    <row r="1406" spans="1:6" ht="15.75" hidden="1" customHeight="1" x14ac:dyDescent="0.35">
      <c r="A1406" s="1">
        <v>1405</v>
      </c>
      <c r="B1406" s="1">
        <v>276</v>
      </c>
      <c r="C1406" s="1">
        <v>32</v>
      </c>
      <c r="D1406" t="str">
        <f>VLOOKUP(B1406,Заказы!A:C,3,0)</f>
        <v>2023-05-14 19:23:00</v>
      </c>
      <c r="E1406" t="str">
        <f>VLOOKUP(C1406,Меню!A:E,4,0)</f>
        <v>Десерт</v>
      </c>
      <c r="F1406">
        <f>VLOOKUP(C1406,Меню!A:E,5,0)</f>
        <v>150</v>
      </c>
    </row>
    <row r="1407" spans="1:6" ht="15.75" hidden="1" customHeight="1" x14ac:dyDescent="0.35">
      <c r="A1407" s="1">
        <v>1406</v>
      </c>
      <c r="B1407" s="1">
        <v>276</v>
      </c>
      <c r="C1407" s="1">
        <v>34</v>
      </c>
      <c r="D1407" t="str">
        <f>VLOOKUP(B1407,Заказы!A:C,3,0)</f>
        <v>2023-05-14 19:23:00</v>
      </c>
      <c r="E1407" t="str">
        <f>VLOOKUP(C1407,Меню!A:E,4,0)</f>
        <v>Десерт</v>
      </c>
      <c r="F1407">
        <f>VLOOKUP(C1407,Меню!A:E,5,0)</f>
        <v>150</v>
      </c>
    </row>
    <row r="1408" spans="1:6" ht="15.75" hidden="1" customHeight="1" x14ac:dyDescent="0.35">
      <c r="A1408" s="1">
        <v>1407</v>
      </c>
      <c r="B1408" s="1">
        <v>276</v>
      </c>
      <c r="C1408" s="1">
        <v>6</v>
      </c>
      <c r="D1408" t="str">
        <f>VLOOKUP(B1408,Заказы!A:C,3,0)</f>
        <v>2023-05-14 19:23:00</v>
      </c>
      <c r="E1408" t="str">
        <f>VLOOKUP(C1408,Меню!A:E,4,0)</f>
        <v>Завтрак</v>
      </c>
      <c r="F1408">
        <f>VLOOKUP(C1408,Меню!A:E,5,0)</f>
        <v>300</v>
      </c>
    </row>
    <row r="1409" spans="1:6" ht="15.75" hidden="1" customHeight="1" x14ac:dyDescent="0.35">
      <c r="A1409" s="1">
        <v>1408</v>
      </c>
      <c r="B1409" s="1">
        <v>276</v>
      </c>
      <c r="C1409" s="1">
        <v>53</v>
      </c>
      <c r="D1409" t="str">
        <f>VLOOKUP(B1409,Заказы!A:C,3,0)</f>
        <v>2023-05-14 19:23:00</v>
      </c>
      <c r="E1409" t="str">
        <f>VLOOKUP(C1409,Меню!A:E,4,0)</f>
        <v>Суши</v>
      </c>
      <c r="F1409">
        <f>VLOOKUP(C1409,Меню!A:E,5,0)</f>
        <v>100</v>
      </c>
    </row>
    <row r="1410" spans="1:6" ht="15.75" hidden="1" customHeight="1" x14ac:dyDescent="0.35">
      <c r="A1410" s="1">
        <v>1409</v>
      </c>
      <c r="B1410" s="1">
        <v>277</v>
      </c>
      <c r="C1410" s="1">
        <v>54</v>
      </c>
      <c r="D1410" t="str">
        <f>VLOOKUP(B1410,Заказы!A:C,3,0)</f>
        <v>2023-05-14 19:26:00</v>
      </c>
      <c r="E1410" t="str">
        <f>VLOOKUP(C1410,Меню!A:E,4,0)</f>
        <v>Суши</v>
      </c>
      <c r="F1410">
        <f>VLOOKUP(C1410,Меню!A:E,5,0)</f>
        <v>100</v>
      </c>
    </row>
    <row r="1411" spans="1:6" ht="15.75" hidden="1" customHeight="1" x14ac:dyDescent="0.35">
      <c r="A1411" s="1">
        <v>1410</v>
      </c>
      <c r="B1411" s="1">
        <v>277</v>
      </c>
      <c r="C1411" s="1">
        <v>13</v>
      </c>
      <c r="D1411" t="str">
        <f>VLOOKUP(B1411,Заказы!A:C,3,0)</f>
        <v>2023-05-14 19:26:00</v>
      </c>
      <c r="E1411" t="str">
        <f>VLOOKUP(C1411,Меню!A:E,4,0)</f>
        <v>Первое</v>
      </c>
      <c r="F1411">
        <f>VLOOKUP(C1411,Меню!A:E,5,0)</f>
        <v>280</v>
      </c>
    </row>
    <row r="1412" spans="1:6" ht="15.75" hidden="1" customHeight="1" x14ac:dyDescent="0.35">
      <c r="A1412" s="1">
        <v>1411</v>
      </c>
      <c r="B1412" s="1">
        <v>277</v>
      </c>
      <c r="C1412" s="1">
        <v>43</v>
      </c>
      <c r="D1412" t="str">
        <f>VLOOKUP(B1412,Заказы!A:C,3,0)</f>
        <v>2023-05-14 19:26:00</v>
      </c>
      <c r="E1412" t="str">
        <f>VLOOKUP(C1412,Меню!A:E,4,0)</f>
        <v>Суши</v>
      </c>
      <c r="F1412">
        <f>VLOOKUP(C1412,Меню!A:E,5,0)</f>
        <v>250</v>
      </c>
    </row>
    <row r="1413" spans="1:6" ht="15.75" hidden="1" customHeight="1" x14ac:dyDescent="0.35">
      <c r="A1413" s="1">
        <v>1412</v>
      </c>
      <c r="B1413" s="1">
        <v>277</v>
      </c>
      <c r="C1413" s="1">
        <v>22</v>
      </c>
      <c r="D1413" t="str">
        <f>VLOOKUP(B1413,Заказы!A:C,3,0)</f>
        <v>2023-05-14 19:26:00</v>
      </c>
      <c r="E1413" t="str">
        <f>VLOOKUP(C1413,Меню!A:E,4,0)</f>
        <v>Салат</v>
      </c>
      <c r="F1413">
        <f>VLOOKUP(C1413,Меню!A:E,5,0)</f>
        <v>250</v>
      </c>
    </row>
    <row r="1414" spans="1:6" ht="15.75" hidden="1" customHeight="1" x14ac:dyDescent="0.35">
      <c r="A1414" s="1">
        <v>1413</v>
      </c>
      <c r="B1414" s="1">
        <v>277</v>
      </c>
      <c r="C1414" s="1">
        <v>45</v>
      </c>
      <c r="D1414" t="str">
        <f>VLOOKUP(B1414,Заказы!A:C,3,0)</f>
        <v>2023-05-14 19:26:00</v>
      </c>
      <c r="E1414" t="str">
        <f>VLOOKUP(C1414,Меню!A:E,4,0)</f>
        <v>Суши</v>
      </c>
      <c r="F1414">
        <f>VLOOKUP(C1414,Меню!A:E,5,0)</f>
        <v>200</v>
      </c>
    </row>
    <row r="1415" spans="1:6" ht="15.75" hidden="1" customHeight="1" x14ac:dyDescent="0.35">
      <c r="A1415" s="1">
        <v>1414</v>
      </c>
      <c r="B1415" s="1">
        <v>278</v>
      </c>
      <c r="C1415" s="1">
        <v>1</v>
      </c>
      <c r="D1415" t="str">
        <f>VLOOKUP(B1415,Заказы!A:C,3,0)</f>
        <v>2023-05-14 21:59:00</v>
      </c>
      <c r="E1415" t="str">
        <f>VLOOKUP(C1415,Меню!A:E,4,0)</f>
        <v>Завтрак</v>
      </c>
      <c r="F1415">
        <f>VLOOKUP(C1415,Меню!A:E,5,0)</f>
        <v>200</v>
      </c>
    </row>
    <row r="1416" spans="1:6" ht="15.75" hidden="1" customHeight="1" x14ac:dyDescent="0.35">
      <c r="A1416" s="1">
        <v>1415</v>
      </c>
      <c r="B1416" s="1">
        <v>279</v>
      </c>
      <c r="C1416" s="1">
        <v>9</v>
      </c>
      <c r="D1416" t="str">
        <f>VLOOKUP(B1416,Заказы!A:C,3,0)</f>
        <v>2023-05-15 15:43:00</v>
      </c>
      <c r="E1416" t="str">
        <f>VLOOKUP(C1416,Меню!A:E,4,0)</f>
        <v>Завтрак</v>
      </c>
      <c r="F1416">
        <f>VLOOKUP(C1416,Меню!A:E,5,0)</f>
        <v>220</v>
      </c>
    </row>
    <row r="1417" spans="1:6" ht="15.75" hidden="1" customHeight="1" x14ac:dyDescent="0.35">
      <c r="A1417" s="1">
        <v>1416</v>
      </c>
      <c r="B1417" s="1">
        <v>279</v>
      </c>
      <c r="C1417" s="1">
        <v>38</v>
      </c>
      <c r="D1417" t="str">
        <f>VLOOKUP(B1417,Заказы!A:C,3,0)</f>
        <v>2023-05-15 15:43:00</v>
      </c>
      <c r="E1417" t="str">
        <f>VLOOKUP(C1417,Меню!A:E,4,0)</f>
        <v>Десерт</v>
      </c>
      <c r="F1417">
        <f>VLOOKUP(C1417,Меню!A:E,5,0)</f>
        <v>150</v>
      </c>
    </row>
    <row r="1418" spans="1:6" ht="15.75" hidden="1" customHeight="1" x14ac:dyDescent="0.35">
      <c r="A1418" s="1">
        <v>1417</v>
      </c>
      <c r="B1418" s="1">
        <v>279</v>
      </c>
      <c r="C1418" s="1">
        <v>55</v>
      </c>
      <c r="D1418" t="str">
        <f>VLOOKUP(B1418,Заказы!A:C,3,0)</f>
        <v>2023-05-15 15:43:00</v>
      </c>
      <c r="E1418" t="str">
        <f>VLOOKUP(C1418,Меню!A:E,4,0)</f>
        <v>Суши</v>
      </c>
      <c r="F1418">
        <f>VLOOKUP(C1418,Меню!A:E,5,0)</f>
        <v>100</v>
      </c>
    </row>
    <row r="1419" spans="1:6" ht="15.75" hidden="1" customHeight="1" x14ac:dyDescent="0.35">
      <c r="A1419" s="1">
        <v>1418</v>
      </c>
      <c r="B1419" s="1">
        <v>279</v>
      </c>
      <c r="C1419" s="1">
        <v>16</v>
      </c>
      <c r="D1419" t="str">
        <f>VLOOKUP(B1419,Заказы!A:C,3,0)</f>
        <v>2023-05-15 15:43:00</v>
      </c>
      <c r="E1419" t="str">
        <f>VLOOKUP(C1419,Меню!A:E,4,0)</f>
        <v>Первое</v>
      </c>
      <c r="F1419">
        <f>VLOOKUP(C1419,Меню!A:E,5,0)</f>
        <v>250</v>
      </c>
    </row>
    <row r="1420" spans="1:6" ht="15.75" hidden="1" customHeight="1" x14ac:dyDescent="0.35">
      <c r="A1420" s="1">
        <v>1419</v>
      </c>
      <c r="B1420" s="1">
        <v>279</v>
      </c>
      <c r="C1420" s="1">
        <v>9</v>
      </c>
      <c r="D1420" t="str">
        <f>VLOOKUP(B1420,Заказы!A:C,3,0)</f>
        <v>2023-05-15 15:43:00</v>
      </c>
      <c r="E1420" t="str">
        <f>VLOOKUP(C1420,Меню!A:E,4,0)</f>
        <v>Завтрак</v>
      </c>
      <c r="F1420">
        <f>VLOOKUP(C1420,Меню!A:E,5,0)</f>
        <v>220</v>
      </c>
    </row>
    <row r="1421" spans="1:6" ht="15.75" hidden="1" customHeight="1" x14ac:dyDescent="0.35">
      <c r="A1421" s="1">
        <v>1420</v>
      </c>
      <c r="B1421" s="1">
        <v>280</v>
      </c>
      <c r="C1421" s="1">
        <v>53</v>
      </c>
      <c r="D1421" t="str">
        <f>VLOOKUP(B1421,Заказы!A:C,3,0)</f>
        <v>2023-05-15 16:06:00</v>
      </c>
      <c r="E1421" t="str">
        <f>VLOOKUP(C1421,Меню!A:E,4,0)</f>
        <v>Суши</v>
      </c>
      <c r="F1421">
        <f>VLOOKUP(C1421,Меню!A:E,5,0)</f>
        <v>100</v>
      </c>
    </row>
    <row r="1422" spans="1:6" ht="15.75" hidden="1" customHeight="1" x14ac:dyDescent="0.35">
      <c r="A1422" s="1">
        <v>1421</v>
      </c>
      <c r="B1422" s="1">
        <v>280</v>
      </c>
      <c r="C1422" s="1">
        <v>31</v>
      </c>
      <c r="D1422" t="str">
        <f>VLOOKUP(B1422,Заказы!A:C,3,0)</f>
        <v>2023-05-15 16:06:00</v>
      </c>
      <c r="E1422" t="str">
        <f>VLOOKUP(C1422,Меню!A:E,4,0)</f>
        <v>Десерт</v>
      </c>
      <c r="F1422">
        <f>VLOOKUP(C1422,Меню!A:E,5,0)</f>
        <v>150</v>
      </c>
    </row>
    <row r="1423" spans="1:6" ht="15.75" hidden="1" customHeight="1" x14ac:dyDescent="0.35">
      <c r="A1423" s="1">
        <v>1422</v>
      </c>
      <c r="B1423" s="1">
        <v>280</v>
      </c>
      <c r="C1423" s="1">
        <v>9</v>
      </c>
      <c r="D1423" t="str">
        <f>VLOOKUP(B1423,Заказы!A:C,3,0)</f>
        <v>2023-05-15 16:06:00</v>
      </c>
      <c r="E1423" t="str">
        <f>VLOOKUP(C1423,Меню!A:E,4,0)</f>
        <v>Завтрак</v>
      </c>
      <c r="F1423">
        <f>VLOOKUP(C1423,Меню!A:E,5,0)</f>
        <v>220</v>
      </c>
    </row>
    <row r="1424" spans="1:6" ht="15.75" hidden="1" customHeight="1" x14ac:dyDescent="0.35">
      <c r="A1424" s="1">
        <v>1423</v>
      </c>
      <c r="B1424" s="1">
        <v>280</v>
      </c>
      <c r="C1424" s="1">
        <v>26</v>
      </c>
      <c r="D1424" t="str">
        <f>VLOOKUP(B1424,Заказы!A:C,3,0)</f>
        <v>2023-05-15 16:06:00</v>
      </c>
      <c r="E1424" t="str">
        <f>VLOOKUP(C1424,Меню!A:E,4,0)</f>
        <v>Салат</v>
      </c>
      <c r="F1424">
        <f>VLOOKUP(C1424,Меню!A:E,5,0)</f>
        <v>250</v>
      </c>
    </row>
    <row r="1425" spans="1:6" ht="15.75" hidden="1" customHeight="1" x14ac:dyDescent="0.35">
      <c r="A1425" s="1">
        <v>1424</v>
      </c>
      <c r="B1425" s="1">
        <v>280</v>
      </c>
      <c r="C1425" s="1">
        <v>25</v>
      </c>
      <c r="D1425" t="str">
        <f>VLOOKUP(B1425,Заказы!A:C,3,0)</f>
        <v>2023-05-15 16:06:00</v>
      </c>
      <c r="E1425" t="str">
        <f>VLOOKUP(C1425,Меню!A:E,4,0)</f>
        <v>Салат</v>
      </c>
      <c r="F1425">
        <f>VLOOKUP(C1425,Меню!A:E,5,0)</f>
        <v>250</v>
      </c>
    </row>
    <row r="1426" spans="1:6" ht="15.75" hidden="1" customHeight="1" x14ac:dyDescent="0.35">
      <c r="A1426" s="1">
        <v>1425</v>
      </c>
      <c r="B1426" s="1">
        <v>280</v>
      </c>
      <c r="C1426" s="1">
        <v>52</v>
      </c>
      <c r="D1426" t="str">
        <f>VLOOKUP(B1426,Заказы!A:C,3,0)</f>
        <v>2023-05-15 16:06:00</v>
      </c>
      <c r="E1426" t="str">
        <f>VLOOKUP(C1426,Меню!A:E,4,0)</f>
        <v>Суши</v>
      </c>
      <c r="F1426">
        <f>VLOOKUP(C1426,Меню!A:E,5,0)</f>
        <v>100</v>
      </c>
    </row>
    <row r="1427" spans="1:6" ht="15.75" hidden="1" customHeight="1" x14ac:dyDescent="0.35">
      <c r="A1427" s="1">
        <v>1426</v>
      </c>
      <c r="B1427" s="1">
        <v>281</v>
      </c>
      <c r="C1427" s="1">
        <v>51</v>
      </c>
      <c r="D1427" t="str">
        <f>VLOOKUP(B1427,Заказы!A:C,3,0)</f>
        <v>2023-05-16 15:45:00</v>
      </c>
      <c r="E1427" t="str">
        <f>VLOOKUP(C1427,Меню!A:E,4,0)</f>
        <v>Суши</v>
      </c>
      <c r="F1427">
        <f>VLOOKUP(C1427,Меню!A:E,5,0)</f>
        <v>100</v>
      </c>
    </row>
    <row r="1428" spans="1:6" ht="15.75" hidden="1" customHeight="1" x14ac:dyDescent="0.35">
      <c r="A1428" s="1">
        <v>1427</v>
      </c>
      <c r="B1428" s="1">
        <v>281</v>
      </c>
      <c r="C1428" s="1">
        <v>48</v>
      </c>
      <c r="D1428" t="str">
        <f>VLOOKUP(B1428,Заказы!A:C,3,0)</f>
        <v>2023-05-16 15:45:00</v>
      </c>
      <c r="E1428" t="str">
        <f>VLOOKUP(C1428,Меню!A:E,4,0)</f>
        <v>Суши</v>
      </c>
      <c r="F1428">
        <f>VLOOKUP(C1428,Меню!A:E,5,0)</f>
        <v>200</v>
      </c>
    </row>
    <row r="1429" spans="1:6" ht="15.75" hidden="1" customHeight="1" x14ac:dyDescent="0.35">
      <c r="A1429" s="1">
        <v>1428</v>
      </c>
      <c r="B1429" s="1">
        <v>281</v>
      </c>
      <c r="C1429" s="1">
        <v>25</v>
      </c>
      <c r="D1429" t="str">
        <f>VLOOKUP(B1429,Заказы!A:C,3,0)</f>
        <v>2023-05-16 15:45:00</v>
      </c>
      <c r="E1429" t="str">
        <f>VLOOKUP(C1429,Меню!A:E,4,0)</f>
        <v>Салат</v>
      </c>
      <c r="F1429">
        <f>VLOOKUP(C1429,Меню!A:E,5,0)</f>
        <v>250</v>
      </c>
    </row>
    <row r="1430" spans="1:6" ht="15.75" hidden="1" customHeight="1" x14ac:dyDescent="0.35">
      <c r="A1430" s="1">
        <v>1429</v>
      </c>
      <c r="B1430" s="1">
        <v>281</v>
      </c>
      <c r="C1430" s="1">
        <v>53</v>
      </c>
      <c r="D1430" t="str">
        <f>VLOOKUP(B1430,Заказы!A:C,3,0)</f>
        <v>2023-05-16 15:45:00</v>
      </c>
      <c r="E1430" t="str">
        <f>VLOOKUP(C1430,Меню!A:E,4,0)</f>
        <v>Суши</v>
      </c>
      <c r="F1430">
        <f>VLOOKUP(C1430,Меню!A:E,5,0)</f>
        <v>100</v>
      </c>
    </row>
    <row r="1431" spans="1:6" ht="15.75" hidden="1" customHeight="1" x14ac:dyDescent="0.35">
      <c r="A1431" s="1">
        <v>1430</v>
      </c>
      <c r="B1431" s="1">
        <v>281</v>
      </c>
      <c r="C1431" s="1">
        <v>5</v>
      </c>
      <c r="D1431" t="str">
        <f>VLOOKUP(B1431,Заказы!A:C,3,0)</f>
        <v>2023-05-16 15:45:00</v>
      </c>
      <c r="E1431" t="str">
        <f>VLOOKUP(C1431,Меню!A:E,4,0)</f>
        <v>Завтрак</v>
      </c>
      <c r="F1431">
        <f>VLOOKUP(C1431,Меню!A:E,5,0)</f>
        <v>220</v>
      </c>
    </row>
    <row r="1432" spans="1:6" ht="15.75" hidden="1" customHeight="1" x14ac:dyDescent="0.35">
      <c r="A1432" s="1">
        <v>1431</v>
      </c>
      <c r="B1432" s="1">
        <v>281</v>
      </c>
      <c r="C1432" s="1">
        <v>19</v>
      </c>
      <c r="D1432" t="str">
        <f>VLOOKUP(B1432,Заказы!A:C,3,0)</f>
        <v>2023-05-16 15:45:00</v>
      </c>
      <c r="E1432" t="str">
        <f>VLOOKUP(C1432,Меню!A:E,4,0)</f>
        <v>Первое</v>
      </c>
      <c r="F1432">
        <f>VLOOKUP(C1432,Меню!A:E,5,0)</f>
        <v>300</v>
      </c>
    </row>
    <row r="1433" spans="1:6" ht="15.75" hidden="1" customHeight="1" x14ac:dyDescent="0.35">
      <c r="A1433" s="1">
        <v>1432</v>
      </c>
      <c r="B1433" s="1">
        <v>281</v>
      </c>
      <c r="C1433" s="1">
        <v>45</v>
      </c>
      <c r="D1433" t="str">
        <f>VLOOKUP(B1433,Заказы!A:C,3,0)</f>
        <v>2023-05-16 15:45:00</v>
      </c>
      <c r="E1433" t="str">
        <f>VLOOKUP(C1433,Меню!A:E,4,0)</f>
        <v>Суши</v>
      </c>
      <c r="F1433">
        <f>VLOOKUP(C1433,Меню!A:E,5,0)</f>
        <v>200</v>
      </c>
    </row>
    <row r="1434" spans="1:6" ht="15.75" hidden="1" customHeight="1" x14ac:dyDescent="0.35">
      <c r="A1434" s="1">
        <v>1433</v>
      </c>
      <c r="B1434" s="1">
        <v>281</v>
      </c>
      <c r="C1434" s="1">
        <v>52</v>
      </c>
      <c r="D1434" t="str">
        <f>VLOOKUP(B1434,Заказы!A:C,3,0)</f>
        <v>2023-05-16 15:45:00</v>
      </c>
      <c r="E1434" t="str">
        <f>VLOOKUP(C1434,Меню!A:E,4,0)</f>
        <v>Суши</v>
      </c>
      <c r="F1434">
        <f>VLOOKUP(C1434,Меню!A:E,5,0)</f>
        <v>100</v>
      </c>
    </row>
    <row r="1435" spans="1:6" ht="15.75" hidden="1" customHeight="1" x14ac:dyDescent="0.35">
      <c r="A1435" s="1">
        <v>1434</v>
      </c>
      <c r="B1435" s="1">
        <v>282</v>
      </c>
      <c r="C1435" s="1">
        <v>39</v>
      </c>
      <c r="D1435" t="str">
        <f>VLOOKUP(B1435,Заказы!A:C,3,0)</f>
        <v>2023-05-16 15:47:00</v>
      </c>
      <c r="E1435" t="str">
        <f>VLOOKUP(C1435,Меню!A:E,4,0)</f>
        <v>Десерт</v>
      </c>
      <c r="F1435">
        <f>VLOOKUP(C1435,Меню!A:E,5,0)</f>
        <v>150</v>
      </c>
    </row>
    <row r="1436" spans="1:6" ht="15.75" hidden="1" customHeight="1" x14ac:dyDescent="0.35">
      <c r="A1436" s="1">
        <v>1435</v>
      </c>
      <c r="B1436" s="1">
        <v>282</v>
      </c>
      <c r="C1436" s="1">
        <v>2</v>
      </c>
      <c r="D1436" t="str">
        <f>VLOOKUP(B1436,Заказы!A:C,3,0)</f>
        <v>2023-05-16 15:47:00</v>
      </c>
      <c r="E1436" t="str">
        <f>VLOOKUP(C1436,Меню!A:E,4,0)</f>
        <v>Завтрак</v>
      </c>
      <c r="F1436">
        <f>VLOOKUP(C1436,Меню!A:E,5,0)</f>
        <v>250</v>
      </c>
    </row>
    <row r="1437" spans="1:6" ht="15.75" hidden="1" customHeight="1" x14ac:dyDescent="0.35">
      <c r="A1437" s="1">
        <v>1436</v>
      </c>
      <c r="B1437" s="1">
        <v>282</v>
      </c>
      <c r="C1437" s="1">
        <v>30</v>
      </c>
      <c r="D1437" t="str">
        <f>VLOOKUP(B1437,Заказы!A:C,3,0)</f>
        <v>2023-05-16 15:47:00</v>
      </c>
      <c r="E1437" t="str">
        <f>VLOOKUP(C1437,Меню!A:E,4,0)</f>
        <v>Салат</v>
      </c>
      <c r="F1437">
        <f>VLOOKUP(C1437,Меню!A:E,5,0)</f>
        <v>250</v>
      </c>
    </row>
    <row r="1438" spans="1:6" ht="15.75" hidden="1" customHeight="1" x14ac:dyDescent="0.35">
      <c r="A1438" s="1">
        <v>1437</v>
      </c>
      <c r="B1438" s="1">
        <v>282</v>
      </c>
      <c r="C1438" s="1">
        <v>7</v>
      </c>
      <c r="D1438" t="str">
        <f>VLOOKUP(B1438,Заказы!A:C,3,0)</f>
        <v>2023-05-16 15:47:00</v>
      </c>
      <c r="E1438" t="str">
        <f>VLOOKUP(C1438,Меню!A:E,4,0)</f>
        <v>Завтрак</v>
      </c>
      <c r="F1438">
        <f>VLOOKUP(C1438,Меню!A:E,5,0)</f>
        <v>200</v>
      </c>
    </row>
    <row r="1439" spans="1:6" ht="15.75" hidden="1" customHeight="1" x14ac:dyDescent="0.35">
      <c r="A1439" s="1">
        <v>1438</v>
      </c>
      <c r="B1439" s="1">
        <v>283</v>
      </c>
      <c r="C1439" s="1">
        <v>7</v>
      </c>
      <c r="D1439" t="str">
        <f>VLOOKUP(B1439,Заказы!A:C,3,0)</f>
        <v>2023-05-16 22:05:00</v>
      </c>
      <c r="E1439" t="str">
        <f>VLOOKUP(C1439,Меню!A:E,4,0)</f>
        <v>Завтрак</v>
      </c>
      <c r="F1439">
        <f>VLOOKUP(C1439,Меню!A:E,5,0)</f>
        <v>200</v>
      </c>
    </row>
    <row r="1440" spans="1:6" ht="15.75" hidden="1" customHeight="1" x14ac:dyDescent="0.35">
      <c r="A1440" s="1">
        <v>1439</v>
      </c>
      <c r="B1440" s="1">
        <v>283</v>
      </c>
      <c r="C1440" s="1">
        <v>52</v>
      </c>
      <c r="D1440" t="str">
        <f>VLOOKUP(B1440,Заказы!A:C,3,0)</f>
        <v>2023-05-16 22:05:00</v>
      </c>
      <c r="E1440" t="str">
        <f>VLOOKUP(C1440,Меню!A:E,4,0)</f>
        <v>Суши</v>
      </c>
      <c r="F1440">
        <f>VLOOKUP(C1440,Меню!A:E,5,0)</f>
        <v>100</v>
      </c>
    </row>
    <row r="1441" spans="1:6" ht="15.75" hidden="1" customHeight="1" x14ac:dyDescent="0.35">
      <c r="A1441" s="1">
        <v>1440</v>
      </c>
      <c r="B1441" s="1">
        <v>283</v>
      </c>
      <c r="C1441" s="1">
        <v>13</v>
      </c>
      <c r="D1441" t="str">
        <f>VLOOKUP(B1441,Заказы!A:C,3,0)</f>
        <v>2023-05-16 22:05:00</v>
      </c>
      <c r="E1441" t="str">
        <f>VLOOKUP(C1441,Меню!A:E,4,0)</f>
        <v>Первое</v>
      </c>
      <c r="F1441">
        <f>VLOOKUP(C1441,Меню!A:E,5,0)</f>
        <v>280</v>
      </c>
    </row>
    <row r="1442" spans="1:6" ht="15.75" hidden="1" customHeight="1" x14ac:dyDescent="0.35">
      <c r="A1442" s="1">
        <v>1441</v>
      </c>
      <c r="B1442" s="1">
        <v>283</v>
      </c>
      <c r="C1442" s="1">
        <v>13</v>
      </c>
      <c r="D1442" t="str">
        <f>VLOOKUP(B1442,Заказы!A:C,3,0)</f>
        <v>2023-05-16 22:05:00</v>
      </c>
      <c r="E1442" t="str">
        <f>VLOOKUP(C1442,Меню!A:E,4,0)</f>
        <v>Первое</v>
      </c>
      <c r="F1442">
        <f>VLOOKUP(C1442,Меню!A:E,5,0)</f>
        <v>280</v>
      </c>
    </row>
    <row r="1443" spans="1:6" ht="15.75" hidden="1" customHeight="1" x14ac:dyDescent="0.35">
      <c r="A1443" s="1">
        <v>1442</v>
      </c>
      <c r="B1443" s="1">
        <v>283</v>
      </c>
      <c r="C1443" s="1">
        <v>60</v>
      </c>
      <c r="D1443" t="str">
        <f>VLOOKUP(B1443,Заказы!A:C,3,0)</f>
        <v>2023-05-16 22:05:00</v>
      </c>
      <c r="E1443" t="str">
        <f>VLOOKUP(C1443,Меню!A:E,4,0)</f>
        <v>Суши</v>
      </c>
      <c r="F1443">
        <f>VLOOKUP(C1443,Меню!A:E,5,0)</f>
        <v>250</v>
      </c>
    </row>
    <row r="1444" spans="1:6" ht="15.75" hidden="1" customHeight="1" x14ac:dyDescent="0.35">
      <c r="A1444" s="1">
        <v>1443</v>
      </c>
      <c r="B1444" s="1">
        <v>283</v>
      </c>
      <c r="C1444" s="1">
        <v>9</v>
      </c>
      <c r="D1444" t="str">
        <f>VLOOKUP(B1444,Заказы!A:C,3,0)</f>
        <v>2023-05-16 22:05:00</v>
      </c>
      <c r="E1444" t="str">
        <f>VLOOKUP(C1444,Меню!A:E,4,0)</f>
        <v>Завтрак</v>
      </c>
      <c r="F1444">
        <f>VLOOKUP(C1444,Меню!A:E,5,0)</f>
        <v>220</v>
      </c>
    </row>
    <row r="1445" spans="1:6" ht="15.75" hidden="1" customHeight="1" x14ac:dyDescent="0.35">
      <c r="A1445" s="1">
        <v>1444</v>
      </c>
      <c r="B1445" s="1">
        <v>284</v>
      </c>
      <c r="C1445" s="1">
        <v>41</v>
      </c>
      <c r="D1445" t="str">
        <f>VLOOKUP(B1445,Заказы!A:C,3,0)</f>
        <v>2023-05-16 22:38:00</v>
      </c>
      <c r="E1445" t="str">
        <f>VLOOKUP(C1445,Меню!A:E,4,0)</f>
        <v>Суши</v>
      </c>
      <c r="F1445">
        <f>VLOOKUP(C1445,Меню!A:E,5,0)</f>
        <v>220</v>
      </c>
    </row>
    <row r="1446" spans="1:6" ht="15.75" hidden="1" customHeight="1" x14ac:dyDescent="0.35">
      <c r="A1446" s="1">
        <v>1445</v>
      </c>
      <c r="B1446" s="1">
        <v>284</v>
      </c>
      <c r="C1446" s="1">
        <v>23</v>
      </c>
      <c r="D1446" t="str">
        <f>VLOOKUP(B1446,Заказы!A:C,3,0)</f>
        <v>2023-05-16 22:38:00</v>
      </c>
      <c r="E1446" t="str">
        <f>VLOOKUP(C1446,Меню!A:E,4,0)</f>
        <v>Салат</v>
      </c>
      <c r="F1446">
        <f>VLOOKUP(C1446,Меню!A:E,5,0)</f>
        <v>250</v>
      </c>
    </row>
    <row r="1447" spans="1:6" ht="15.75" hidden="1" customHeight="1" x14ac:dyDescent="0.35">
      <c r="A1447" s="1">
        <v>1446</v>
      </c>
      <c r="B1447" s="1">
        <v>284</v>
      </c>
      <c r="C1447" s="1">
        <v>53</v>
      </c>
      <c r="D1447" t="str">
        <f>VLOOKUP(B1447,Заказы!A:C,3,0)</f>
        <v>2023-05-16 22:38:00</v>
      </c>
      <c r="E1447" t="str">
        <f>VLOOKUP(C1447,Меню!A:E,4,0)</f>
        <v>Суши</v>
      </c>
      <c r="F1447">
        <f>VLOOKUP(C1447,Меню!A:E,5,0)</f>
        <v>100</v>
      </c>
    </row>
    <row r="1448" spans="1:6" ht="15.75" hidden="1" customHeight="1" x14ac:dyDescent="0.35">
      <c r="A1448" s="1">
        <v>1447</v>
      </c>
      <c r="B1448" s="1">
        <v>284</v>
      </c>
      <c r="C1448" s="1">
        <v>29</v>
      </c>
      <c r="D1448" t="str">
        <f>VLOOKUP(B1448,Заказы!A:C,3,0)</f>
        <v>2023-05-16 22:38:00</v>
      </c>
      <c r="E1448" t="str">
        <f>VLOOKUP(C1448,Меню!A:E,4,0)</f>
        <v>Салат</v>
      </c>
      <c r="F1448">
        <f>VLOOKUP(C1448,Меню!A:E,5,0)</f>
        <v>250</v>
      </c>
    </row>
    <row r="1449" spans="1:6" ht="15.75" hidden="1" customHeight="1" x14ac:dyDescent="0.35">
      <c r="A1449" s="1">
        <v>1448</v>
      </c>
      <c r="B1449" s="1">
        <v>285</v>
      </c>
      <c r="C1449" s="1">
        <v>39</v>
      </c>
      <c r="D1449" t="str">
        <f>VLOOKUP(B1449,Заказы!A:C,3,0)</f>
        <v>2023-05-17 15:55:00</v>
      </c>
      <c r="E1449" t="str">
        <f>VLOOKUP(C1449,Меню!A:E,4,0)</f>
        <v>Десерт</v>
      </c>
      <c r="F1449">
        <f>VLOOKUP(C1449,Меню!A:E,5,0)</f>
        <v>150</v>
      </c>
    </row>
    <row r="1450" spans="1:6" ht="15.75" hidden="1" customHeight="1" x14ac:dyDescent="0.35">
      <c r="A1450" s="1">
        <v>1449</v>
      </c>
      <c r="B1450" s="1">
        <v>285</v>
      </c>
      <c r="C1450" s="1">
        <v>5</v>
      </c>
      <c r="D1450" t="str">
        <f>VLOOKUP(B1450,Заказы!A:C,3,0)</f>
        <v>2023-05-17 15:55:00</v>
      </c>
      <c r="E1450" t="str">
        <f>VLOOKUP(C1450,Меню!A:E,4,0)</f>
        <v>Завтрак</v>
      </c>
      <c r="F1450">
        <f>VLOOKUP(C1450,Меню!A:E,5,0)</f>
        <v>220</v>
      </c>
    </row>
    <row r="1451" spans="1:6" ht="15.75" hidden="1" customHeight="1" x14ac:dyDescent="0.35">
      <c r="A1451" s="1">
        <v>1450</v>
      </c>
      <c r="B1451" s="1">
        <v>286</v>
      </c>
      <c r="C1451" s="1">
        <v>12</v>
      </c>
      <c r="D1451" t="str">
        <f>VLOOKUP(B1451,Заказы!A:C,3,0)</f>
        <v>2023-05-17 18:03:00</v>
      </c>
      <c r="E1451" t="str">
        <f>VLOOKUP(C1451,Меню!A:E,4,0)</f>
        <v>Первое</v>
      </c>
      <c r="F1451">
        <f>VLOOKUP(C1451,Меню!A:E,5,0)</f>
        <v>300</v>
      </c>
    </row>
    <row r="1452" spans="1:6" ht="15.75" hidden="1" customHeight="1" x14ac:dyDescent="0.35">
      <c r="A1452" s="1">
        <v>1451</v>
      </c>
      <c r="B1452" s="1">
        <v>286</v>
      </c>
      <c r="C1452" s="1">
        <v>14</v>
      </c>
      <c r="D1452" t="str">
        <f>VLOOKUP(B1452,Заказы!A:C,3,0)</f>
        <v>2023-05-17 18:03:00</v>
      </c>
      <c r="E1452" t="str">
        <f>VLOOKUP(C1452,Меню!A:E,4,0)</f>
        <v>Первое</v>
      </c>
      <c r="F1452">
        <f>VLOOKUP(C1452,Меню!A:E,5,0)</f>
        <v>350</v>
      </c>
    </row>
    <row r="1453" spans="1:6" ht="15.75" hidden="1" customHeight="1" x14ac:dyDescent="0.35">
      <c r="A1453" s="1">
        <v>1452</v>
      </c>
      <c r="B1453" s="1">
        <v>286</v>
      </c>
      <c r="C1453" s="1">
        <v>16</v>
      </c>
      <c r="D1453" t="str">
        <f>VLOOKUP(B1453,Заказы!A:C,3,0)</f>
        <v>2023-05-17 18:03:00</v>
      </c>
      <c r="E1453" t="str">
        <f>VLOOKUP(C1453,Меню!A:E,4,0)</f>
        <v>Первое</v>
      </c>
      <c r="F1453">
        <f>VLOOKUP(C1453,Меню!A:E,5,0)</f>
        <v>250</v>
      </c>
    </row>
    <row r="1454" spans="1:6" ht="15.75" hidden="1" customHeight="1" x14ac:dyDescent="0.35">
      <c r="A1454" s="1">
        <v>1453</v>
      </c>
      <c r="B1454" s="1">
        <v>286</v>
      </c>
      <c r="C1454" s="1">
        <v>22</v>
      </c>
      <c r="D1454" t="str">
        <f>VLOOKUP(B1454,Заказы!A:C,3,0)</f>
        <v>2023-05-17 18:03:00</v>
      </c>
      <c r="E1454" t="str">
        <f>VLOOKUP(C1454,Меню!A:E,4,0)</f>
        <v>Салат</v>
      </c>
      <c r="F1454">
        <f>VLOOKUP(C1454,Меню!A:E,5,0)</f>
        <v>250</v>
      </c>
    </row>
    <row r="1455" spans="1:6" ht="15.75" hidden="1" customHeight="1" x14ac:dyDescent="0.35">
      <c r="A1455" s="1">
        <v>1454</v>
      </c>
      <c r="B1455" s="1">
        <v>286</v>
      </c>
      <c r="C1455" s="1">
        <v>40</v>
      </c>
      <c r="D1455" t="str">
        <f>VLOOKUP(B1455,Заказы!A:C,3,0)</f>
        <v>2023-05-17 18:03:00</v>
      </c>
      <c r="E1455" t="str">
        <f>VLOOKUP(C1455,Меню!A:E,4,0)</f>
        <v>Десерт</v>
      </c>
      <c r="F1455">
        <f>VLOOKUP(C1455,Меню!A:E,5,0)</f>
        <v>150</v>
      </c>
    </row>
    <row r="1456" spans="1:6" ht="15.75" hidden="1" customHeight="1" x14ac:dyDescent="0.35">
      <c r="A1456" s="1">
        <v>1455</v>
      </c>
      <c r="B1456" s="1">
        <v>286</v>
      </c>
      <c r="C1456" s="1">
        <v>5</v>
      </c>
      <c r="D1456" t="str">
        <f>VLOOKUP(B1456,Заказы!A:C,3,0)</f>
        <v>2023-05-17 18:03:00</v>
      </c>
      <c r="E1456" t="str">
        <f>VLOOKUP(C1456,Меню!A:E,4,0)</f>
        <v>Завтрак</v>
      </c>
      <c r="F1456">
        <f>VLOOKUP(C1456,Меню!A:E,5,0)</f>
        <v>220</v>
      </c>
    </row>
    <row r="1457" spans="1:6" ht="15.75" hidden="1" customHeight="1" x14ac:dyDescent="0.35">
      <c r="A1457" s="1">
        <v>1456</v>
      </c>
      <c r="B1457" s="1">
        <v>286</v>
      </c>
      <c r="C1457" s="1">
        <v>32</v>
      </c>
      <c r="D1457" t="str">
        <f>VLOOKUP(B1457,Заказы!A:C,3,0)</f>
        <v>2023-05-17 18:03:00</v>
      </c>
      <c r="E1457" t="str">
        <f>VLOOKUP(C1457,Меню!A:E,4,0)</f>
        <v>Десерт</v>
      </c>
      <c r="F1457">
        <f>VLOOKUP(C1457,Меню!A:E,5,0)</f>
        <v>150</v>
      </c>
    </row>
    <row r="1458" spans="1:6" ht="15.75" hidden="1" customHeight="1" x14ac:dyDescent="0.35">
      <c r="A1458" s="1">
        <v>1457</v>
      </c>
      <c r="B1458" s="1">
        <v>287</v>
      </c>
      <c r="C1458" s="1">
        <v>36</v>
      </c>
      <c r="D1458" t="str">
        <f>VLOOKUP(B1458,Заказы!A:C,3,0)</f>
        <v>2023-05-17 18:06:00</v>
      </c>
      <c r="E1458" t="str">
        <f>VLOOKUP(C1458,Меню!A:E,4,0)</f>
        <v>Десерт</v>
      </c>
      <c r="F1458">
        <f>VLOOKUP(C1458,Меню!A:E,5,0)</f>
        <v>150</v>
      </c>
    </row>
    <row r="1459" spans="1:6" ht="15.75" hidden="1" customHeight="1" x14ac:dyDescent="0.35">
      <c r="A1459" s="1">
        <v>1458</v>
      </c>
      <c r="B1459" s="1">
        <v>287</v>
      </c>
      <c r="C1459" s="1">
        <v>17</v>
      </c>
      <c r="D1459" t="str">
        <f>VLOOKUP(B1459,Заказы!A:C,3,0)</f>
        <v>2023-05-17 18:06:00</v>
      </c>
      <c r="E1459" t="str">
        <f>VLOOKUP(C1459,Меню!A:E,4,0)</f>
        <v>Первое</v>
      </c>
      <c r="F1459">
        <f>VLOOKUP(C1459,Меню!A:E,5,0)</f>
        <v>250</v>
      </c>
    </row>
    <row r="1460" spans="1:6" ht="15.75" hidden="1" customHeight="1" x14ac:dyDescent="0.35">
      <c r="A1460" s="1">
        <v>1459</v>
      </c>
      <c r="B1460" s="1">
        <v>287</v>
      </c>
      <c r="C1460" s="1">
        <v>19</v>
      </c>
      <c r="D1460" t="str">
        <f>VLOOKUP(B1460,Заказы!A:C,3,0)</f>
        <v>2023-05-17 18:06:00</v>
      </c>
      <c r="E1460" t="str">
        <f>VLOOKUP(C1460,Меню!A:E,4,0)</f>
        <v>Первое</v>
      </c>
      <c r="F1460">
        <f>VLOOKUP(C1460,Меню!A:E,5,0)</f>
        <v>300</v>
      </c>
    </row>
    <row r="1461" spans="1:6" ht="15.75" hidden="1" customHeight="1" x14ac:dyDescent="0.35">
      <c r="A1461" s="1">
        <v>1460</v>
      </c>
      <c r="B1461" s="1">
        <v>287</v>
      </c>
      <c r="C1461" s="1">
        <v>39</v>
      </c>
      <c r="D1461" t="str">
        <f>VLOOKUP(B1461,Заказы!A:C,3,0)</f>
        <v>2023-05-17 18:06:00</v>
      </c>
      <c r="E1461" t="str">
        <f>VLOOKUP(C1461,Меню!A:E,4,0)</f>
        <v>Десерт</v>
      </c>
      <c r="F1461">
        <f>VLOOKUP(C1461,Меню!A:E,5,0)</f>
        <v>150</v>
      </c>
    </row>
    <row r="1462" spans="1:6" ht="15.75" hidden="1" customHeight="1" x14ac:dyDescent="0.35">
      <c r="A1462" s="1">
        <v>1461</v>
      </c>
      <c r="B1462" s="1">
        <v>287</v>
      </c>
      <c r="C1462" s="1">
        <v>8</v>
      </c>
      <c r="D1462" t="str">
        <f>VLOOKUP(B1462,Заказы!A:C,3,0)</f>
        <v>2023-05-17 18:06:00</v>
      </c>
      <c r="E1462" t="str">
        <f>VLOOKUP(C1462,Меню!A:E,4,0)</f>
        <v>Завтрак</v>
      </c>
      <c r="F1462">
        <f>VLOOKUP(C1462,Меню!A:E,5,0)</f>
        <v>180</v>
      </c>
    </row>
    <row r="1463" spans="1:6" ht="15.75" hidden="1" customHeight="1" x14ac:dyDescent="0.35">
      <c r="A1463" s="1">
        <v>1462</v>
      </c>
      <c r="B1463" s="1">
        <v>287</v>
      </c>
      <c r="C1463" s="1">
        <v>43</v>
      </c>
      <c r="D1463" t="str">
        <f>VLOOKUP(B1463,Заказы!A:C,3,0)</f>
        <v>2023-05-17 18:06:00</v>
      </c>
      <c r="E1463" t="str">
        <f>VLOOKUP(C1463,Меню!A:E,4,0)</f>
        <v>Суши</v>
      </c>
      <c r="F1463">
        <f>VLOOKUP(C1463,Меню!A:E,5,0)</f>
        <v>250</v>
      </c>
    </row>
    <row r="1464" spans="1:6" ht="15.75" hidden="1" customHeight="1" x14ac:dyDescent="0.35">
      <c r="A1464" s="1">
        <v>1463</v>
      </c>
      <c r="B1464" s="1">
        <v>287</v>
      </c>
      <c r="C1464" s="1">
        <v>16</v>
      </c>
      <c r="D1464" t="str">
        <f>VLOOKUP(B1464,Заказы!A:C,3,0)</f>
        <v>2023-05-17 18:06:00</v>
      </c>
      <c r="E1464" t="str">
        <f>VLOOKUP(C1464,Меню!A:E,4,0)</f>
        <v>Первое</v>
      </c>
      <c r="F1464">
        <f>VLOOKUP(C1464,Меню!A:E,5,0)</f>
        <v>250</v>
      </c>
    </row>
    <row r="1465" spans="1:6" ht="15.75" hidden="1" customHeight="1" x14ac:dyDescent="0.35">
      <c r="A1465" s="1">
        <v>1464</v>
      </c>
      <c r="B1465" s="1">
        <v>288</v>
      </c>
      <c r="C1465" s="1">
        <v>56</v>
      </c>
      <c r="D1465" t="str">
        <f>VLOOKUP(B1465,Заказы!A:C,3,0)</f>
        <v>2023-05-17 20:34:00</v>
      </c>
      <c r="E1465" t="str">
        <f>VLOOKUP(C1465,Меню!A:E,4,0)</f>
        <v>Суши</v>
      </c>
      <c r="F1465">
        <f>VLOOKUP(C1465,Меню!A:E,5,0)</f>
        <v>200</v>
      </c>
    </row>
    <row r="1466" spans="1:6" ht="15.75" hidden="1" customHeight="1" x14ac:dyDescent="0.35">
      <c r="A1466" s="1">
        <v>1465</v>
      </c>
      <c r="B1466" s="1">
        <v>288</v>
      </c>
      <c r="C1466" s="1">
        <v>24</v>
      </c>
      <c r="D1466" t="str">
        <f>VLOOKUP(B1466,Заказы!A:C,3,0)</f>
        <v>2023-05-17 20:34:00</v>
      </c>
      <c r="E1466" t="str">
        <f>VLOOKUP(C1466,Меню!A:E,4,0)</f>
        <v>Салат</v>
      </c>
      <c r="F1466">
        <f>VLOOKUP(C1466,Меню!A:E,5,0)</f>
        <v>250</v>
      </c>
    </row>
    <row r="1467" spans="1:6" ht="15.75" hidden="1" customHeight="1" x14ac:dyDescent="0.35">
      <c r="A1467" s="1">
        <v>1466</v>
      </c>
      <c r="B1467" s="1">
        <v>288</v>
      </c>
      <c r="C1467" s="1">
        <v>26</v>
      </c>
      <c r="D1467" t="str">
        <f>VLOOKUP(B1467,Заказы!A:C,3,0)</f>
        <v>2023-05-17 20:34:00</v>
      </c>
      <c r="E1467" t="str">
        <f>VLOOKUP(C1467,Меню!A:E,4,0)</f>
        <v>Салат</v>
      </c>
      <c r="F1467">
        <f>VLOOKUP(C1467,Меню!A:E,5,0)</f>
        <v>250</v>
      </c>
    </row>
    <row r="1468" spans="1:6" ht="15.75" hidden="1" customHeight="1" x14ac:dyDescent="0.35">
      <c r="A1468" s="1">
        <v>1467</v>
      </c>
      <c r="B1468" s="1">
        <v>288</v>
      </c>
      <c r="C1468" s="1">
        <v>2</v>
      </c>
      <c r="D1468" t="str">
        <f>VLOOKUP(B1468,Заказы!A:C,3,0)</f>
        <v>2023-05-17 20:34:00</v>
      </c>
      <c r="E1468" t="str">
        <f>VLOOKUP(C1468,Меню!A:E,4,0)</f>
        <v>Завтрак</v>
      </c>
      <c r="F1468">
        <f>VLOOKUP(C1468,Меню!A:E,5,0)</f>
        <v>250</v>
      </c>
    </row>
    <row r="1469" spans="1:6" ht="15.75" hidden="1" customHeight="1" x14ac:dyDescent="0.35">
      <c r="A1469" s="1">
        <v>1468</v>
      </c>
      <c r="B1469" s="1">
        <v>288</v>
      </c>
      <c r="C1469" s="1">
        <v>27</v>
      </c>
      <c r="D1469" t="str">
        <f>VLOOKUP(B1469,Заказы!A:C,3,0)</f>
        <v>2023-05-17 20:34:00</v>
      </c>
      <c r="E1469" t="str">
        <f>VLOOKUP(C1469,Меню!A:E,4,0)</f>
        <v>Салат</v>
      </c>
      <c r="F1469">
        <f>VLOOKUP(C1469,Меню!A:E,5,0)</f>
        <v>250</v>
      </c>
    </row>
    <row r="1470" spans="1:6" ht="15.75" hidden="1" customHeight="1" x14ac:dyDescent="0.35">
      <c r="A1470" s="1">
        <v>1469</v>
      </c>
      <c r="B1470" s="1">
        <v>288</v>
      </c>
      <c r="C1470" s="1">
        <v>39</v>
      </c>
      <c r="D1470" t="str">
        <f>VLOOKUP(B1470,Заказы!A:C,3,0)</f>
        <v>2023-05-17 20:34:00</v>
      </c>
      <c r="E1470" t="str">
        <f>VLOOKUP(C1470,Меню!A:E,4,0)</f>
        <v>Десерт</v>
      </c>
      <c r="F1470">
        <f>VLOOKUP(C1470,Меню!A:E,5,0)</f>
        <v>150</v>
      </c>
    </row>
    <row r="1471" spans="1:6" ht="15.75" hidden="1" customHeight="1" x14ac:dyDescent="0.35">
      <c r="A1471" s="1">
        <v>1470</v>
      </c>
      <c r="B1471" s="1">
        <v>288</v>
      </c>
      <c r="C1471" s="1">
        <v>10</v>
      </c>
      <c r="D1471" t="str">
        <f>VLOOKUP(B1471,Заказы!A:C,3,0)</f>
        <v>2023-05-17 20:34:00</v>
      </c>
      <c r="E1471" t="str">
        <f>VLOOKUP(C1471,Меню!A:E,4,0)</f>
        <v>Завтрак</v>
      </c>
      <c r="F1471">
        <f>VLOOKUP(C1471,Меню!A:E,5,0)</f>
        <v>200</v>
      </c>
    </row>
    <row r="1472" spans="1:6" ht="15.75" hidden="1" customHeight="1" x14ac:dyDescent="0.35">
      <c r="A1472" s="1">
        <v>1471</v>
      </c>
      <c r="B1472" s="1">
        <v>288</v>
      </c>
      <c r="C1472" s="1">
        <v>29</v>
      </c>
      <c r="D1472" t="str">
        <f>VLOOKUP(B1472,Заказы!A:C,3,0)</f>
        <v>2023-05-17 20:34:00</v>
      </c>
      <c r="E1472" t="str">
        <f>VLOOKUP(C1472,Меню!A:E,4,0)</f>
        <v>Салат</v>
      </c>
      <c r="F1472">
        <f>VLOOKUP(C1472,Меню!A:E,5,0)</f>
        <v>250</v>
      </c>
    </row>
    <row r="1473" spans="1:6" ht="15.75" hidden="1" customHeight="1" x14ac:dyDescent="0.35">
      <c r="A1473" s="1">
        <v>1472</v>
      </c>
      <c r="B1473" s="1">
        <v>288</v>
      </c>
      <c r="C1473" s="1">
        <v>10</v>
      </c>
      <c r="D1473" t="str">
        <f>VLOOKUP(B1473,Заказы!A:C,3,0)</f>
        <v>2023-05-17 20:34:00</v>
      </c>
      <c r="E1473" t="str">
        <f>VLOOKUP(C1473,Меню!A:E,4,0)</f>
        <v>Завтрак</v>
      </c>
      <c r="F1473">
        <f>VLOOKUP(C1473,Меню!A:E,5,0)</f>
        <v>200</v>
      </c>
    </row>
    <row r="1474" spans="1:6" ht="15.75" hidden="1" customHeight="1" x14ac:dyDescent="0.35">
      <c r="A1474" s="1">
        <v>1473</v>
      </c>
      <c r="B1474" s="1">
        <v>288</v>
      </c>
      <c r="C1474" s="1">
        <v>41</v>
      </c>
      <c r="D1474" t="str">
        <f>VLOOKUP(B1474,Заказы!A:C,3,0)</f>
        <v>2023-05-17 20:34:00</v>
      </c>
      <c r="E1474" t="str">
        <f>VLOOKUP(C1474,Меню!A:E,4,0)</f>
        <v>Суши</v>
      </c>
      <c r="F1474">
        <f>VLOOKUP(C1474,Меню!A:E,5,0)</f>
        <v>220</v>
      </c>
    </row>
    <row r="1475" spans="1:6" ht="15.75" hidden="1" customHeight="1" x14ac:dyDescent="0.35">
      <c r="A1475" s="1">
        <v>1474</v>
      </c>
      <c r="B1475" s="1">
        <v>289</v>
      </c>
      <c r="C1475" s="1">
        <v>18</v>
      </c>
      <c r="D1475" t="str">
        <f>VLOOKUP(B1475,Заказы!A:C,3,0)</f>
        <v>2023-05-18 18:25:00</v>
      </c>
      <c r="E1475" t="str">
        <f>VLOOKUP(C1475,Меню!A:E,4,0)</f>
        <v>Первое</v>
      </c>
      <c r="F1475">
        <f>VLOOKUP(C1475,Меню!A:E,5,0)</f>
        <v>300</v>
      </c>
    </row>
    <row r="1476" spans="1:6" ht="15.75" hidden="1" customHeight="1" x14ac:dyDescent="0.35">
      <c r="A1476" s="1">
        <v>1475</v>
      </c>
      <c r="B1476" s="1">
        <v>289</v>
      </c>
      <c r="C1476" s="1">
        <v>44</v>
      </c>
      <c r="D1476" t="str">
        <f>VLOOKUP(B1476,Заказы!A:C,3,0)</f>
        <v>2023-05-18 18:25:00</v>
      </c>
      <c r="E1476" t="str">
        <f>VLOOKUP(C1476,Меню!A:E,4,0)</f>
        <v>Суши</v>
      </c>
      <c r="F1476">
        <f>VLOOKUP(C1476,Меню!A:E,5,0)</f>
        <v>250</v>
      </c>
    </row>
    <row r="1477" spans="1:6" ht="15.75" hidden="1" customHeight="1" x14ac:dyDescent="0.35">
      <c r="A1477" s="1">
        <v>1476</v>
      </c>
      <c r="B1477" s="1">
        <v>289</v>
      </c>
      <c r="C1477" s="1">
        <v>46</v>
      </c>
      <c r="D1477" t="str">
        <f>VLOOKUP(B1477,Заказы!A:C,3,0)</f>
        <v>2023-05-18 18:25:00</v>
      </c>
      <c r="E1477" t="str">
        <f>VLOOKUP(C1477,Меню!A:E,4,0)</f>
        <v>Суши</v>
      </c>
      <c r="F1477">
        <f>VLOOKUP(C1477,Меню!A:E,5,0)</f>
        <v>200</v>
      </c>
    </row>
    <row r="1478" spans="1:6" ht="15.75" hidden="1" customHeight="1" x14ac:dyDescent="0.35">
      <c r="A1478" s="1">
        <v>1477</v>
      </c>
      <c r="B1478" s="1">
        <v>289</v>
      </c>
      <c r="C1478" s="1">
        <v>48</v>
      </c>
      <c r="D1478" t="str">
        <f>VLOOKUP(B1478,Заказы!A:C,3,0)</f>
        <v>2023-05-18 18:25:00</v>
      </c>
      <c r="E1478" t="str">
        <f>VLOOKUP(C1478,Меню!A:E,4,0)</f>
        <v>Суши</v>
      </c>
      <c r="F1478">
        <f>VLOOKUP(C1478,Меню!A:E,5,0)</f>
        <v>200</v>
      </c>
    </row>
    <row r="1479" spans="1:6" ht="15.75" hidden="1" customHeight="1" x14ac:dyDescent="0.35">
      <c r="A1479" s="1">
        <v>1478</v>
      </c>
      <c r="B1479" s="1">
        <v>290</v>
      </c>
      <c r="C1479" s="1">
        <v>27</v>
      </c>
      <c r="D1479" t="str">
        <f>VLOOKUP(B1479,Заказы!A:C,3,0)</f>
        <v>2023-05-18 20:01:00</v>
      </c>
      <c r="E1479" t="str">
        <f>VLOOKUP(C1479,Меню!A:E,4,0)</f>
        <v>Салат</v>
      </c>
      <c r="F1479">
        <f>VLOOKUP(C1479,Меню!A:E,5,0)</f>
        <v>250</v>
      </c>
    </row>
    <row r="1480" spans="1:6" ht="15.75" hidden="1" customHeight="1" x14ac:dyDescent="0.35">
      <c r="A1480" s="1">
        <v>1479</v>
      </c>
      <c r="B1480" s="1">
        <v>290</v>
      </c>
      <c r="C1480" s="1">
        <v>50</v>
      </c>
      <c r="D1480" t="str">
        <f>VLOOKUP(B1480,Заказы!A:C,3,0)</f>
        <v>2023-05-18 20:01:00</v>
      </c>
      <c r="E1480" t="str">
        <f>VLOOKUP(C1480,Меню!A:E,4,0)</f>
        <v>Суши</v>
      </c>
      <c r="F1480">
        <f>VLOOKUP(C1480,Меню!A:E,5,0)</f>
        <v>200</v>
      </c>
    </row>
    <row r="1481" spans="1:6" ht="15.75" hidden="1" customHeight="1" x14ac:dyDescent="0.35">
      <c r="A1481" s="1">
        <v>1480</v>
      </c>
      <c r="B1481" s="1">
        <v>290</v>
      </c>
      <c r="C1481" s="1">
        <v>19</v>
      </c>
      <c r="D1481" t="str">
        <f>VLOOKUP(B1481,Заказы!A:C,3,0)</f>
        <v>2023-05-18 20:01:00</v>
      </c>
      <c r="E1481" t="str">
        <f>VLOOKUP(C1481,Меню!A:E,4,0)</f>
        <v>Первое</v>
      </c>
      <c r="F1481">
        <f>VLOOKUP(C1481,Меню!A:E,5,0)</f>
        <v>300</v>
      </c>
    </row>
    <row r="1482" spans="1:6" ht="15.75" hidden="1" customHeight="1" x14ac:dyDescent="0.35">
      <c r="A1482" s="1">
        <v>1481</v>
      </c>
      <c r="B1482" s="1">
        <v>290</v>
      </c>
      <c r="C1482" s="1">
        <v>37</v>
      </c>
      <c r="D1482" t="str">
        <f>VLOOKUP(B1482,Заказы!A:C,3,0)</f>
        <v>2023-05-18 20:01:00</v>
      </c>
      <c r="E1482" t="str">
        <f>VLOOKUP(C1482,Меню!A:E,4,0)</f>
        <v>Десерт</v>
      </c>
      <c r="F1482">
        <f>VLOOKUP(C1482,Меню!A:E,5,0)</f>
        <v>100</v>
      </c>
    </row>
    <row r="1483" spans="1:6" ht="15.75" hidden="1" customHeight="1" x14ac:dyDescent="0.35">
      <c r="A1483" s="1">
        <v>1482</v>
      </c>
      <c r="B1483" s="1">
        <v>290</v>
      </c>
      <c r="C1483" s="1">
        <v>12</v>
      </c>
      <c r="D1483" t="str">
        <f>VLOOKUP(B1483,Заказы!A:C,3,0)</f>
        <v>2023-05-18 20:01:00</v>
      </c>
      <c r="E1483" t="str">
        <f>VLOOKUP(C1483,Меню!A:E,4,0)</f>
        <v>Первое</v>
      </c>
      <c r="F1483">
        <f>VLOOKUP(C1483,Меню!A:E,5,0)</f>
        <v>300</v>
      </c>
    </row>
    <row r="1484" spans="1:6" ht="15.75" hidden="1" customHeight="1" x14ac:dyDescent="0.35">
      <c r="A1484" s="1">
        <v>1483</v>
      </c>
      <c r="B1484" s="1">
        <v>290</v>
      </c>
      <c r="C1484" s="1">
        <v>33</v>
      </c>
      <c r="D1484" t="str">
        <f>VLOOKUP(B1484,Заказы!A:C,3,0)</f>
        <v>2023-05-18 20:01:00</v>
      </c>
      <c r="E1484" t="str">
        <f>VLOOKUP(C1484,Меню!A:E,4,0)</f>
        <v>Десерт</v>
      </c>
      <c r="F1484">
        <f>VLOOKUP(C1484,Меню!A:E,5,0)</f>
        <v>150</v>
      </c>
    </row>
    <row r="1485" spans="1:6" ht="15.75" hidden="1" customHeight="1" x14ac:dyDescent="0.35">
      <c r="A1485" s="1">
        <v>1484</v>
      </c>
      <c r="B1485" s="1">
        <v>290</v>
      </c>
      <c r="C1485" s="1">
        <v>40</v>
      </c>
      <c r="D1485" t="str">
        <f>VLOOKUP(B1485,Заказы!A:C,3,0)</f>
        <v>2023-05-18 20:01:00</v>
      </c>
      <c r="E1485" t="str">
        <f>VLOOKUP(C1485,Меню!A:E,4,0)</f>
        <v>Десерт</v>
      </c>
      <c r="F1485">
        <f>VLOOKUP(C1485,Меню!A:E,5,0)</f>
        <v>150</v>
      </c>
    </row>
    <row r="1486" spans="1:6" ht="15.75" hidden="1" customHeight="1" x14ac:dyDescent="0.35">
      <c r="A1486" s="1">
        <v>1485</v>
      </c>
      <c r="B1486" s="1">
        <v>290</v>
      </c>
      <c r="C1486" s="1">
        <v>16</v>
      </c>
      <c r="D1486" t="str">
        <f>VLOOKUP(B1486,Заказы!A:C,3,0)</f>
        <v>2023-05-18 20:01:00</v>
      </c>
      <c r="E1486" t="str">
        <f>VLOOKUP(C1486,Меню!A:E,4,0)</f>
        <v>Первое</v>
      </c>
      <c r="F1486">
        <f>VLOOKUP(C1486,Меню!A:E,5,0)</f>
        <v>250</v>
      </c>
    </row>
    <row r="1487" spans="1:6" ht="15.75" hidden="1" customHeight="1" x14ac:dyDescent="0.35">
      <c r="A1487" s="1">
        <v>1486</v>
      </c>
      <c r="B1487" s="1">
        <v>290</v>
      </c>
      <c r="C1487" s="1">
        <v>20</v>
      </c>
      <c r="D1487" t="str">
        <f>VLOOKUP(B1487,Заказы!A:C,3,0)</f>
        <v>2023-05-18 20:01:00</v>
      </c>
      <c r="E1487" t="str">
        <f>VLOOKUP(C1487,Меню!A:E,4,0)</f>
        <v>Первое</v>
      </c>
      <c r="F1487">
        <f>VLOOKUP(C1487,Меню!A:E,5,0)</f>
        <v>250</v>
      </c>
    </row>
    <row r="1488" spans="1:6" ht="15.75" hidden="1" customHeight="1" x14ac:dyDescent="0.35">
      <c r="A1488" s="1">
        <v>1487</v>
      </c>
      <c r="B1488" s="1">
        <v>290</v>
      </c>
      <c r="C1488" s="1">
        <v>29</v>
      </c>
      <c r="D1488" t="str">
        <f>VLOOKUP(B1488,Заказы!A:C,3,0)</f>
        <v>2023-05-18 20:01:00</v>
      </c>
      <c r="E1488" t="str">
        <f>VLOOKUP(C1488,Меню!A:E,4,0)</f>
        <v>Салат</v>
      </c>
      <c r="F1488">
        <f>VLOOKUP(C1488,Меню!A:E,5,0)</f>
        <v>250</v>
      </c>
    </row>
    <row r="1489" spans="1:6" ht="15.75" hidden="1" customHeight="1" x14ac:dyDescent="0.35">
      <c r="A1489" s="1">
        <v>1488</v>
      </c>
      <c r="B1489" s="1">
        <v>291</v>
      </c>
      <c r="C1489" s="1">
        <v>13</v>
      </c>
      <c r="D1489" t="str">
        <f>VLOOKUP(B1489,Заказы!A:C,3,0)</f>
        <v>2023-05-18 20:32:00</v>
      </c>
      <c r="E1489" t="str">
        <f>VLOOKUP(C1489,Меню!A:E,4,0)</f>
        <v>Первое</v>
      </c>
      <c r="F1489">
        <f>VLOOKUP(C1489,Меню!A:E,5,0)</f>
        <v>280</v>
      </c>
    </row>
    <row r="1490" spans="1:6" ht="15.75" hidden="1" customHeight="1" x14ac:dyDescent="0.35">
      <c r="A1490" s="1">
        <v>1489</v>
      </c>
      <c r="B1490" s="1">
        <v>291</v>
      </c>
      <c r="C1490" s="1">
        <v>24</v>
      </c>
      <c r="D1490" t="str">
        <f>VLOOKUP(B1490,Заказы!A:C,3,0)</f>
        <v>2023-05-18 20:32:00</v>
      </c>
      <c r="E1490" t="str">
        <f>VLOOKUP(C1490,Меню!A:E,4,0)</f>
        <v>Салат</v>
      </c>
      <c r="F1490">
        <f>VLOOKUP(C1490,Меню!A:E,5,0)</f>
        <v>250</v>
      </c>
    </row>
    <row r="1491" spans="1:6" ht="15.75" hidden="1" customHeight="1" x14ac:dyDescent="0.35">
      <c r="A1491" s="1">
        <v>1490</v>
      </c>
      <c r="B1491" s="1">
        <v>291</v>
      </c>
      <c r="C1491" s="1">
        <v>55</v>
      </c>
      <c r="D1491" t="str">
        <f>VLOOKUP(B1491,Заказы!A:C,3,0)</f>
        <v>2023-05-18 20:32:00</v>
      </c>
      <c r="E1491" t="str">
        <f>VLOOKUP(C1491,Меню!A:E,4,0)</f>
        <v>Суши</v>
      </c>
      <c r="F1491">
        <f>VLOOKUP(C1491,Меню!A:E,5,0)</f>
        <v>100</v>
      </c>
    </row>
    <row r="1492" spans="1:6" ht="15.75" hidden="1" customHeight="1" x14ac:dyDescent="0.35">
      <c r="A1492" s="1">
        <v>1491</v>
      </c>
      <c r="B1492" s="1">
        <v>291</v>
      </c>
      <c r="C1492" s="1">
        <v>19</v>
      </c>
      <c r="D1492" t="str">
        <f>VLOOKUP(B1492,Заказы!A:C,3,0)</f>
        <v>2023-05-18 20:32:00</v>
      </c>
      <c r="E1492" t="str">
        <f>VLOOKUP(C1492,Меню!A:E,4,0)</f>
        <v>Первое</v>
      </c>
      <c r="F1492">
        <f>VLOOKUP(C1492,Меню!A:E,5,0)</f>
        <v>300</v>
      </c>
    </row>
    <row r="1493" spans="1:6" ht="15.75" hidden="1" customHeight="1" x14ac:dyDescent="0.35">
      <c r="A1493" s="1">
        <v>1492</v>
      </c>
      <c r="B1493" s="1">
        <v>291</v>
      </c>
      <c r="C1493" s="1">
        <v>51</v>
      </c>
      <c r="D1493" t="str">
        <f>VLOOKUP(B1493,Заказы!A:C,3,0)</f>
        <v>2023-05-18 20:32:00</v>
      </c>
      <c r="E1493" t="str">
        <f>VLOOKUP(C1493,Меню!A:E,4,0)</f>
        <v>Суши</v>
      </c>
      <c r="F1493">
        <f>VLOOKUP(C1493,Меню!A:E,5,0)</f>
        <v>100</v>
      </c>
    </row>
    <row r="1494" spans="1:6" ht="15.75" hidden="1" customHeight="1" x14ac:dyDescent="0.35">
      <c r="A1494" s="1">
        <v>1493</v>
      </c>
      <c r="B1494" s="1">
        <v>291</v>
      </c>
      <c r="C1494" s="1">
        <v>28</v>
      </c>
      <c r="D1494" t="str">
        <f>VLOOKUP(B1494,Заказы!A:C,3,0)</f>
        <v>2023-05-18 20:32:00</v>
      </c>
      <c r="E1494" t="str">
        <f>VLOOKUP(C1494,Меню!A:E,4,0)</f>
        <v>Салат</v>
      </c>
      <c r="F1494">
        <f>VLOOKUP(C1494,Меню!A:E,5,0)</f>
        <v>250</v>
      </c>
    </row>
    <row r="1495" spans="1:6" ht="15.75" hidden="1" customHeight="1" x14ac:dyDescent="0.35">
      <c r="A1495" s="1">
        <v>1494</v>
      </c>
      <c r="B1495" s="1">
        <v>292</v>
      </c>
      <c r="C1495" s="1">
        <v>9</v>
      </c>
      <c r="D1495" t="str">
        <f>VLOOKUP(B1495,Заказы!A:C,3,0)</f>
        <v>2023-05-19 18:45:00</v>
      </c>
      <c r="E1495" t="str">
        <f>VLOOKUP(C1495,Меню!A:E,4,0)</f>
        <v>Завтрак</v>
      </c>
      <c r="F1495">
        <f>VLOOKUP(C1495,Меню!A:E,5,0)</f>
        <v>220</v>
      </c>
    </row>
    <row r="1496" spans="1:6" ht="15.75" hidden="1" customHeight="1" x14ac:dyDescent="0.35">
      <c r="A1496" s="1">
        <v>1495</v>
      </c>
      <c r="B1496" s="1">
        <v>292</v>
      </c>
      <c r="C1496" s="1">
        <v>24</v>
      </c>
      <c r="D1496" t="str">
        <f>VLOOKUP(B1496,Заказы!A:C,3,0)</f>
        <v>2023-05-19 18:45:00</v>
      </c>
      <c r="E1496" t="str">
        <f>VLOOKUP(C1496,Меню!A:E,4,0)</f>
        <v>Салат</v>
      </c>
      <c r="F1496">
        <f>VLOOKUP(C1496,Меню!A:E,5,0)</f>
        <v>250</v>
      </c>
    </row>
    <row r="1497" spans="1:6" ht="15.75" hidden="1" customHeight="1" x14ac:dyDescent="0.35">
      <c r="A1497" s="1">
        <v>1496</v>
      </c>
      <c r="B1497" s="1">
        <v>292</v>
      </c>
      <c r="C1497" s="1">
        <v>26</v>
      </c>
      <c r="D1497" t="str">
        <f>VLOOKUP(B1497,Заказы!A:C,3,0)</f>
        <v>2023-05-19 18:45:00</v>
      </c>
      <c r="E1497" t="str">
        <f>VLOOKUP(C1497,Меню!A:E,4,0)</f>
        <v>Салат</v>
      </c>
      <c r="F1497">
        <f>VLOOKUP(C1497,Меню!A:E,5,0)</f>
        <v>250</v>
      </c>
    </row>
    <row r="1498" spans="1:6" ht="15.75" hidden="1" customHeight="1" x14ac:dyDescent="0.35">
      <c r="A1498" s="1">
        <v>1497</v>
      </c>
      <c r="B1498" s="1">
        <v>292</v>
      </c>
      <c r="C1498" s="1">
        <v>40</v>
      </c>
      <c r="D1498" t="str">
        <f>VLOOKUP(B1498,Заказы!A:C,3,0)</f>
        <v>2023-05-19 18:45:00</v>
      </c>
      <c r="E1498" t="str">
        <f>VLOOKUP(C1498,Меню!A:E,4,0)</f>
        <v>Десерт</v>
      </c>
      <c r="F1498">
        <f>VLOOKUP(C1498,Меню!A:E,5,0)</f>
        <v>150</v>
      </c>
    </row>
    <row r="1499" spans="1:6" ht="15.75" hidden="1" customHeight="1" x14ac:dyDescent="0.35">
      <c r="A1499" s="1">
        <v>1498</v>
      </c>
      <c r="B1499" s="1">
        <v>293</v>
      </c>
      <c r="C1499" s="1">
        <v>7</v>
      </c>
      <c r="D1499" t="str">
        <f>VLOOKUP(B1499,Заказы!A:C,3,0)</f>
        <v>2023-05-19 18:47:00</v>
      </c>
      <c r="E1499" t="str">
        <f>VLOOKUP(C1499,Меню!A:E,4,0)</f>
        <v>Завтрак</v>
      </c>
      <c r="F1499">
        <f>VLOOKUP(C1499,Меню!A:E,5,0)</f>
        <v>200</v>
      </c>
    </row>
    <row r="1500" spans="1:6" ht="15.75" hidden="1" customHeight="1" x14ac:dyDescent="0.35">
      <c r="A1500" s="1">
        <v>1499</v>
      </c>
      <c r="B1500" s="1">
        <v>293</v>
      </c>
      <c r="C1500" s="1">
        <v>59</v>
      </c>
      <c r="D1500" t="str">
        <f>VLOOKUP(B1500,Заказы!A:C,3,0)</f>
        <v>2023-05-19 18:47:00</v>
      </c>
      <c r="E1500" t="str">
        <f>VLOOKUP(C1500,Меню!A:E,4,0)</f>
        <v>Суши</v>
      </c>
      <c r="F1500">
        <f>VLOOKUP(C1500,Меню!A:E,5,0)</f>
        <v>300</v>
      </c>
    </row>
    <row r="1501" spans="1:6" ht="15.75" hidden="1" customHeight="1" x14ac:dyDescent="0.35">
      <c r="A1501" s="1">
        <v>1500</v>
      </c>
      <c r="B1501" s="1">
        <v>293</v>
      </c>
      <c r="C1501" s="1">
        <v>38</v>
      </c>
      <c r="D1501" t="str">
        <f>VLOOKUP(B1501,Заказы!A:C,3,0)</f>
        <v>2023-05-19 18:47:00</v>
      </c>
      <c r="E1501" t="str">
        <f>VLOOKUP(C1501,Меню!A:E,4,0)</f>
        <v>Десерт</v>
      </c>
      <c r="F1501">
        <f>VLOOKUP(C1501,Меню!A:E,5,0)</f>
        <v>150</v>
      </c>
    </row>
    <row r="1502" spans="1:6" ht="15.75" hidden="1" customHeight="1" x14ac:dyDescent="0.35">
      <c r="A1502" s="1">
        <v>1501</v>
      </c>
      <c r="B1502" s="1">
        <v>294</v>
      </c>
      <c r="C1502" s="1">
        <v>60</v>
      </c>
      <c r="D1502" t="str">
        <f>VLOOKUP(B1502,Заказы!A:C,3,0)</f>
        <v>2023-05-19 19:23:00</v>
      </c>
      <c r="E1502" t="str">
        <f>VLOOKUP(C1502,Меню!A:E,4,0)</f>
        <v>Суши</v>
      </c>
      <c r="F1502">
        <f>VLOOKUP(C1502,Меню!A:E,5,0)</f>
        <v>250</v>
      </c>
    </row>
    <row r="1503" spans="1:6" ht="15.75" hidden="1" customHeight="1" x14ac:dyDescent="0.35">
      <c r="A1503" s="1">
        <v>1502</v>
      </c>
      <c r="B1503" s="1">
        <v>294</v>
      </c>
      <c r="C1503" s="1">
        <v>44</v>
      </c>
      <c r="D1503" t="str">
        <f>VLOOKUP(B1503,Заказы!A:C,3,0)</f>
        <v>2023-05-19 19:23:00</v>
      </c>
      <c r="E1503" t="str">
        <f>VLOOKUP(C1503,Меню!A:E,4,0)</f>
        <v>Суши</v>
      </c>
      <c r="F1503">
        <f>VLOOKUP(C1503,Меню!A:E,5,0)</f>
        <v>250</v>
      </c>
    </row>
    <row r="1504" spans="1:6" ht="15.75" hidden="1" customHeight="1" x14ac:dyDescent="0.35">
      <c r="A1504" s="1">
        <v>1503</v>
      </c>
      <c r="B1504" s="1">
        <v>294</v>
      </c>
      <c r="C1504" s="1">
        <v>19</v>
      </c>
      <c r="D1504" t="str">
        <f>VLOOKUP(B1504,Заказы!A:C,3,0)</f>
        <v>2023-05-19 19:23:00</v>
      </c>
      <c r="E1504" t="str">
        <f>VLOOKUP(C1504,Меню!A:E,4,0)</f>
        <v>Первое</v>
      </c>
      <c r="F1504">
        <f>VLOOKUP(C1504,Меню!A:E,5,0)</f>
        <v>300</v>
      </c>
    </row>
    <row r="1505" spans="1:6" ht="15.75" hidden="1" customHeight="1" x14ac:dyDescent="0.35">
      <c r="A1505" s="1">
        <v>1504</v>
      </c>
      <c r="B1505" s="1">
        <v>294</v>
      </c>
      <c r="C1505" s="1">
        <v>16</v>
      </c>
      <c r="D1505" t="str">
        <f>VLOOKUP(B1505,Заказы!A:C,3,0)</f>
        <v>2023-05-19 19:23:00</v>
      </c>
      <c r="E1505" t="str">
        <f>VLOOKUP(C1505,Меню!A:E,4,0)</f>
        <v>Первое</v>
      </c>
      <c r="F1505">
        <f>VLOOKUP(C1505,Меню!A:E,5,0)</f>
        <v>250</v>
      </c>
    </row>
    <row r="1506" spans="1:6" ht="15.75" hidden="1" customHeight="1" x14ac:dyDescent="0.35">
      <c r="A1506" s="1">
        <v>1505</v>
      </c>
      <c r="B1506" s="1">
        <v>294</v>
      </c>
      <c r="C1506" s="1">
        <v>29</v>
      </c>
      <c r="D1506" t="str">
        <f>VLOOKUP(B1506,Заказы!A:C,3,0)</f>
        <v>2023-05-19 19:23:00</v>
      </c>
      <c r="E1506" t="str">
        <f>VLOOKUP(C1506,Меню!A:E,4,0)</f>
        <v>Салат</v>
      </c>
      <c r="F1506">
        <f>VLOOKUP(C1506,Меню!A:E,5,0)</f>
        <v>250</v>
      </c>
    </row>
    <row r="1507" spans="1:6" ht="15.75" hidden="1" customHeight="1" x14ac:dyDescent="0.35">
      <c r="A1507" s="1">
        <v>1506</v>
      </c>
      <c r="B1507" s="1">
        <v>295</v>
      </c>
      <c r="C1507" s="1">
        <v>51</v>
      </c>
      <c r="D1507" t="str">
        <f>VLOOKUP(B1507,Заказы!A:C,3,0)</f>
        <v>2023-05-19 22:19:00</v>
      </c>
      <c r="E1507" t="str">
        <f>VLOOKUP(C1507,Меню!A:E,4,0)</f>
        <v>Суши</v>
      </c>
      <c r="F1507">
        <f>VLOOKUP(C1507,Меню!A:E,5,0)</f>
        <v>100</v>
      </c>
    </row>
    <row r="1508" spans="1:6" ht="15.75" hidden="1" customHeight="1" x14ac:dyDescent="0.35">
      <c r="A1508" s="1">
        <v>1507</v>
      </c>
      <c r="B1508" s="1">
        <v>296</v>
      </c>
      <c r="C1508" s="1">
        <v>7</v>
      </c>
      <c r="D1508" t="str">
        <f>VLOOKUP(B1508,Заказы!A:C,3,0)</f>
        <v>2023-05-19 22:46:00</v>
      </c>
      <c r="E1508" t="str">
        <f>VLOOKUP(C1508,Меню!A:E,4,0)</f>
        <v>Завтрак</v>
      </c>
      <c r="F1508">
        <f>VLOOKUP(C1508,Меню!A:E,5,0)</f>
        <v>200</v>
      </c>
    </row>
    <row r="1509" spans="1:6" ht="15.75" hidden="1" customHeight="1" x14ac:dyDescent="0.35">
      <c r="A1509" s="1">
        <v>1508</v>
      </c>
      <c r="B1509" s="1">
        <v>296</v>
      </c>
      <c r="C1509" s="1">
        <v>28</v>
      </c>
      <c r="D1509" t="str">
        <f>VLOOKUP(B1509,Заказы!A:C,3,0)</f>
        <v>2023-05-19 22:46:00</v>
      </c>
      <c r="E1509" t="str">
        <f>VLOOKUP(C1509,Меню!A:E,4,0)</f>
        <v>Салат</v>
      </c>
      <c r="F1509">
        <f>VLOOKUP(C1509,Меню!A:E,5,0)</f>
        <v>250</v>
      </c>
    </row>
    <row r="1510" spans="1:6" ht="15.75" hidden="1" customHeight="1" x14ac:dyDescent="0.35">
      <c r="A1510" s="1">
        <v>1509</v>
      </c>
      <c r="B1510" s="1">
        <v>296</v>
      </c>
      <c r="C1510" s="1">
        <v>3</v>
      </c>
      <c r="D1510" t="str">
        <f>VLOOKUP(B1510,Заказы!A:C,3,0)</f>
        <v>2023-05-19 22:46:00</v>
      </c>
      <c r="E1510" t="str">
        <f>VLOOKUP(C1510,Меню!A:E,4,0)</f>
        <v>Завтрак</v>
      </c>
      <c r="F1510">
        <f>VLOOKUP(C1510,Меню!A:E,5,0)</f>
        <v>150</v>
      </c>
    </row>
    <row r="1511" spans="1:6" ht="15.75" hidden="1" customHeight="1" x14ac:dyDescent="0.35">
      <c r="A1511" s="1">
        <v>1510</v>
      </c>
      <c r="B1511" s="1">
        <v>296</v>
      </c>
      <c r="C1511" s="1">
        <v>17</v>
      </c>
      <c r="D1511" t="str">
        <f>VLOOKUP(B1511,Заказы!A:C,3,0)</f>
        <v>2023-05-19 22:46:00</v>
      </c>
      <c r="E1511" t="str">
        <f>VLOOKUP(C1511,Меню!A:E,4,0)</f>
        <v>Первое</v>
      </c>
      <c r="F1511">
        <f>VLOOKUP(C1511,Меню!A:E,5,0)</f>
        <v>250</v>
      </c>
    </row>
    <row r="1512" spans="1:6" ht="15.75" hidden="1" customHeight="1" x14ac:dyDescent="0.35">
      <c r="A1512" s="1">
        <v>1511</v>
      </c>
      <c r="B1512" s="1">
        <v>297</v>
      </c>
      <c r="C1512" s="1">
        <v>22</v>
      </c>
      <c r="D1512" t="str">
        <f>VLOOKUP(B1512,Заказы!A:C,3,0)</f>
        <v>2023-05-20 21:13:00</v>
      </c>
      <c r="E1512" t="str">
        <f>VLOOKUP(C1512,Меню!A:E,4,0)</f>
        <v>Салат</v>
      </c>
      <c r="F1512">
        <f>VLOOKUP(C1512,Меню!A:E,5,0)</f>
        <v>250</v>
      </c>
    </row>
    <row r="1513" spans="1:6" ht="15.75" hidden="1" customHeight="1" x14ac:dyDescent="0.35">
      <c r="A1513" s="1">
        <v>1512</v>
      </c>
      <c r="B1513" s="1">
        <v>297</v>
      </c>
      <c r="C1513" s="1">
        <v>10</v>
      </c>
      <c r="D1513" t="str">
        <f>VLOOKUP(B1513,Заказы!A:C,3,0)</f>
        <v>2023-05-20 21:13:00</v>
      </c>
      <c r="E1513" t="str">
        <f>VLOOKUP(C1513,Меню!A:E,4,0)</f>
        <v>Завтрак</v>
      </c>
      <c r="F1513">
        <f>VLOOKUP(C1513,Меню!A:E,5,0)</f>
        <v>200</v>
      </c>
    </row>
    <row r="1514" spans="1:6" ht="15.75" hidden="1" customHeight="1" x14ac:dyDescent="0.35">
      <c r="A1514" s="1">
        <v>1513</v>
      </c>
      <c r="B1514" s="1">
        <v>297</v>
      </c>
      <c r="C1514" s="1">
        <v>14</v>
      </c>
      <c r="D1514" t="str">
        <f>VLOOKUP(B1514,Заказы!A:C,3,0)</f>
        <v>2023-05-20 21:13:00</v>
      </c>
      <c r="E1514" t="str">
        <f>VLOOKUP(C1514,Меню!A:E,4,0)</f>
        <v>Первое</v>
      </c>
      <c r="F1514">
        <f>VLOOKUP(C1514,Меню!A:E,5,0)</f>
        <v>350</v>
      </c>
    </row>
    <row r="1515" spans="1:6" ht="15.75" hidden="1" customHeight="1" x14ac:dyDescent="0.35">
      <c r="A1515" s="1">
        <v>1514</v>
      </c>
      <c r="B1515" s="1">
        <v>297</v>
      </c>
      <c r="C1515" s="1">
        <v>13</v>
      </c>
      <c r="D1515" t="str">
        <f>VLOOKUP(B1515,Заказы!A:C,3,0)</f>
        <v>2023-05-20 21:13:00</v>
      </c>
      <c r="E1515" t="str">
        <f>VLOOKUP(C1515,Меню!A:E,4,0)</f>
        <v>Первое</v>
      </c>
      <c r="F1515">
        <f>VLOOKUP(C1515,Меню!A:E,5,0)</f>
        <v>280</v>
      </c>
    </row>
    <row r="1516" spans="1:6" ht="15.75" hidden="1" customHeight="1" x14ac:dyDescent="0.35">
      <c r="A1516" s="1">
        <v>1515</v>
      </c>
      <c r="B1516" s="1">
        <v>297</v>
      </c>
      <c r="C1516" s="1">
        <v>11</v>
      </c>
      <c r="D1516" t="str">
        <f>VLOOKUP(B1516,Заказы!A:C,3,0)</f>
        <v>2023-05-20 21:13:00</v>
      </c>
      <c r="E1516" t="str">
        <f>VLOOKUP(C1516,Меню!A:E,4,0)</f>
        <v>Первое</v>
      </c>
      <c r="F1516">
        <f>VLOOKUP(C1516,Меню!A:E,5,0)</f>
        <v>300</v>
      </c>
    </row>
    <row r="1517" spans="1:6" ht="15.75" hidden="1" customHeight="1" x14ac:dyDescent="0.35">
      <c r="A1517" s="1">
        <v>1516</v>
      </c>
      <c r="B1517" s="1">
        <v>297</v>
      </c>
      <c r="C1517" s="1">
        <v>36</v>
      </c>
      <c r="D1517" t="str">
        <f>VLOOKUP(B1517,Заказы!A:C,3,0)</f>
        <v>2023-05-20 21:13:00</v>
      </c>
      <c r="E1517" t="str">
        <f>VLOOKUP(C1517,Меню!A:E,4,0)</f>
        <v>Десерт</v>
      </c>
      <c r="F1517">
        <f>VLOOKUP(C1517,Меню!A:E,5,0)</f>
        <v>150</v>
      </c>
    </row>
    <row r="1518" spans="1:6" ht="15.75" hidden="1" customHeight="1" x14ac:dyDescent="0.35">
      <c r="A1518" s="1">
        <v>1517</v>
      </c>
      <c r="B1518" s="1">
        <v>297</v>
      </c>
      <c r="C1518" s="1">
        <v>59</v>
      </c>
      <c r="D1518" t="str">
        <f>VLOOKUP(B1518,Заказы!A:C,3,0)</f>
        <v>2023-05-20 21:13:00</v>
      </c>
      <c r="E1518" t="str">
        <f>VLOOKUP(C1518,Меню!A:E,4,0)</f>
        <v>Суши</v>
      </c>
      <c r="F1518">
        <f>VLOOKUP(C1518,Меню!A:E,5,0)</f>
        <v>300</v>
      </c>
    </row>
    <row r="1519" spans="1:6" ht="15.75" hidden="1" customHeight="1" x14ac:dyDescent="0.35">
      <c r="A1519" s="1">
        <v>1518</v>
      </c>
      <c r="B1519" s="1">
        <v>298</v>
      </c>
      <c r="C1519" s="1">
        <v>31</v>
      </c>
      <c r="D1519" t="str">
        <f>VLOOKUP(B1519,Заказы!A:C,3,0)</f>
        <v>2023-05-21 19:12:00</v>
      </c>
      <c r="E1519" t="str">
        <f>VLOOKUP(C1519,Меню!A:E,4,0)</f>
        <v>Десерт</v>
      </c>
      <c r="F1519">
        <f>VLOOKUP(C1519,Меню!A:E,5,0)</f>
        <v>150</v>
      </c>
    </row>
    <row r="1520" spans="1:6" ht="15.75" hidden="1" customHeight="1" x14ac:dyDescent="0.35">
      <c r="A1520" s="1">
        <v>1519</v>
      </c>
      <c r="B1520" s="1">
        <v>298</v>
      </c>
      <c r="C1520" s="1">
        <v>8</v>
      </c>
      <c r="D1520" t="str">
        <f>VLOOKUP(B1520,Заказы!A:C,3,0)</f>
        <v>2023-05-21 19:12:00</v>
      </c>
      <c r="E1520" t="str">
        <f>VLOOKUP(C1520,Меню!A:E,4,0)</f>
        <v>Завтрак</v>
      </c>
      <c r="F1520">
        <f>VLOOKUP(C1520,Меню!A:E,5,0)</f>
        <v>180</v>
      </c>
    </row>
    <row r="1521" spans="1:6" ht="15.75" hidden="1" customHeight="1" x14ac:dyDescent="0.35">
      <c r="A1521" s="1">
        <v>1520</v>
      </c>
      <c r="B1521" s="1">
        <v>298</v>
      </c>
      <c r="C1521" s="1">
        <v>13</v>
      </c>
      <c r="D1521" t="str">
        <f>VLOOKUP(B1521,Заказы!A:C,3,0)</f>
        <v>2023-05-21 19:12:00</v>
      </c>
      <c r="E1521" t="str">
        <f>VLOOKUP(C1521,Меню!A:E,4,0)</f>
        <v>Первое</v>
      </c>
      <c r="F1521">
        <f>VLOOKUP(C1521,Меню!A:E,5,0)</f>
        <v>280</v>
      </c>
    </row>
    <row r="1522" spans="1:6" ht="15.75" hidden="1" customHeight="1" x14ac:dyDescent="0.35">
      <c r="A1522" s="1">
        <v>1521</v>
      </c>
      <c r="B1522" s="1">
        <v>299</v>
      </c>
      <c r="C1522" s="1">
        <v>27</v>
      </c>
      <c r="D1522" t="str">
        <f>VLOOKUP(B1522,Заказы!A:C,3,0)</f>
        <v>2023-05-21 21:47:00</v>
      </c>
      <c r="E1522" t="str">
        <f>VLOOKUP(C1522,Меню!A:E,4,0)</f>
        <v>Салат</v>
      </c>
      <c r="F1522">
        <f>VLOOKUP(C1522,Меню!A:E,5,0)</f>
        <v>250</v>
      </c>
    </row>
    <row r="1523" spans="1:6" ht="15.75" hidden="1" customHeight="1" x14ac:dyDescent="0.35">
      <c r="A1523" s="1">
        <v>1522</v>
      </c>
      <c r="B1523" s="1">
        <v>299</v>
      </c>
      <c r="C1523" s="1">
        <v>48</v>
      </c>
      <c r="D1523" t="str">
        <f>VLOOKUP(B1523,Заказы!A:C,3,0)</f>
        <v>2023-05-21 21:47:00</v>
      </c>
      <c r="E1523" t="str">
        <f>VLOOKUP(C1523,Меню!A:E,4,0)</f>
        <v>Суши</v>
      </c>
      <c r="F1523">
        <f>VLOOKUP(C1523,Меню!A:E,5,0)</f>
        <v>200</v>
      </c>
    </row>
    <row r="1524" spans="1:6" ht="15.75" hidden="1" customHeight="1" x14ac:dyDescent="0.35">
      <c r="A1524" s="1">
        <v>1523</v>
      </c>
      <c r="B1524" s="1">
        <v>299</v>
      </c>
      <c r="C1524" s="1">
        <v>55</v>
      </c>
      <c r="D1524" t="str">
        <f>VLOOKUP(B1524,Заказы!A:C,3,0)</f>
        <v>2023-05-21 21:47:00</v>
      </c>
      <c r="E1524" t="str">
        <f>VLOOKUP(C1524,Меню!A:E,4,0)</f>
        <v>Суши</v>
      </c>
      <c r="F1524">
        <f>VLOOKUP(C1524,Меню!A:E,5,0)</f>
        <v>100</v>
      </c>
    </row>
    <row r="1525" spans="1:6" ht="15.75" hidden="1" customHeight="1" x14ac:dyDescent="0.35">
      <c r="A1525" s="1">
        <v>1524</v>
      </c>
      <c r="B1525" s="1">
        <v>299</v>
      </c>
      <c r="C1525" s="1">
        <v>21</v>
      </c>
      <c r="D1525" t="str">
        <f>VLOOKUP(B1525,Заказы!A:C,3,0)</f>
        <v>2023-05-21 21:47:00</v>
      </c>
      <c r="E1525" t="str">
        <f>VLOOKUP(C1525,Меню!A:E,4,0)</f>
        <v>Салат</v>
      </c>
      <c r="F1525">
        <f>VLOOKUP(C1525,Меню!A:E,5,0)</f>
        <v>250</v>
      </c>
    </row>
    <row r="1526" spans="1:6" ht="15.75" hidden="1" customHeight="1" x14ac:dyDescent="0.35">
      <c r="A1526" s="1">
        <v>1525</v>
      </c>
      <c r="B1526" s="1">
        <v>299</v>
      </c>
      <c r="C1526" s="1">
        <v>4</v>
      </c>
      <c r="D1526" t="str">
        <f>VLOOKUP(B1526,Заказы!A:C,3,0)</f>
        <v>2023-05-21 21:47:00</v>
      </c>
      <c r="E1526" t="str">
        <f>VLOOKUP(C1526,Меню!A:E,4,0)</f>
        <v>Завтрак</v>
      </c>
      <c r="F1526">
        <f>VLOOKUP(C1526,Меню!A:E,5,0)</f>
        <v>180</v>
      </c>
    </row>
    <row r="1527" spans="1:6" ht="15.75" hidden="1" customHeight="1" x14ac:dyDescent="0.35">
      <c r="A1527" s="1">
        <v>1526</v>
      </c>
      <c r="B1527" s="1">
        <v>299</v>
      </c>
      <c r="C1527" s="1">
        <v>9</v>
      </c>
      <c r="D1527" t="str">
        <f>VLOOKUP(B1527,Заказы!A:C,3,0)</f>
        <v>2023-05-21 21:47:00</v>
      </c>
      <c r="E1527" t="str">
        <f>VLOOKUP(C1527,Меню!A:E,4,0)</f>
        <v>Завтрак</v>
      </c>
      <c r="F1527">
        <f>VLOOKUP(C1527,Меню!A:E,5,0)</f>
        <v>220</v>
      </c>
    </row>
    <row r="1528" spans="1:6" ht="15.75" hidden="1" customHeight="1" x14ac:dyDescent="0.35">
      <c r="A1528" s="1">
        <v>1527</v>
      </c>
      <c r="B1528" s="1">
        <v>300</v>
      </c>
      <c r="C1528" s="1">
        <v>38</v>
      </c>
      <c r="D1528" t="str">
        <f>VLOOKUP(B1528,Заказы!A:C,3,0)</f>
        <v>2023-05-21 22:11:00</v>
      </c>
      <c r="E1528" t="str">
        <f>VLOOKUP(C1528,Меню!A:E,4,0)</f>
        <v>Десерт</v>
      </c>
      <c r="F1528">
        <f>VLOOKUP(C1528,Меню!A:E,5,0)</f>
        <v>150</v>
      </c>
    </row>
    <row r="1529" spans="1:6" ht="15.75" hidden="1" customHeight="1" x14ac:dyDescent="0.35">
      <c r="A1529" s="1">
        <v>1528</v>
      </c>
      <c r="B1529" s="1">
        <v>300</v>
      </c>
      <c r="C1529" s="1">
        <v>37</v>
      </c>
      <c r="D1529" t="str">
        <f>VLOOKUP(B1529,Заказы!A:C,3,0)</f>
        <v>2023-05-21 22:11:00</v>
      </c>
      <c r="E1529" t="str">
        <f>VLOOKUP(C1529,Меню!A:E,4,0)</f>
        <v>Десерт</v>
      </c>
      <c r="F1529">
        <f>VLOOKUP(C1529,Меню!A:E,5,0)</f>
        <v>100</v>
      </c>
    </row>
    <row r="1530" spans="1:6" ht="15.75" hidden="1" customHeight="1" x14ac:dyDescent="0.35">
      <c r="A1530" s="1">
        <v>1529</v>
      </c>
      <c r="B1530" s="1">
        <v>301</v>
      </c>
      <c r="C1530" s="1">
        <v>39</v>
      </c>
      <c r="D1530" t="str">
        <f>VLOOKUP(B1530,Заказы!A:C,3,0)</f>
        <v>2023-05-22 19:30:00</v>
      </c>
      <c r="E1530" t="str">
        <f>VLOOKUP(C1530,Меню!A:E,4,0)</f>
        <v>Десерт</v>
      </c>
      <c r="F1530">
        <f>VLOOKUP(C1530,Меню!A:E,5,0)</f>
        <v>150</v>
      </c>
    </row>
    <row r="1531" spans="1:6" ht="15.75" hidden="1" customHeight="1" x14ac:dyDescent="0.35">
      <c r="A1531" s="1">
        <v>1530</v>
      </c>
      <c r="B1531" s="1">
        <v>301</v>
      </c>
      <c r="C1531" s="1">
        <v>55</v>
      </c>
      <c r="D1531" t="str">
        <f>VLOOKUP(B1531,Заказы!A:C,3,0)</f>
        <v>2023-05-22 19:30:00</v>
      </c>
      <c r="E1531" t="str">
        <f>VLOOKUP(C1531,Меню!A:E,4,0)</f>
        <v>Суши</v>
      </c>
      <c r="F1531">
        <f>VLOOKUP(C1531,Меню!A:E,5,0)</f>
        <v>100</v>
      </c>
    </row>
    <row r="1532" spans="1:6" ht="15.75" hidden="1" customHeight="1" x14ac:dyDescent="0.35">
      <c r="A1532" s="1">
        <v>1531</v>
      </c>
      <c r="B1532" s="1">
        <v>301</v>
      </c>
      <c r="C1532" s="1">
        <v>22</v>
      </c>
      <c r="D1532" t="str">
        <f>VLOOKUP(B1532,Заказы!A:C,3,0)</f>
        <v>2023-05-22 19:30:00</v>
      </c>
      <c r="E1532" t="str">
        <f>VLOOKUP(C1532,Меню!A:E,4,0)</f>
        <v>Салат</v>
      </c>
      <c r="F1532">
        <f>VLOOKUP(C1532,Меню!A:E,5,0)</f>
        <v>250</v>
      </c>
    </row>
    <row r="1533" spans="1:6" ht="15.75" hidden="1" customHeight="1" x14ac:dyDescent="0.35">
      <c r="A1533" s="1">
        <v>1532</v>
      </c>
      <c r="B1533" s="1">
        <v>301</v>
      </c>
      <c r="C1533" s="1">
        <v>53</v>
      </c>
      <c r="D1533" t="str">
        <f>VLOOKUP(B1533,Заказы!A:C,3,0)</f>
        <v>2023-05-22 19:30:00</v>
      </c>
      <c r="E1533" t="str">
        <f>VLOOKUP(C1533,Меню!A:E,4,0)</f>
        <v>Суши</v>
      </c>
      <c r="F1533">
        <f>VLOOKUP(C1533,Меню!A:E,5,0)</f>
        <v>100</v>
      </c>
    </row>
    <row r="1534" spans="1:6" ht="15.75" hidden="1" customHeight="1" x14ac:dyDescent="0.35">
      <c r="A1534" s="1">
        <v>1533</v>
      </c>
      <c r="B1534" s="1">
        <v>301</v>
      </c>
      <c r="C1534" s="1">
        <v>60</v>
      </c>
      <c r="D1534" t="str">
        <f>VLOOKUP(B1534,Заказы!A:C,3,0)</f>
        <v>2023-05-22 19:30:00</v>
      </c>
      <c r="E1534" t="str">
        <f>VLOOKUP(C1534,Меню!A:E,4,0)</f>
        <v>Суши</v>
      </c>
      <c r="F1534">
        <f>VLOOKUP(C1534,Меню!A:E,5,0)</f>
        <v>250</v>
      </c>
    </row>
    <row r="1535" spans="1:6" ht="15.75" hidden="1" customHeight="1" x14ac:dyDescent="0.35">
      <c r="A1535" s="1">
        <v>1534</v>
      </c>
      <c r="B1535" s="1">
        <v>301</v>
      </c>
      <c r="C1535" s="1">
        <v>36</v>
      </c>
      <c r="D1535" t="str">
        <f>VLOOKUP(B1535,Заказы!A:C,3,0)</f>
        <v>2023-05-22 19:30:00</v>
      </c>
      <c r="E1535" t="str">
        <f>VLOOKUP(C1535,Меню!A:E,4,0)</f>
        <v>Десерт</v>
      </c>
      <c r="F1535">
        <f>VLOOKUP(C1535,Меню!A:E,5,0)</f>
        <v>150</v>
      </c>
    </row>
    <row r="1536" spans="1:6" ht="15.75" hidden="1" customHeight="1" x14ac:dyDescent="0.35">
      <c r="A1536" s="1">
        <v>1535</v>
      </c>
      <c r="B1536" s="1">
        <v>301</v>
      </c>
      <c r="C1536" s="1">
        <v>12</v>
      </c>
      <c r="D1536" t="str">
        <f>VLOOKUP(B1536,Заказы!A:C,3,0)</f>
        <v>2023-05-22 19:30:00</v>
      </c>
      <c r="E1536" t="str">
        <f>VLOOKUP(C1536,Меню!A:E,4,0)</f>
        <v>Первое</v>
      </c>
      <c r="F1536">
        <f>VLOOKUP(C1536,Меню!A:E,5,0)</f>
        <v>300</v>
      </c>
    </row>
    <row r="1537" spans="1:6" ht="15.75" hidden="1" customHeight="1" x14ac:dyDescent="0.35">
      <c r="A1537" s="1">
        <v>1536</v>
      </c>
      <c r="B1537" s="1">
        <v>302</v>
      </c>
      <c r="C1537" s="1">
        <v>46</v>
      </c>
      <c r="D1537" t="str">
        <f>VLOOKUP(B1537,Заказы!A:C,3,0)</f>
        <v>2023-05-22 20:30:00</v>
      </c>
      <c r="E1537" t="str">
        <f>VLOOKUP(C1537,Меню!A:E,4,0)</f>
        <v>Суши</v>
      </c>
      <c r="F1537">
        <f>VLOOKUP(C1537,Меню!A:E,5,0)</f>
        <v>200</v>
      </c>
    </row>
    <row r="1538" spans="1:6" ht="15.75" hidden="1" customHeight="1" x14ac:dyDescent="0.35">
      <c r="A1538" s="1">
        <v>1537</v>
      </c>
      <c r="B1538" s="1">
        <v>302</v>
      </c>
      <c r="C1538" s="1">
        <v>36</v>
      </c>
      <c r="D1538" t="str">
        <f>VLOOKUP(B1538,Заказы!A:C,3,0)</f>
        <v>2023-05-22 20:30:00</v>
      </c>
      <c r="E1538" t="str">
        <f>VLOOKUP(C1538,Меню!A:E,4,0)</f>
        <v>Десерт</v>
      </c>
      <c r="F1538">
        <f>VLOOKUP(C1538,Меню!A:E,5,0)</f>
        <v>150</v>
      </c>
    </row>
    <row r="1539" spans="1:6" ht="15.75" hidden="1" customHeight="1" x14ac:dyDescent="0.35">
      <c r="A1539" s="1">
        <v>1538</v>
      </c>
      <c r="B1539" s="1">
        <v>302</v>
      </c>
      <c r="C1539" s="1">
        <v>32</v>
      </c>
      <c r="D1539" t="str">
        <f>VLOOKUP(B1539,Заказы!A:C,3,0)</f>
        <v>2023-05-22 20:30:00</v>
      </c>
      <c r="E1539" t="str">
        <f>VLOOKUP(C1539,Меню!A:E,4,0)</f>
        <v>Десерт</v>
      </c>
      <c r="F1539">
        <f>VLOOKUP(C1539,Меню!A:E,5,0)</f>
        <v>150</v>
      </c>
    </row>
    <row r="1540" spans="1:6" ht="15.75" hidden="1" customHeight="1" x14ac:dyDescent="0.35">
      <c r="A1540" s="1">
        <v>1539</v>
      </c>
      <c r="B1540" s="1">
        <v>302</v>
      </c>
      <c r="C1540" s="1">
        <v>56</v>
      </c>
      <c r="D1540" t="str">
        <f>VLOOKUP(B1540,Заказы!A:C,3,0)</f>
        <v>2023-05-22 20:30:00</v>
      </c>
      <c r="E1540" t="str">
        <f>VLOOKUP(C1540,Меню!A:E,4,0)</f>
        <v>Суши</v>
      </c>
      <c r="F1540">
        <f>VLOOKUP(C1540,Меню!A:E,5,0)</f>
        <v>200</v>
      </c>
    </row>
    <row r="1541" spans="1:6" ht="15.75" hidden="1" customHeight="1" x14ac:dyDescent="0.35">
      <c r="A1541" s="1">
        <v>1540</v>
      </c>
      <c r="B1541" s="1">
        <v>302</v>
      </c>
      <c r="C1541" s="1">
        <v>46</v>
      </c>
      <c r="D1541" t="str">
        <f>VLOOKUP(B1541,Заказы!A:C,3,0)</f>
        <v>2023-05-22 20:30:00</v>
      </c>
      <c r="E1541" t="str">
        <f>VLOOKUP(C1541,Меню!A:E,4,0)</f>
        <v>Суши</v>
      </c>
      <c r="F1541">
        <f>VLOOKUP(C1541,Меню!A:E,5,0)</f>
        <v>200</v>
      </c>
    </row>
    <row r="1542" spans="1:6" ht="15.75" hidden="1" customHeight="1" x14ac:dyDescent="0.35">
      <c r="A1542" s="1">
        <v>1541</v>
      </c>
      <c r="B1542" s="1">
        <v>302</v>
      </c>
      <c r="C1542" s="1">
        <v>18</v>
      </c>
      <c r="D1542" t="str">
        <f>VLOOKUP(B1542,Заказы!A:C,3,0)</f>
        <v>2023-05-22 20:30:00</v>
      </c>
      <c r="E1542" t="str">
        <f>VLOOKUP(C1542,Меню!A:E,4,0)</f>
        <v>Первое</v>
      </c>
      <c r="F1542">
        <f>VLOOKUP(C1542,Меню!A:E,5,0)</f>
        <v>300</v>
      </c>
    </row>
    <row r="1543" spans="1:6" ht="15.75" hidden="1" customHeight="1" x14ac:dyDescent="0.35">
      <c r="A1543" s="1">
        <v>1542</v>
      </c>
      <c r="B1543" s="1">
        <v>302</v>
      </c>
      <c r="C1543" s="1">
        <v>16</v>
      </c>
      <c r="D1543" t="str">
        <f>VLOOKUP(B1543,Заказы!A:C,3,0)</f>
        <v>2023-05-22 20:30:00</v>
      </c>
      <c r="E1543" t="str">
        <f>VLOOKUP(C1543,Меню!A:E,4,0)</f>
        <v>Первое</v>
      </c>
      <c r="F1543">
        <f>VLOOKUP(C1543,Меню!A:E,5,0)</f>
        <v>250</v>
      </c>
    </row>
    <row r="1544" spans="1:6" ht="15.75" hidden="1" customHeight="1" x14ac:dyDescent="0.35">
      <c r="A1544" s="1">
        <v>1543</v>
      </c>
      <c r="B1544" s="1">
        <v>302</v>
      </c>
      <c r="C1544" s="1">
        <v>54</v>
      </c>
      <c r="D1544" t="str">
        <f>VLOOKUP(B1544,Заказы!A:C,3,0)</f>
        <v>2023-05-22 20:30:00</v>
      </c>
      <c r="E1544" t="str">
        <f>VLOOKUP(C1544,Меню!A:E,4,0)</f>
        <v>Суши</v>
      </c>
      <c r="F1544">
        <f>VLOOKUP(C1544,Меню!A:E,5,0)</f>
        <v>100</v>
      </c>
    </row>
    <row r="1545" spans="1:6" ht="15.75" hidden="1" customHeight="1" x14ac:dyDescent="0.35">
      <c r="A1545" s="1">
        <v>1544</v>
      </c>
      <c r="B1545" s="1">
        <v>302</v>
      </c>
      <c r="C1545" s="1">
        <v>49</v>
      </c>
      <c r="D1545" t="str">
        <f>VLOOKUP(B1545,Заказы!A:C,3,0)</f>
        <v>2023-05-22 20:30:00</v>
      </c>
      <c r="E1545" t="str">
        <f>VLOOKUP(C1545,Меню!A:E,4,0)</f>
        <v>Суши</v>
      </c>
      <c r="F1545">
        <f>VLOOKUP(C1545,Меню!A:E,5,0)</f>
        <v>200</v>
      </c>
    </row>
    <row r="1546" spans="1:6" ht="15.75" hidden="1" customHeight="1" x14ac:dyDescent="0.35">
      <c r="A1546" s="1">
        <v>1545</v>
      </c>
      <c r="B1546" s="1">
        <v>303</v>
      </c>
      <c r="C1546" s="1">
        <v>30</v>
      </c>
      <c r="D1546" t="str">
        <f>VLOOKUP(B1546,Заказы!A:C,3,0)</f>
        <v>2023-05-22 20:49:00</v>
      </c>
      <c r="E1546" t="str">
        <f>VLOOKUP(C1546,Меню!A:E,4,0)</f>
        <v>Салат</v>
      </c>
      <c r="F1546">
        <f>VLOOKUP(C1546,Меню!A:E,5,0)</f>
        <v>250</v>
      </c>
    </row>
    <row r="1547" spans="1:6" ht="15.75" hidden="1" customHeight="1" x14ac:dyDescent="0.35">
      <c r="A1547" s="1">
        <v>1546</v>
      </c>
      <c r="B1547" s="1">
        <v>303</v>
      </c>
      <c r="C1547" s="1">
        <v>44</v>
      </c>
      <c r="D1547" t="str">
        <f>VLOOKUP(B1547,Заказы!A:C,3,0)</f>
        <v>2023-05-22 20:49:00</v>
      </c>
      <c r="E1547" t="str">
        <f>VLOOKUP(C1547,Меню!A:E,4,0)</f>
        <v>Суши</v>
      </c>
      <c r="F1547">
        <f>VLOOKUP(C1547,Меню!A:E,5,0)</f>
        <v>250</v>
      </c>
    </row>
    <row r="1548" spans="1:6" ht="15.75" hidden="1" customHeight="1" x14ac:dyDescent="0.35">
      <c r="A1548" s="1">
        <v>1547</v>
      </c>
      <c r="B1548" s="1">
        <v>303</v>
      </c>
      <c r="C1548" s="1">
        <v>60</v>
      </c>
      <c r="D1548" t="str">
        <f>VLOOKUP(B1548,Заказы!A:C,3,0)</f>
        <v>2023-05-22 20:49:00</v>
      </c>
      <c r="E1548" t="str">
        <f>VLOOKUP(C1548,Меню!A:E,4,0)</f>
        <v>Суши</v>
      </c>
      <c r="F1548">
        <f>VLOOKUP(C1548,Меню!A:E,5,0)</f>
        <v>250</v>
      </c>
    </row>
    <row r="1549" spans="1:6" ht="15.75" hidden="1" customHeight="1" x14ac:dyDescent="0.35">
      <c r="A1549" s="1">
        <v>1548</v>
      </c>
      <c r="B1549" s="1">
        <v>303</v>
      </c>
      <c r="C1549" s="1">
        <v>40</v>
      </c>
      <c r="D1549" t="str">
        <f>VLOOKUP(B1549,Заказы!A:C,3,0)</f>
        <v>2023-05-22 20:49:00</v>
      </c>
      <c r="E1549" t="str">
        <f>VLOOKUP(C1549,Меню!A:E,4,0)</f>
        <v>Десерт</v>
      </c>
      <c r="F1549">
        <f>VLOOKUP(C1549,Меню!A:E,5,0)</f>
        <v>150</v>
      </c>
    </row>
    <row r="1550" spans="1:6" ht="15.75" hidden="1" customHeight="1" x14ac:dyDescent="0.35">
      <c r="A1550" s="1">
        <v>1549</v>
      </c>
      <c r="B1550" s="1">
        <v>303</v>
      </c>
      <c r="C1550" s="1">
        <v>48</v>
      </c>
      <c r="D1550" t="str">
        <f>VLOOKUP(B1550,Заказы!A:C,3,0)</f>
        <v>2023-05-22 20:49:00</v>
      </c>
      <c r="E1550" t="str">
        <f>VLOOKUP(C1550,Меню!A:E,4,0)</f>
        <v>Суши</v>
      </c>
      <c r="F1550">
        <f>VLOOKUP(C1550,Меню!A:E,5,0)</f>
        <v>200</v>
      </c>
    </row>
    <row r="1551" spans="1:6" ht="15.75" hidden="1" customHeight="1" x14ac:dyDescent="0.35">
      <c r="A1551" s="1">
        <v>1550</v>
      </c>
      <c r="B1551" s="1">
        <v>303</v>
      </c>
      <c r="C1551" s="1">
        <v>28</v>
      </c>
      <c r="D1551" t="str">
        <f>VLOOKUP(B1551,Заказы!A:C,3,0)</f>
        <v>2023-05-22 20:49:00</v>
      </c>
      <c r="E1551" t="str">
        <f>VLOOKUP(C1551,Меню!A:E,4,0)</f>
        <v>Салат</v>
      </c>
      <c r="F1551">
        <f>VLOOKUP(C1551,Меню!A:E,5,0)</f>
        <v>250</v>
      </c>
    </row>
    <row r="1552" spans="1:6" ht="15.75" hidden="1" customHeight="1" x14ac:dyDescent="0.35">
      <c r="A1552" s="1">
        <v>1551</v>
      </c>
      <c r="B1552" s="1">
        <v>304</v>
      </c>
      <c r="C1552" s="1">
        <v>32</v>
      </c>
      <c r="D1552" t="str">
        <f>VLOOKUP(B1552,Заказы!A:C,3,0)</f>
        <v>2023-05-22 22:01:00</v>
      </c>
      <c r="E1552" t="str">
        <f>VLOOKUP(C1552,Меню!A:E,4,0)</f>
        <v>Десерт</v>
      </c>
      <c r="F1552">
        <f>VLOOKUP(C1552,Меню!A:E,5,0)</f>
        <v>150</v>
      </c>
    </row>
    <row r="1553" spans="1:6" ht="15.75" hidden="1" customHeight="1" x14ac:dyDescent="0.35">
      <c r="A1553" s="1">
        <v>1552</v>
      </c>
      <c r="B1553" s="1">
        <v>305</v>
      </c>
      <c r="C1553" s="1">
        <v>6</v>
      </c>
      <c r="D1553" t="str">
        <f>VLOOKUP(B1553,Заказы!A:C,3,0)</f>
        <v>2023-05-23 15:08:00</v>
      </c>
      <c r="E1553" t="str">
        <f>VLOOKUP(C1553,Меню!A:E,4,0)</f>
        <v>Завтрак</v>
      </c>
      <c r="F1553">
        <f>VLOOKUP(C1553,Меню!A:E,5,0)</f>
        <v>300</v>
      </c>
    </row>
    <row r="1554" spans="1:6" ht="15.75" hidden="1" customHeight="1" x14ac:dyDescent="0.35">
      <c r="A1554" s="1">
        <v>1553</v>
      </c>
      <c r="B1554" s="1">
        <v>305</v>
      </c>
      <c r="C1554" s="1">
        <v>15</v>
      </c>
      <c r="D1554" t="str">
        <f>VLOOKUP(B1554,Заказы!A:C,3,0)</f>
        <v>2023-05-23 15:08:00</v>
      </c>
      <c r="E1554" t="str">
        <f>VLOOKUP(C1554,Меню!A:E,4,0)</f>
        <v>Первое</v>
      </c>
      <c r="F1554">
        <f>VLOOKUP(C1554,Меню!A:E,5,0)</f>
        <v>250</v>
      </c>
    </row>
    <row r="1555" spans="1:6" ht="15.75" hidden="1" customHeight="1" x14ac:dyDescent="0.35">
      <c r="A1555" s="1">
        <v>1554</v>
      </c>
      <c r="B1555" s="1">
        <v>305</v>
      </c>
      <c r="C1555" s="1">
        <v>3</v>
      </c>
      <c r="D1555" t="str">
        <f>VLOOKUP(B1555,Заказы!A:C,3,0)</f>
        <v>2023-05-23 15:08:00</v>
      </c>
      <c r="E1555" t="str">
        <f>VLOOKUP(C1555,Меню!A:E,4,0)</f>
        <v>Завтрак</v>
      </c>
      <c r="F1555">
        <f>VLOOKUP(C1555,Меню!A:E,5,0)</f>
        <v>150</v>
      </c>
    </row>
    <row r="1556" spans="1:6" ht="15.75" hidden="1" customHeight="1" x14ac:dyDescent="0.35">
      <c r="A1556" s="1">
        <v>1555</v>
      </c>
      <c r="B1556" s="1">
        <v>305</v>
      </c>
      <c r="C1556" s="1">
        <v>8</v>
      </c>
      <c r="D1556" t="str">
        <f>VLOOKUP(B1556,Заказы!A:C,3,0)</f>
        <v>2023-05-23 15:08:00</v>
      </c>
      <c r="E1556" t="str">
        <f>VLOOKUP(C1556,Меню!A:E,4,0)</f>
        <v>Завтрак</v>
      </c>
      <c r="F1556">
        <f>VLOOKUP(C1556,Меню!A:E,5,0)</f>
        <v>180</v>
      </c>
    </row>
    <row r="1557" spans="1:6" ht="15.75" hidden="1" customHeight="1" x14ac:dyDescent="0.35">
      <c r="A1557" s="1">
        <v>1556</v>
      </c>
      <c r="B1557" s="1">
        <v>305</v>
      </c>
      <c r="C1557" s="1">
        <v>46</v>
      </c>
      <c r="D1557" t="str">
        <f>VLOOKUP(B1557,Заказы!A:C,3,0)</f>
        <v>2023-05-23 15:08:00</v>
      </c>
      <c r="E1557" t="str">
        <f>VLOOKUP(C1557,Меню!A:E,4,0)</f>
        <v>Суши</v>
      </c>
      <c r="F1557">
        <f>VLOOKUP(C1557,Меню!A:E,5,0)</f>
        <v>200</v>
      </c>
    </row>
    <row r="1558" spans="1:6" ht="15.75" hidden="1" customHeight="1" x14ac:dyDescent="0.35">
      <c r="A1558" s="1">
        <v>1557</v>
      </c>
      <c r="B1558" s="1">
        <v>305</v>
      </c>
      <c r="C1558" s="1">
        <v>2</v>
      </c>
      <c r="D1558" t="str">
        <f>VLOOKUP(B1558,Заказы!A:C,3,0)</f>
        <v>2023-05-23 15:08:00</v>
      </c>
      <c r="E1558" t="str">
        <f>VLOOKUP(C1558,Меню!A:E,4,0)</f>
        <v>Завтрак</v>
      </c>
      <c r="F1558">
        <f>VLOOKUP(C1558,Меню!A:E,5,0)</f>
        <v>250</v>
      </c>
    </row>
    <row r="1559" spans="1:6" ht="15.75" hidden="1" customHeight="1" x14ac:dyDescent="0.35">
      <c r="A1559" s="1">
        <v>1558</v>
      </c>
      <c r="B1559" s="1">
        <v>305</v>
      </c>
      <c r="C1559" s="1">
        <v>29</v>
      </c>
      <c r="D1559" t="str">
        <f>VLOOKUP(B1559,Заказы!A:C,3,0)</f>
        <v>2023-05-23 15:08:00</v>
      </c>
      <c r="E1559" t="str">
        <f>VLOOKUP(C1559,Меню!A:E,4,0)</f>
        <v>Салат</v>
      </c>
      <c r="F1559">
        <f>VLOOKUP(C1559,Меню!A:E,5,0)</f>
        <v>250</v>
      </c>
    </row>
    <row r="1560" spans="1:6" ht="15.75" hidden="1" customHeight="1" x14ac:dyDescent="0.35">
      <c r="A1560" s="1">
        <v>1559</v>
      </c>
      <c r="B1560" s="1">
        <v>305</v>
      </c>
      <c r="C1560" s="1">
        <v>47</v>
      </c>
      <c r="D1560" t="str">
        <f>VLOOKUP(B1560,Заказы!A:C,3,0)</f>
        <v>2023-05-23 15:08:00</v>
      </c>
      <c r="E1560" t="str">
        <f>VLOOKUP(C1560,Меню!A:E,4,0)</f>
        <v>Суши</v>
      </c>
      <c r="F1560">
        <f>VLOOKUP(C1560,Меню!A:E,5,0)</f>
        <v>200</v>
      </c>
    </row>
    <row r="1561" spans="1:6" ht="15.75" hidden="1" customHeight="1" x14ac:dyDescent="0.35">
      <c r="A1561" s="1">
        <v>1560</v>
      </c>
      <c r="B1561" s="1">
        <v>305</v>
      </c>
      <c r="C1561" s="1">
        <v>27</v>
      </c>
      <c r="D1561" t="str">
        <f>VLOOKUP(B1561,Заказы!A:C,3,0)</f>
        <v>2023-05-23 15:08:00</v>
      </c>
      <c r="E1561" t="str">
        <f>VLOOKUP(C1561,Меню!A:E,4,0)</f>
        <v>Салат</v>
      </c>
      <c r="F1561">
        <f>VLOOKUP(C1561,Меню!A:E,5,0)</f>
        <v>250</v>
      </c>
    </row>
    <row r="1562" spans="1:6" ht="15.75" hidden="1" customHeight="1" x14ac:dyDescent="0.35">
      <c r="A1562" s="1">
        <v>1561</v>
      </c>
      <c r="B1562" s="1">
        <v>305</v>
      </c>
      <c r="C1562" s="1">
        <v>48</v>
      </c>
      <c r="D1562" t="str">
        <f>VLOOKUP(B1562,Заказы!A:C,3,0)</f>
        <v>2023-05-23 15:08:00</v>
      </c>
      <c r="E1562" t="str">
        <f>VLOOKUP(C1562,Меню!A:E,4,0)</f>
        <v>Суши</v>
      </c>
      <c r="F1562">
        <f>VLOOKUP(C1562,Меню!A:E,5,0)</f>
        <v>200</v>
      </c>
    </row>
    <row r="1563" spans="1:6" ht="15.75" hidden="1" customHeight="1" x14ac:dyDescent="0.35">
      <c r="A1563" s="1">
        <v>1562</v>
      </c>
      <c r="B1563" s="1">
        <v>306</v>
      </c>
      <c r="C1563" s="1">
        <v>58</v>
      </c>
      <c r="D1563" t="str">
        <f>VLOOKUP(B1563,Заказы!A:C,3,0)</f>
        <v>2023-05-23 16:06:00</v>
      </c>
      <c r="E1563" t="str">
        <f>VLOOKUP(C1563,Меню!A:E,4,0)</f>
        <v>Суши</v>
      </c>
      <c r="F1563">
        <f>VLOOKUP(C1563,Меню!A:E,5,0)</f>
        <v>200</v>
      </c>
    </row>
    <row r="1564" spans="1:6" ht="15.75" hidden="1" customHeight="1" x14ac:dyDescent="0.35">
      <c r="A1564" s="1">
        <v>1563</v>
      </c>
      <c r="B1564" s="1">
        <v>306</v>
      </c>
      <c r="C1564" s="1">
        <v>47</v>
      </c>
      <c r="D1564" t="str">
        <f>VLOOKUP(B1564,Заказы!A:C,3,0)</f>
        <v>2023-05-23 16:06:00</v>
      </c>
      <c r="E1564" t="str">
        <f>VLOOKUP(C1564,Меню!A:E,4,0)</f>
        <v>Суши</v>
      </c>
      <c r="F1564">
        <f>VLOOKUP(C1564,Меню!A:E,5,0)</f>
        <v>200</v>
      </c>
    </row>
    <row r="1565" spans="1:6" ht="15.75" hidden="1" customHeight="1" x14ac:dyDescent="0.35">
      <c r="A1565" s="1">
        <v>1564</v>
      </c>
      <c r="B1565" s="1">
        <v>306</v>
      </c>
      <c r="C1565" s="1">
        <v>21</v>
      </c>
      <c r="D1565" t="str">
        <f>VLOOKUP(B1565,Заказы!A:C,3,0)</f>
        <v>2023-05-23 16:06:00</v>
      </c>
      <c r="E1565" t="str">
        <f>VLOOKUP(C1565,Меню!A:E,4,0)</f>
        <v>Салат</v>
      </c>
      <c r="F1565">
        <f>VLOOKUP(C1565,Меню!A:E,5,0)</f>
        <v>250</v>
      </c>
    </row>
    <row r="1566" spans="1:6" ht="15.75" hidden="1" customHeight="1" x14ac:dyDescent="0.35">
      <c r="A1566" s="1">
        <v>1565</v>
      </c>
      <c r="B1566" s="1">
        <v>306</v>
      </c>
      <c r="C1566" s="1">
        <v>9</v>
      </c>
      <c r="D1566" t="str">
        <f>VLOOKUP(B1566,Заказы!A:C,3,0)</f>
        <v>2023-05-23 16:06:00</v>
      </c>
      <c r="E1566" t="str">
        <f>VLOOKUP(C1566,Меню!A:E,4,0)</f>
        <v>Завтрак</v>
      </c>
      <c r="F1566">
        <f>VLOOKUP(C1566,Меню!A:E,5,0)</f>
        <v>220</v>
      </c>
    </row>
    <row r="1567" spans="1:6" ht="15.75" hidden="1" customHeight="1" x14ac:dyDescent="0.35">
      <c r="A1567" s="1">
        <v>1566</v>
      </c>
      <c r="B1567" s="1">
        <v>306</v>
      </c>
      <c r="C1567" s="1">
        <v>23</v>
      </c>
      <c r="D1567" t="str">
        <f>VLOOKUP(B1567,Заказы!A:C,3,0)</f>
        <v>2023-05-23 16:06:00</v>
      </c>
      <c r="E1567" t="str">
        <f>VLOOKUP(C1567,Меню!A:E,4,0)</f>
        <v>Салат</v>
      </c>
      <c r="F1567">
        <f>VLOOKUP(C1567,Меню!A:E,5,0)</f>
        <v>250</v>
      </c>
    </row>
    <row r="1568" spans="1:6" ht="15.75" hidden="1" customHeight="1" x14ac:dyDescent="0.35">
      <c r="A1568" s="1">
        <v>1567</v>
      </c>
      <c r="B1568" s="1">
        <v>307</v>
      </c>
      <c r="C1568" s="1">
        <v>10</v>
      </c>
      <c r="D1568" t="str">
        <f>VLOOKUP(B1568,Заказы!A:C,3,0)</f>
        <v>2023-05-23 17:37:00</v>
      </c>
      <c r="E1568" t="str">
        <f>VLOOKUP(C1568,Меню!A:E,4,0)</f>
        <v>Завтрак</v>
      </c>
      <c r="F1568">
        <f>VLOOKUP(C1568,Меню!A:E,5,0)</f>
        <v>200</v>
      </c>
    </row>
    <row r="1569" spans="1:6" ht="15.75" hidden="1" customHeight="1" x14ac:dyDescent="0.35">
      <c r="A1569" s="1">
        <v>1568</v>
      </c>
      <c r="B1569" s="1">
        <v>307</v>
      </c>
      <c r="C1569" s="1">
        <v>27</v>
      </c>
      <c r="D1569" t="str">
        <f>VLOOKUP(B1569,Заказы!A:C,3,0)</f>
        <v>2023-05-23 17:37:00</v>
      </c>
      <c r="E1569" t="str">
        <f>VLOOKUP(C1569,Меню!A:E,4,0)</f>
        <v>Салат</v>
      </c>
      <c r="F1569">
        <f>VLOOKUP(C1569,Меню!A:E,5,0)</f>
        <v>250</v>
      </c>
    </row>
    <row r="1570" spans="1:6" ht="15.75" hidden="1" customHeight="1" x14ac:dyDescent="0.35">
      <c r="A1570" s="1">
        <v>1569</v>
      </c>
      <c r="B1570" s="1">
        <v>307</v>
      </c>
      <c r="C1570" s="1">
        <v>31</v>
      </c>
      <c r="D1570" t="str">
        <f>VLOOKUP(B1570,Заказы!A:C,3,0)</f>
        <v>2023-05-23 17:37:00</v>
      </c>
      <c r="E1570" t="str">
        <f>VLOOKUP(C1570,Меню!A:E,4,0)</f>
        <v>Десерт</v>
      </c>
      <c r="F1570">
        <f>VLOOKUP(C1570,Меню!A:E,5,0)</f>
        <v>150</v>
      </c>
    </row>
    <row r="1571" spans="1:6" ht="15.75" hidden="1" customHeight="1" x14ac:dyDescent="0.35">
      <c r="A1571" s="1">
        <v>1570</v>
      </c>
      <c r="B1571" s="1">
        <v>307</v>
      </c>
      <c r="C1571" s="1">
        <v>41</v>
      </c>
      <c r="D1571" t="str">
        <f>VLOOKUP(B1571,Заказы!A:C,3,0)</f>
        <v>2023-05-23 17:37:00</v>
      </c>
      <c r="E1571" t="str">
        <f>VLOOKUP(C1571,Меню!A:E,4,0)</f>
        <v>Суши</v>
      </c>
      <c r="F1571">
        <f>VLOOKUP(C1571,Меню!A:E,5,0)</f>
        <v>220</v>
      </c>
    </row>
    <row r="1572" spans="1:6" ht="15.75" hidden="1" customHeight="1" x14ac:dyDescent="0.35">
      <c r="A1572" s="1">
        <v>1571</v>
      </c>
      <c r="B1572" s="1">
        <v>307</v>
      </c>
      <c r="C1572" s="1">
        <v>55</v>
      </c>
      <c r="D1572" t="str">
        <f>VLOOKUP(B1572,Заказы!A:C,3,0)</f>
        <v>2023-05-23 17:37:00</v>
      </c>
      <c r="E1572" t="str">
        <f>VLOOKUP(C1572,Меню!A:E,4,0)</f>
        <v>Суши</v>
      </c>
      <c r="F1572">
        <f>VLOOKUP(C1572,Меню!A:E,5,0)</f>
        <v>100</v>
      </c>
    </row>
    <row r="1573" spans="1:6" ht="15.75" hidden="1" customHeight="1" x14ac:dyDescent="0.35">
      <c r="A1573" s="1">
        <v>1572</v>
      </c>
      <c r="B1573" s="1">
        <v>307</v>
      </c>
      <c r="C1573" s="1">
        <v>25</v>
      </c>
      <c r="D1573" t="str">
        <f>VLOOKUP(B1573,Заказы!A:C,3,0)</f>
        <v>2023-05-23 17:37:00</v>
      </c>
      <c r="E1573" t="str">
        <f>VLOOKUP(C1573,Меню!A:E,4,0)</f>
        <v>Салат</v>
      </c>
      <c r="F1573">
        <f>VLOOKUP(C1573,Меню!A:E,5,0)</f>
        <v>250</v>
      </c>
    </row>
    <row r="1574" spans="1:6" ht="15.75" hidden="1" customHeight="1" x14ac:dyDescent="0.35">
      <c r="A1574" s="1">
        <v>1573</v>
      </c>
      <c r="B1574" s="1">
        <v>307</v>
      </c>
      <c r="C1574" s="1">
        <v>7</v>
      </c>
      <c r="D1574" t="str">
        <f>VLOOKUP(B1574,Заказы!A:C,3,0)</f>
        <v>2023-05-23 17:37:00</v>
      </c>
      <c r="E1574" t="str">
        <f>VLOOKUP(C1574,Меню!A:E,4,0)</f>
        <v>Завтрак</v>
      </c>
      <c r="F1574">
        <f>VLOOKUP(C1574,Меню!A:E,5,0)</f>
        <v>200</v>
      </c>
    </row>
    <row r="1575" spans="1:6" ht="15.75" hidden="1" customHeight="1" x14ac:dyDescent="0.35">
      <c r="A1575" s="1">
        <v>1574</v>
      </c>
      <c r="B1575" s="1">
        <v>307</v>
      </c>
      <c r="C1575" s="1">
        <v>3</v>
      </c>
      <c r="D1575" t="str">
        <f>VLOOKUP(B1575,Заказы!A:C,3,0)</f>
        <v>2023-05-23 17:37:00</v>
      </c>
      <c r="E1575" t="str">
        <f>VLOOKUP(C1575,Меню!A:E,4,0)</f>
        <v>Завтрак</v>
      </c>
      <c r="F1575">
        <f>VLOOKUP(C1575,Меню!A:E,5,0)</f>
        <v>150</v>
      </c>
    </row>
    <row r="1576" spans="1:6" ht="15.75" hidden="1" customHeight="1" x14ac:dyDescent="0.35">
      <c r="A1576" s="1">
        <v>1575</v>
      </c>
      <c r="B1576" s="1">
        <v>308</v>
      </c>
      <c r="C1576" s="1">
        <v>46</v>
      </c>
      <c r="D1576" t="str">
        <f>VLOOKUP(B1576,Заказы!A:C,3,0)</f>
        <v>2023-05-23 22:07:00</v>
      </c>
      <c r="E1576" t="str">
        <f>VLOOKUP(C1576,Меню!A:E,4,0)</f>
        <v>Суши</v>
      </c>
      <c r="F1576">
        <f>VLOOKUP(C1576,Меню!A:E,5,0)</f>
        <v>200</v>
      </c>
    </row>
    <row r="1577" spans="1:6" ht="15.75" hidden="1" customHeight="1" x14ac:dyDescent="0.35">
      <c r="A1577" s="1">
        <v>1576</v>
      </c>
      <c r="B1577" s="1">
        <v>308</v>
      </c>
      <c r="C1577" s="1">
        <v>19</v>
      </c>
      <c r="D1577" t="str">
        <f>VLOOKUP(B1577,Заказы!A:C,3,0)</f>
        <v>2023-05-23 22:07:00</v>
      </c>
      <c r="E1577" t="str">
        <f>VLOOKUP(C1577,Меню!A:E,4,0)</f>
        <v>Первое</v>
      </c>
      <c r="F1577">
        <f>VLOOKUP(C1577,Меню!A:E,5,0)</f>
        <v>300</v>
      </c>
    </row>
    <row r="1578" spans="1:6" ht="15.75" hidden="1" customHeight="1" x14ac:dyDescent="0.35">
      <c r="A1578" s="1">
        <v>1577</v>
      </c>
      <c r="B1578" s="1">
        <v>308</v>
      </c>
      <c r="C1578" s="1">
        <v>40</v>
      </c>
      <c r="D1578" t="str">
        <f>VLOOKUP(B1578,Заказы!A:C,3,0)</f>
        <v>2023-05-23 22:07:00</v>
      </c>
      <c r="E1578" t="str">
        <f>VLOOKUP(C1578,Меню!A:E,4,0)</f>
        <v>Десерт</v>
      </c>
      <c r="F1578">
        <f>VLOOKUP(C1578,Меню!A:E,5,0)</f>
        <v>150</v>
      </c>
    </row>
    <row r="1579" spans="1:6" ht="15.75" hidden="1" customHeight="1" x14ac:dyDescent="0.35">
      <c r="A1579" s="1">
        <v>1578</v>
      </c>
      <c r="B1579" s="1">
        <v>308</v>
      </c>
      <c r="C1579" s="1">
        <v>2</v>
      </c>
      <c r="D1579" t="str">
        <f>VLOOKUP(B1579,Заказы!A:C,3,0)</f>
        <v>2023-05-23 22:07:00</v>
      </c>
      <c r="E1579" t="str">
        <f>VLOOKUP(C1579,Меню!A:E,4,0)</f>
        <v>Завтрак</v>
      </c>
      <c r="F1579">
        <f>VLOOKUP(C1579,Меню!A:E,5,0)</f>
        <v>250</v>
      </c>
    </row>
    <row r="1580" spans="1:6" ht="15.75" hidden="1" customHeight="1" x14ac:dyDescent="0.35">
      <c r="A1580" s="1">
        <v>1579</v>
      </c>
      <c r="B1580" s="1">
        <v>308</v>
      </c>
      <c r="C1580" s="1">
        <v>15</v>
      </c>
      <c r="D1580" t="str">
        <f>VLOOKUP(B1580,Заказы!A:C,3,0)</f>
        <v>2023-05-23 22:07:00</v>
      </c>
      <c r="E1580" t="str">
        <f>VLOOKUP(C1580,Меню!A:E,4,0)</f>
        <v>Первое</v>
      </c>
      <c r="F1580">
        <f>VLOOKUP(C1580,Меню!A:E,5,0)</f>
        <v>250</v>
      </c>
    </row>
    <row r="1581" spans="1:6" ht="15.75" hidden="1" customHeight="1" x14ac:dyDescent="0.35">
      <c r="A1581" s="1">
        <v>1580</v>
      </c>
      <c r="B1581" s="1">
        <v>308</v>
      </c>
      <c r="C1581" s="1">
        <v>43</v>
      </c>
      <c r="D1581" t="str">
        <f>VLOOKUP(B1581,Заказы!A:C,3,0)</f>
        <v>2023-05-23 22:07:00</v>
      </c>
      <c r="E1581" t="str">
        <f>VLOOKUP(C1581,Меню!A:E,4,0)</f>
        <v>Суши</v>
      </c>
      <c r="F1581">
        <f>VLOOKUP(C1581,Меню!A:E,5,0)</f>
        <v>250</v>
      </c>
    </row>
    <row r="1582" spans="1:6" ht="15.75" hidden="1" customHeight="1" x14ac:dyDescent="0.35">
      <c r="A1582" s="1">
        <v>1581</v>
      </c>
      <c r="B1582" s="1">
        <v>308</v>
      </c>
      <c r="C1582" s="1">
        <v>45</v>
      </c>
      <c r="D1582" t="str">
        <f>VLOOKUP(B1582,Заказы!A:C,3,0)</f>
        <v>2023-05-23 22:07:00</v>
      </c>
      <c r="E1582" t="str">
        <f>VLOOKUP(C1582,Меню!A:E,4,0)</f>
        <v>Суши</v>
      </c>
      <c r="F1582">
        <f>VLOOKUP(C1582,Меню!A:E,5,0)</f>
        <v>200</v>
      </c>
    </row>
    <row r="1583" spans="1:6" ht="15.75" hidden="1" customHeight="1" x14ac:dyDescent="0.35">
      <c r="A1583" s="1">
        <v>1582</v>
      </c>
      <c r="B1583" s="1">
        <v>308</v>
      </c>
      <c r="C1583" s="1">
        <v>25</v>
      </c>
      <c r="D1583" t="str">
        <f>VLOOKUP(B1583,Заказы!A:C,3,0)</f>
        <v>2023-05-23 22:07:00</v>
      </c>
      <c r="E1583" t="str">
        <f>VLOOKUP(C1583,Меню!A:E,4,0)</f>
        <v>Салат</v>
      </c>
      <c r="F1583">
        <f>VLOOKUP(C1583,Меню!A:E,5,0)</f>
        <v>250</v>
      </c>
    </row>
    <row r="1584" spans="1:6" ht="15.75" hidden="1" customHeight="1" x14ac:dyDescent="0.35">
      <c r="A1584" s="1">
        <v>1583</v>
      </c>
      <c r="B1584" s="1">
        <v>309</v>
      </c>
      <c r="C1584" s="1">
        <v>55</v>
      </c>
      <c r="D1584" t="str">
        <f>VLOOKUP(B1584,Заказы!A:C,3,0)</f>
        <v>2023-05-23 22:21:00</v>
      </c>
      <c r="E1584" t="str">
        <f>VLOOKUP(C1584,Меню!A:E,4,0)</f>
        <v>Суши</v>
      </c>
      <c r="F1584">
        <f>VLOOKUP(C1584,Меню!A:E,5,0)</f>
        <v>100</v>
      </c>
    </row>
    <row r="1585" spans="1:6" ht="15.75" hidden="1" customHeight="1" x14ac:dyDescent="0.35">
      <c r="A1585" s="1">
        <v>1584</v>
      </c>
      <c r="B1585" s="1">
        <v>309</v>
      </c>
      <c r="C1585" s="1">
        <v>45</v>
      </c>
      <c r="D1585" t="str">
        <f>VLOOKUP(B1585,Заказы!A:C,3,0)</f>
        <v>2023-05-23 22:21:00</v>
      </c>
      <c r="E1585" t="str">
        <f>VLOOKUP(C1585,Меню!A:E,4,0)</f>
        <v>Суши</v>
      </c>
      <c r="F1585">
        <f>VLOOKUP(C1585,Меню!A:E,5,0)</f>
        <v>200</v>
      </c>
    </row>
    <row r="1586" spans="1:6" ht="15.75" hidden="1" customHeight="1" x14ac:dyDescent="0.35">
      <c r="A1586" s="1">
        <v>1585</v>
      </c>
      <c r="B1586" s="1">
        <v>309</v>
      </c>
      <c r="C1586" s="1">
        <v>48</v>
      </c>
      <c r="D1586" t="str">
        <f>VLOOKUP(B1586,Заказы!A:C,3,0)</f>
        <v>2023-05-23 22:21:00</v>
      </c>
      <c r="E1586" t="str">
        <f>VLOOKUP(C1586,Меню!A:E,4,0)</f>
        <v>Суши</v>
      </c>
      <c r="F1586">
        <f>VLOOKUP(C1586,Меню!A:E,5,0)</f>
        <v>200</v>
      </c>
    </row>
    <row r="1587" spans="1:6" ht="15.75" hidden="1" customHeight="1" x14ac:dyDescent="0.35">
      <c r="A1587" s="1">
        <v>1586</v>
      </c>
      <c r="B1587" s="1">
        <v>309</v>
      </c>
      <c r="C1587" s="1">
        <v>27</v>
      </c>
      <c r="D1587" t="str">
        <f>VLOOKUP(B1587,Заказы!A:C,3,0)</f>
        <v>2023-05-23 22:21:00</v>
      </c>
      <c r="E1587" t="str">
        <f>VLOOKUP(C1587,Меню!A:E,4,0)</f>
        <v>Салат</v>
      </c>
      <c r="F1587">
        <f>VLOOKUP(C1587,Меню!A:E,5,0)</f>
        <v>250</v>
      </c>
    </row>
    <row r="1588" spans="1:6" ht="15.75" hidden="1" customHeight="1" x14ac:dyDescent="0.35">
      <c r="A1588" s="1">
        <v>1587</v>
      </c>
      <c r="B1588" s="1">
        <v>309</v>
      </c>
      <c r="C1588" s="1">
        <v>15</v>
      </c>
      <c r="D1588" t="str">
        <f>VLOOKUP(B1588,Заказы!A:C,3,0)</f>
        <v>2023-05-23 22:21:00</v>
      </c>
      <c r="E1588" t="str">
        <f>VLOOKUP(C1588,Меню!A:E,4,0)</f>
        <v>Первое</v>
      </c>
      <c r="F1588">
        <f>VLOOKUP(C1588,Меню!A:E,5,0)</f>
        <v>250</v>
      </c>
    </row>
    <row r="1589" spans="1:6" ht="15.75" hidden="1" customHeight="1" x14ac:dyDescent="0.35">
      <c r="A1589" s="1">
        <v>1588</v>
      </c>
      <c r="B1589" s="1">
        <v>310</v>
      </c>
      <c r="C1589" s="1">
        <v>46</v>
      </c>
      <c r="D1589" t="str">
        <f>VLOOKUP(B1589,Заказы!A:C,3,0)</f>
        <v>2023-05-24 16:32:00</v>
      </c>
      <c r="E1589" t="str">
        <f>VLOOKUP(C1589,Меню!A:E,4,0)</f>
        <v>Суши</v>
      </c>
      <c r="F1589">
        <f>VLOOKUP(C1589,Меню!A:E,5,0)</f>
        <v>200</v>
      </c>
    </row>
    <row r="1590" spans="1:6" ht="15.75" hidden="1" customHeight="1" x14ac:dyDescent="0.35">
      <c r="A1590" s="1">
        <v>1589</v>
      </c>
      <c r="B1590" s="1">
        <v>310</v>
      </c>
      <c r="C1590" s="1">
        <v>7</v>
      </c>
      <c r="D1590" t="str">
        <f>VLOOKUP(B1590,Заказы!A:C,3,0)</f>
        <v>2023-05-24 16:32:00</v>
      </c>
      <c r="E1590" t="str">
        <f>VLOOKUP(C1590,Меню!A:E,4,0)</f>
        <v>Завтрак</v>
      </c>
      <c r="F1590">
        <f>VLOOKUP(C1590,Меню!A:E,5,0)</f>
        <v>200</v>
      </c>
    </row>
    <row r="1591" spans="1:6" ht="15.75" hidden="1" customHeight="1" x14ac:dyDescent="0.35">
      <c r="A1591" s="1">
        <v>1590</v>
      </c>
      <c r="B1591" s="1">
        <v>310</v>
      </c>
      <c r="C1591" s="1">
        <v>32</v>
      </c>
      <c r="D1591" t="str">
        <f>VLOOKUP(B1591,Заказы!A:C,3,0)</f>
        <v>2023-05-24 16:32:00</v>
      </c>
      <c r="E1591" t="str">
        <f>VLOOKUP(C1591,Меню!A:E,4,0)</f>
        <v>Десерт</v>
      </c>
      <c r="F1591">
        <f>VLOOKUP(C1591,Меню!A:E,5,0)</f>
        <v>150</v>
      </c>
    </row>
    <row r="1592" spans="1:6" ht="15.75" hidden="1" customHeight="1" x14ac:dyDescent="0.35">
      <c r="A1592" s="1">
        <v>1591</v>
      </c>
      <c r="B1592" s="1">
        <v>310</v>
      </c>
      <c r="C1592" s="1">
        <v>4</v>
      </c>
      <c r="D1592" t="str">
        <f>VLOOKUP(B1592,Заказы!A:C,3,0)</f>
        <v>2023-05-24 16:32:00</v>
      </c>
      <c r="E1592" t="str">
        <f>VLOOKUP(C1592,Меню!A:E,4,0)</f>
        <v>Завтрак</v>
      </c>
      <c r="F1592">
        <f>VLOOKUP(C1592,Меню!A:E,5,0)</f>
        <v>180</v>
      </c>
    </row>
    <row r="1593" spans="1:6" ht="15.75" hidden="1" customHeight="1" x14ac:dyDescent="0.35">
      <c r="A1593" s="1">
        <v>1592</v>
      </c>
      <c r="B1593" s="1">
        <v>310</v>
      </c>
      <c r="C1593" s="1">
        <v>13</v>
      </c>
      <c r="D1593" t="str">
        <f>VLOOKUP(B1593,Заказы!A:C,3,0)</f>
        <v>2023-05-24 16:32:00</v>
      </c>
      <c r="E1593" t="str">
        <f>VLOOKUP(C1593,Меню!A:E,4,0)</f>
        <v>Первое</v>
      </c>
      <c r="F1593">
        <f>VLOOKUP(C1593,Меню!A:E,5,0)</f>
        <v>280</v>
      </c>
    </row>
    <row r="1594" spans="1:6" ht="15.75" hidden="1" customHeight="1" x14ac:dyDescent="0.35">
      <c r="A1594" s="1">
        <v>1593</v>
      </c>
      <c r="B1594" s="1">
        <v>310</v>
      </c>
      <c r="C1594" s="1">
        <v>39</v>
      </c>
      <c r="D1594" t="str">
        <f>VLOOKUP(B1594,Заказы!A:C,3,0)</f>
        <v>2023-05-24 16:32:00</v>
      </c>
      <c r="E1594" t="str">
        <f>VLOOKUP(C1594,Меню!A:E,4,0)</f>
        <v>Десерт</v>
      </c>
      <c r="F1594">
        <f>VLOOKUP(C1594,Меню!A:E,5,0)</f>
        <v>150</v>
      </c>
    </row>
    <row r="1595" spans="1:6" ht="15.75" hidden="1" customHeight="1" x14ac:dyDescent="0.35">
      <c r="A1595" s="1">
        <v>1594</v>
      </c>
      <c r="B1595" s="1">
        <v>310</v>
      </c>
      <c r="C1595" s="1">
        <v>50</v>
      </c>
      <c r="D1595" t="str">
        <f>VLOOKUP(B1595,Заказы!A:C,3,0)</f>
        <v>2023-05-24 16:32:00</v>
      </c>
      <c r="E1595" t="str">
        <f>VLOOKUP(C1595,Меню!A:E,4,0)</f>
        <v>Суши</v>
      </c>
      <c r="F1595">
        <f>VLOOKUP(C1595,Меню!A:E,5,0)</f>
        <v>200</v>
      </c>
    </row>
    <row r="1596" spans="1:6" ht="15.75" hidden="1" customHeight="1" x14ac:dyDescent="0.35">
      <c r="A1596" s="1">
        <v>1595</v>
      </c>
      <c r="B1596" s="1">
        <v>311</v>
      </c>
      <c r="C1596" s="1">
        <v>38</v>
      </c>
      <c r="D1596" t="str">
        <f>VLOOKUP(B1596,Заказы!A:C,3,0)</f>
        <v>2023-05-24 20:09:00</v>
      </c>
      <c r="E1596" t="str">
        <f>VLOOKUP(C1596,Меню!A:E,4,0)</f>
        <v>Десерт</v>
      </c>
      <c r="F1596">
        <f>VLOOKUP(C1596,Меню!A:E,5,0)</f>
        <v>150</v>
      </c>
    </row>
    <row r="1597" spans="1:6" ht="15.75" hidden="1" customHeight="1" x14ac:dyDescent="0.35">
      <c r="A1597" s="1">
        <v>1596</v>
      </c>
      <c r="B1597" s="1">
        <v>311</v>
      </c>
      <c r="C1597" s="1">
        <v>13</v>
      </c>
      <c r="D1597" t="str">
        <f>VLOOKUP(B1597,Заказы!A:C,3,0)</f>
        <v>2023-05-24 20:09:00</v>
      </c>
      <c r="E1597" t="str">
        <f>VLOOKUP(C1597,Меню!A:E,4,0)</f>
        <v>Первое</v>
      </c>
      <c r="F1597">
        <f>VLOOKUP(C1597,Меню!A:E,5,0)</f>
        <v>280</v>
      </c>
    </row>
    <row r="1598" spans="1:6" ht="15.75" hidden="1" customHeight="1" x14ac:dyDescent="0.35">
      <c r="A1598" s="1">
        <v>1597</v>
      </c>
      <c r="B1598" s="1">
        <v>312</v>
      </c>
      <c r="C1598" s="1">
        <v>15</v>
      </c>
      <c r="D1598" t="str">
        <f>VLOOKUP(B1598,Заказы!A:C,3,0)</f>
        <v>2023-05-24 22:34:00</v>
      </c>
      <c r="E1598" t="str">
        <f>VLOOKUP(C1598,Меню!A:E,4,0)</f>
        <v>Первое</v>
      </c>
      <c r="F1598">
        <f>VLOOKUP(C1598,Меню!A:E,5,0)</f>
        <v>250</v>
      </c>
    </row>
    <row r="1599" spans="1:6" ht="15.75" hidden="1" customHeight="1" x14ac:dyDescent="0.35">
      <c r="A1599" s="1">
        <v>1598</v>
      </c>
      <c r="B1599" s="1">
        <v>312</v>
      </c>
      <c r="C1599" s="1">
        <v>43</v>
      </c>
      <c r="D1599" t="str">
        <f>VLOOKUP(B1599,Заказы!A:C,3,0)</f>
        <v>2023-05-24 22:34:00</v>
      </c>
      <c r="E1599" t="str">
        <f>VLOOKUP(C1599,Меню!A:E,4,0)</f>
        <v>Суши</v>
      </c>
      <c r="F1599">
        <f>VLOOKUP(C1599,Меню!A:E,5,0)</f>
        <v>250</v>
      </c>
    </row>
    <row r="1600" spans="1:6" ht="15.75" hidden="1" customHeight="1" x14ac:dyDescent="0.35">
      <c r="A1600" s="1">
        <v>1599</v>
      </c>
      <c r="B1600" s="1">
        <v>312</v>
      </c>
      <c r="C1600" s="1">
        <v>12</v>
      </c>
      <c r="D1600" t="str">
        <f>VLOOKUP(B1600,Заказы!A:C,3,0)</f>
        <v>2023-05-24 22:34:00</v>
      </c>
      <c r="E1600" t="str">
        <f>VLOOKUP(C1600,Меню!A:E,4,0)</f>
        <v>Первое</v>
      </c>
      <c r="F1600">
        <f>VLOOKUP(C1600,Меню!A:E,5,0)</f>
        <v>300</v>
      </c>
    </row>
    <row r="1601" spans="1:6" ht="15.75" hidden="1" customHeight="1" x14ac:dyDescent="0.35">
      <c r="A1601" s="1">
        <v>1600</v>
      </c>
      <c r="B1601" s="1">
        <v>312</v>
      </c>
      <c r="C1601" s="1">
        <v>51</v>
      </c>
      <c r="D1601" t="str">
        <f>VLOOKUP(B1601,Заказы!A:C,3,0)</f>
        <v>2023-05-24 22:34:00</v>
      </c>
      <c r="E1601" t="str">
        <f>VLOOKUP(C1601,Меню!A:E,4,0)</f>
        <v>Суши</v>
      </c>
      <c r="F1601">
        <f>VLOOKUP(C1601,Меню!A:E,5,0)</f>
        <v>100</v>
      </c>
    </row>
    <row r="1602" spans="1:6" ht="15.75" hidden="1" customHeight="1" x14ac:dyDescent="0.35">
      <c r="A1602" s="1">
        <v>1601</v>
      </c>
      <c r="B1602" s="1">
        <v>312</v>
      </c>
      <c r="C1602" s="1">
        <v>4</v>
      </c>
      <c r="D1602" t="str">
        <f>VLOOKUP(B1602,Заказы!A:C,3,0)</f>
        <v>2023-05-24 22:34:00</v>
      </c>
      <c r="E1602" t="str">
        <f>VLOOKUP(C1602,Меню!A:E,4,0)</f>
        <v>Завтрак</v>
      </c>
      <c r="F1602">
        <f>VLOOKUP(C1602,Меню!A:E,5,0)</f>
        <v>180</v>
      </c>
    </row>
    <row r="1603" spans="1:6" ht="15.75" hidden="1" customHeight="1" x14ac:dyDescent="0.35">
      <c r="A1603" s="1">
        <v>1602</v>
      </c>
      <c r="B1603" s="1">
        <v>312</v>
      </c>
      <c r="C1603" s="1">
        <v>42</v>
      </c>
      <c r="D1603" t="str">
        <f>VLOOKUP(B1603,Заказы!A:C,3,0)</f>
        <v>2023-05-24 22:34:00</v>
      </c>
      <c r="E1603" t="str">
        <f>VLOOKUP(C1603,Меню!A:E,4,0)</f>
        <v>Суши</v>
      </c>
      <c r="F1603">
        <f>VLOOKUP(C1603,Меню!A:E,5,0)</f>
        <v>250</v>
      </c>
    </row>
    <row r="1604" spans="1:6" ht="15.75" hidden="1" customHeight="1" x14ac:dyDescent="0.35">
      <c r="A1604" s="1">
        <v>1603</v>
      </c>
      <c r="B1604" s="1">
        <v>312</v>
      </c>
      <c r="C1604" s="1">
        <v>53</v>
      </c>
      <c r="D1604" t="str">
        <f>VLOOKUP(B1604,Заказы!A:C,3,0)</f>
        <v>2023-05-24 22:34:00</v>
      </c>
      <c r="E1604" t="str">
        <f>VLOOKUP(C1604,Меню!A:E,4,0)</f>
        <v>Суши</v>
      </c>
      <c r="F1604">
        <f>VLOOKUP(C1604,Меню!A:E,5,0)</f>
        <v>100</v>
      </c>
    </row>
    <row r="1605" spans="1:6" ht="15.75" hidden="1" customHeight="1" x14ac:dyDescent="0.35">
      <c r="A1605" s="1">
        <v>1604</v>
      </c>
      <c r="B1605" s="1">
        <v>312</v>
      </c>
      <c r="C1605" s="1">
        <v>34</v>
      </c>
      <c r="D1605" t="str">
        <f>VLOOKUP(B1605,Заказы!A:C,3,0)</f>
        <v>2023-05-24 22:34:00</v>
      </c>
      <c r="E1605" t="str">
        <f>VLOOKUP(C1605,Меню!A:E,4,0)</f>
        <v>Десерт</v>
      </c>
      <c r="F1605">
        <f>VLOOKUP(C1605,Меню!A:E,5,0)</f>
        <v>150</v>
      </c>
    </row>
    <row r="1606" spans="1:6" ht="15.75" hidden="1" customHeight="1" x14ac:dyDescent="0.35">
      <c r="A1606" s="1">
        <v>1605</v>
      </c>
      <c r="B1606" s="1">
        <v>312</v>
      </c>
      <c r="C1606" s="1">
        <v>30</v>
      </c>
      <c r="D1606" t="str">
        <f>VLOOKUP(B1606,Заказы!A:C,3,0)</f>
        <v>2023-05-24 22:34:00</v>
      </c>
      <c r="E1606" t="str">
        <f>VLOOKUP(C1606,Меню!A:E,4,0)</f>
        <v>Салат</v>
      </c>
      <c r="F1606">
        <f>VLOOKUP(C1606,Меню!A:E,5,0)</f>
        <v>250</v>
      </c>
    </row>
    <row r="1607" spans="1:6" ht="15.75" hidden="1" customHeight="1" x14ac:dyDescent="0.35">
      <c r="A1607" s="1">
        <v>1606</v>
      </c>
      <c r="B1607" s="1">
        <v>312</v>
      </c>
      <c r="C1607" s="1">
        <v>6</v>
      </c>
      <c r="D1607" t="str">
        <f>VLOOKUP(B1607,Заказы!A:C,3,0)</f>
        <v>2023-05-24 22:34:00</v>
      </c>
      <c r="E1607" t="str">
        <f>VLOOKUP(C1607,Меню!A:E,4,0)</f>
        <v>Завтрак</v>
      </c>
      <c r="F1607">
        <f>VLOOKUP(C1607,Меню!A:E,5,0)</f>
        <v>300</v>
      </c>
    </row>
    <row r="1608" spans="1:6" ht="15.75" hidden="1" customHeight="1" x14ac:dyDescent="0.35">
      <c r="A1608" s="1">
        <v>1607</v>
      </c>
      <c r="B1608" s="1">
        <v>313</v>
      </c>
      <c r="C1608" s="1">
        <v>52</v>
      </c>
      <c r="D1608" t="str">
        <f>VLOOKUP(B1608,Заказы!A:C,3,0)</f>
        <v>2023-05-25 15:47:00</v>
      </c>
      <c r="E1608" t="str">
        <f>VLOOKUP(C1608,Меню!A:E,4,0)</f>
        <v>Суши</v>
      </c>
      <c r="F1608">
        <f>VLOOKUP(C1608,Меню!A:E,5,0)</f>
        <v>100</v>
      </c>
    </row>
    <row r="1609" spans="1:6" ht="15.75" hidden="1" customHeight="1" x14ac:dyDescent="0.35">
      <c r="A1609" s="1">
        <v>1608</v>
      </c>
      <c r="B1609" s="1">
        <v>313</v>
      </c>
      <c r="C1609" s="1">
        <v>59</v>
      </c>
      <c r="D1609" t="str">
        <f>VLOOKUP(B1609,Заказы!A:C,3,0)</f>
        <v>2023-05-25 15:47:00</v>
      </c>
      <c r="E1609" t="str">
        <f>VLOOKUP(C1609,Меню!A:E,4,0)</f>
        <v>Суши</v>
      </c>
      <c r="F1609">
        <f>VLOOKUP(C1609,Меню!A:E,5,0)</f>
        <v>300</v>
      </c>
    </row>
    <row r="1610" spans="1:6" ht="15.75" hidden="1" customHeight="1" x14ac:dyDescent="0.35">
      <c r="A1610" s="1">
        <v>1609</v>
      </c>
      <c r="B1610" s="1">
        <v>313</v>
      </c>
      <c r="C1610" s="1">
        <v>49</v>
      </c>
      <c r="D1610" t="str">
        <f>VLOOKUP(B1610,Заказы!A:C,3,0)</f>
        <v>2023-05-25 15:47:00</v>
      </c>
      <c r="E1610" t="str">
        <f>VLOOKUP(C1610,Меню!A:E,4,0)</f>
        <v>Суши</v>
      </c>
      <c r="F1610">
        <f>VLOOKUP(C1610,Меню!A:E,5,0)</f>
        <v>200</v>
      </c>
    </row>
    <row r="1611" spans="1:6" ht="15.75" hidden="1" customHeight="1" x14ac:dyDescent="0.35">
      <c r="A1611" s="1">
        <v>1610</v>
      </c>
      <c r="B1611" s="1">
        <v>313</v>
      </c>
      <c r="C1611" s="1">
        <v>55</v>
      </c>
      <c r="D1611" t="str">
        <f>VLOOKUP(B1611,Заказы!A:C,3,0)</f>
        <v>2023-05-25 15:47:00</v>
      </c>
      <c r="E1611" t="str">
        <f>VLOOKUP(C1611,Меню!A:E,4,0)</f>
        <v>Суши</v>
      </c>
      <c r="F1611">
        <f>VLOOKUP(C1611,Меню!A:E,5,0)</f>
        <v>100</v>
      </c>
    </row>
    <row r="1612" spans="1:6" ht="15.75" hidden="1" customHeight="1" x14ac:dyDescent="0.35">
      <c r="A1612" s="1">
        <v>1611</v>
      </c>
      <c r="B1612" s="1">
        <v>313</v>
      </c>
      <c r="C1612" s="1">
        <v>54</v>
      </c>
      <c r="D1612" t="str">
        <f>VLOOKUP(B1612,Заказы!A:C,3,0)</f>
        <v>2023-05-25 15:47:00</v>
      </c>
      <c r="E1612" t="str">
        <f>VLOOKUP(C1612,Меню!A:E,4,0)</f>
        <v>Суши</v>
      </c>
      <c r="F1612">
        <f>VLOOKUP(C1612,Меню!A:E,5,0)</f>
        <v>100</v>
      </c>
    </row>
    <row r="1613" spans="1:6" ht="15.75" hidden="1" customHeight="1" x14ac:dyDescent="0.35">
      <c r="A1613" s="1">
        <v>1612</v>
      </c>
      <c r="B1613" s="1">
        <v>313</v>
      </c>
      <c r="C1613" s="1">
        <v>44</v>
      </c>
      <c r="D1613" t="str">
        <f>VLOOKUP(B1613,Заказы!A:C,3,0)</f>
        <v>2023-05-25 15:47:00</v>
      </c>
      <c r="E1613" t="str">
        <f>VLOOKUP(C1613,Меню!A:E,4,0)</f>
        <v>Суши</v>
      </c>
      <c r="F1613">
        <f>VLOOKUP(C1613,Меню!A:E,5,0)</f>
        <v>250</v>
      </c>
    </row>
    <row r="1614" spans="1:6" ht="15.75" hidden="1" customHeight="1" x14ac:dyDescent="0.35">
      <c r="A1614" s="1">
        <v>1613</v>
      </c>
      <c r="B1614" s="1">
        <v>313</v>
      </c>
      <c r="C1614" s="1">
        <v>30</v>
      </c>
      <c r="D1614" t="str">
        <f>VLOOKUP(B1614,Заказы!A:C,3,0)</f>
        <v>2023-05-25 15:47:00</v>
      </c>
      <c r="E1614" t="str">
        <f>VLOOKUP(C1614,Меню!A:E,4,0)</f>
        <v>Салат</v>
      </c>
      <c r="F1614">
        <f>VLOOKUP(C1614,Меню!A:E,5,0)</f>
        <v>250</v>
      </c>
    </row>
    <row r="1615" spans="1:6" ht="15.75" hidden="1" customHeight="1" x14ac:dyDescent="0.35">
      <c r="A1615" s="1">
        <v>1614</v>
      </c>
      <c r="B1615" s="1">
        <v>313</v>
      </c>
      <c r="C1615" s="1">
        <v>46</v>
      </c>
      <c r="D1615" t="str">
        <f>VLOOKUP(B1615,Заказы!A:C,3,0)</f>
        <v>2023-05-25 15:47:00</v>
      </c>
      <c r="E1615" t="str">
        <f>VLOOKUP(C1615,Меню!A:E,4,0)</f>
        <v>Суши</v>
      </c>
      <c r="F1615">
        <f>VLOOKUP(C1615,Меню!A:E,5,0)</f>
        <v>200</v>
      </c>
    </row>
    <row r="1616" spans="1:6" ht="15.75" hidden="1" customHeight="1" x14ac:dyDescent="0.35">
      <c r="A1616" s="1">
        <v>1615</v>
      </c>
      <c r="B1616" s="1">
        <v>314</v>
      </c>
      <c r="C1616" s="1">
        <v>14</v>
      </c>
      <c r="D1616" t="str">
        <f>VLOOKUP(B1616,Заказы!A:C,3,0)</f>
        <v>2023-05-25 17:47:00</v>
      </c>
      <c r="E1616" t="str">
        <f>VLOOKUP(C1616,Меню!A:E,4,0)</f>
        <v>Первое</v>
      </c>
      <c r="F1616">
        <f>VLOOKUP(C1616,Меню!A:E,5,0)</f>
        <v>350</v>
      </c>
    </row>
    <row r="1617" spans="1:6" ht="15.75" hidden="1" customHeight="1" x14ac:dyDescent="0.35">
      <c r="A1617" s="1">
        <v>1616</v>
      </c>
      <c r="B1617" s="1">
        <v>314</v>
      </c>
      <c r="C1617" s="1">
        <v>40</v>
      </c>
      <c r="D1617" t="str">
        <f>VLOOKUP(B1617,Заказы!A:C,3,0)</f>
        <v>2023-05-25 17:47:00</v>
      </c>
      <c r="E1617" t="str">
        <f>VLOOKUP(C1617,Меню!A:E,4,0)</f>
        <v>Десерт</v>
      </c>
      <c r="F1617">
        <f>VLOOKUP(C1617,Меню!A:E,5,0)</f>
        <v>150</v>
      </c>
    </row>
    <row r="1618" spans="1:6" ht="15.75" hidden="1" customHeight="1" x14ac:dyDescent="0.35">
      <c r="A1618" s="1">
        <v>1617</v>
      </c>
      <c r="B1618" s="1">
        <v>314</v>
      </c>
      <c r="C1618" s="1">
        <v>45</v>
      </c>
      <c r="D1618" t="str">
        <f>VLOOKUP(B1618,Заказы!A:C,3,0)</f>
        <v>2023-05-25 17:47:00</v>
      </c>
      <c r="E1618" t="str">
        <f>VLOOKUP(C1618,Меню!A:E,4,0)</f>
        <v>Суши</v>
      </c>
      <c r="F1618">
        <f>VLOOKUP(C1618,Меню!A:E,5,0)</f>
        <v>200</v>
      </c>
    </row>
    <row r="1619" spans="1:6" ht="15.75" hidden="1" customHeight="1" x14ac:dyDescent="0.35">
      <c r="A1619" s="1">
        <v>1618</v>
      </c>
      <c r="B1619" s="1">
        <v>314</v>
      </c>
      <c r="C1619" s="1">
        <v>13</v>
      </c>
      <c r="D1619" t="str">
        <f>VLOOKUP(B1619,Заказы!A:C,3,0)</f>
        <v>2023-05-25 17:47:00</v>
      </c>
      <c r="E1619" t="str">
        <f>VLOOKUP(C1619,Меню!A:E,4,0)</f>
        <v>Первое</v>
      </c>
      <c r="F1619">
        <f>VLOOKUP(C1619,Меню!A:E,5,0)</f>
        <v>280</v>
      </c>
    </row>
    <row r="1620" spans="1:6" ht="15.75" hidden="1" customHeight="1" x14ac:dyDescent="0.35">
      <c r="A1620" s="1">
        <v>1619</v>
      </c>
      <c r="B1620" s="1">
        <v>314</v>
      </c>
      <c r="C1620" s="1">
        <v>28</v>
      </c>
      <c r="D1620" t="str">
        <f>VLOOKUP(B1620,Заказы!A:C,3,0)</f>
        <v>2023-05-25 17:47:00</v>
      </c>
      <c r="E1620" t="str">
        <f>VLOOKUP(C1620,Меню!A:E,4,0)</f>
        <v>Салат</v>
      </c>
      <c r="F1620">
        <f>VLOOKUP(C1620,Меню!A:E,5,0)</f>
        <v>250</v>
      </c>
    </row>
    <row r="1621" spans="1:6" ht="15.75" hidden="1" customHeight="1" x14ac:dyDescent="0.35">
      <c r="A1621" s="1">
        <v>1620</v>
      </c>
      <c r="B1621" s="1">
        <v>314</v>
      </c>
      <c r="C1621" s="1">
        <v>30</v>
      </c>
      <c r="D1621" t="str">
        <f>VLOOKUP(B1621,Заказы!A:C,3,0)</f>
        <v>2023-05-25 17:47:00</v>
      </c>
      <c r="E1621" t="str">
        <f>VLOOKUP(C1621,Меню!A:E,4,0)</f>
        <v>Салат</v>
      </c>
      <c r="F1621">
        <f>VLOOKUP(C1621,Меню!A:E,5,0)</f>
        <v>250</v>
      </c>
    </row>
    <row r="1622" spans="1:6" ht="15.75" hidden="1" customHeight="1" x14ac:dyDescent="0.35">
      <c r="A1622" s="1">
        <v>1621</v>
      </c>
      <c r="B1622" s="1">
        <v>314</v>
      </c>
      <c r="C1622" s="1">
        <v>34</v>
      </c>
      <c r="D1622" t="str">
        <f>VLOOKUP(B1622,Заказы!A:C,3,0)</f>
        <v>2023-05-25 17:47:00</v>
      </c>
      <c r="E1622" t="str">
        <f>VLOOKUP(C1622,Меню!A:E,4,0)</f>
        <v>Десерт</v>
      </c>
      <c r="F1622">
        <f>VLOOKUP(C1622,Меню!A:E,5,0)</f>
        <v>150</v>
      </c>
    </row>
    <row r="1623" spans="1:6" ht="15.75" hidden="1" customHeight="1" x14ac:dyDescent="0.35">
      <c r="A1623" s="1">
        <v>1622</v>
      </c>
      <c r="B1623" s="1">
        <v>314</v>
      </c>
      <c r="C1623" s="1">
        <v>2</v>
      </c>
      <c r="D1623" t="str">
        <f>VLOOKUP(B1623,Заказы!A:C,3,0)</f>
        <v>2023-05-25 17:47:00</v>
      </c>
      <c r="E1623" t="str">
        <f>VLOOKUP(C1623,Меню!A:E,4,0)</f>
        <v>Завтрак</v>
      </c>
      <c r="F1623">
        <f>VLOOKUP(C1623,Меню!A:E,5,0)</f>
        <v>250</v>
      </c>
    </row>
    <row r="1624" spans="1:6" ht="15.75" hidden="1" customHeight="1" x14ac:dyDescent="0.35">
      <c r="A1624" s="1">
        <v>1623</v>
      </c>
      <c r="B1624" s="1">
        <v>314</v>
      </c>
      <c r="C1624" s="1">
        <v>2</v>
      </c>
      <c r="D1624" t="str">
        <f>VLOOKUP(B1624,Заказы!A:C,3,0)</f>
        <v>2023-05-25 17:47:00</v>
      </c>
      <c r="E1624" t="str">
        <f>VLOOKUP(C1624,Меню!A:E,4,0)</f>
        <v>Завтрак</v>
      </c>
      <c r="F1624">
        <f>VLOOKUP(C1624,Меню!A:E,5,0)</f>
        <v>250</v>
      </c>
    </row>
    <row r="1625" spans="1:6" ht="15.75" hidden="1" customHeight="1" x14ac:dyDescent="0.35">
      <c r="A1625" s="1">
        <v>1624</v>
      </c>
      <c r="B1625" s="1">
        <v>314</v>
      </c>
      <c r="C1625" s="1">
        <v>12</v>
      </c>
      <c r="D1625" t="str">
        <f>VLOOKUP(B1625,Заказы!A:C,3,0)</f>
        <v>2023-05-25 17:47:00</v>
      </c>
      <c r="E1625" t="str">
        <f>VLOOKUP(C1625,Меню!A:E,4,0)</f>
        <v>Первое</v>
      </c>
      <c r="F1625">
        <f>VLOOKUP(C1625,Меню!A:E,5,0)</f>
        <v>300</v>
      </c>
    </row>
    <row r="1626" spans="1:6" ht="15.75" hidden="1" customHeight="1" x14ac:dyDescent="0.35">
      <c r="A1626" s="1">
        <v>1625</v>
      </c>
      <c r="B1626" s="1">
        <v>314</v>
      </c>
      <c r="C1626" s="1">
        <v>50</v>
      </c>
      <c r="D1626" t="str">
        <f>VLOOKUP(B1626,Заказы!A:C,3,0)</f>
        <v>2023-05-25 17:47:00</v>
      </c>
      <c r="E1626" t="str">
        <f>VLOOKUP(C1626,Меню!A:E,4,0)</f>
        <v>Суши</v>
      </c>
      <c r="F1626">
        <f>VLOOKUP(C1626,Меню!A:E,5,0)</f>
        <v>200</v>
      </c>
    </row>
    <row r="1627" spans="1:6" ht="15.75" hidden="1" customHeight="1" x14ac:dyDescent="0.35">
      <c r="A1627" s="1">
        <v>1626</v>
      </c>
      <c r="B1627" s="1">
        <v>314</v>
      </c>
      <c r="C1627" s="1">
        <v>24</v>
      </c>
      <c r="D1627" t="str">
        <f>VLOOKUP(B1627,Заказы!A:C,3,0)</f>
        <v>2023-05-25 17:47:00</v>
      </c>
      <c r="E1627" t="str">
        <f>VLOOKUP(C1627,Меню!A:E,4,0)</f>
        <v>Салат</v>
      </c>
      <c r="F1627">
        <f>VLOOKUP(C1627,Меню!A:E,5,0)</f>
        <v>250</v>
      </c>
    </row>
    <row r="1628" spans="1:6" ht="15.75" hidden="1" customHeight="1" x14ac:dyDescent="0.35">
      <c r="A1628" s="1">
        <v>1627</v>
      </c>
      <c r="B1628" s="1">
        <v>315</v>
      </c>
      <c r="C1628" s="1">
        <v>43</v>
      </c>
      <c r="D1628" t="str">
        <f>VLOOKUP(B1628,Заказы!A:C,3,0)</f>
        <v>2023-05-25 20:16:00</v>
      </c>
      <c r="E1628" t="str">
        <f>VLOOKUP(C1628,Меню!A:E,4,0)</f>
        <v>Суши</v>
      </c>
      <c r="F1628">
        <f>VLOOKUP(C1628,Меню!A:E,5,0)</f>
        <v>250</v>
      </c>
    </row>
    <row r="1629" spans="1:6" ht="15.75" hidden="1" customHeight="1" x14ac:dyDescent="0.35">
      <c r="A1629" s="1">
        <v>1628</v>
      </c>
      <c r="B1629" s="1">
        <v>315</v>
      </c>
      <c r="C1629" s="1">
        <v>37</v>
      </c>
      <c r="D1629" t="str">
        <f>VLOOKUP(B1629,Заказы!A:C,3,0)</f>
        <v>2023-05-25 20:16:00</v>
      </c>
      <c r="E1629" t="str">
        <f>VLOOKUP(C1629,Меню!A:E,4,0)</f>
        <v>Десерт</v>
      </c>
      <c r="F1629">
        <f>VLOOKUP(C1629,Меню!A:E,5,0)</f>
        <v>100</v>
      </c>
    </row>
    <row r="1630" spans="1:6" ht="15.75" hidden="1" customHeight="1" x14ac:dyDescent="0.35">
      <c r="A1630" s="1">
        <v>1629</v>
      </c>
      <c r="B1630" s="1">
        <v>315</v>
      </c>
      <c r="C1630" s="1">
        <v>14</v>
      </c>
      <c r="D1630" t="str">
        <f>VLOOKUP(B1630,Заказы!A:C,3,0)</f>
        <v>2023-05-25 20:16:00</v>
      </c>
      <c r="E1630" t="str">
        <f>VLOOKUP(C1630,Меню!A:E,4,0)</f>
        <v>Первое</v>
      </c>
      <c r="F1630">
        <f>VLOOKUP(C1630,Меню!A:E,5,0)</f>
        <v>350</v>
      </c>
    </row>
    <row r="1631" spans="1:6" ht="15.75" hidden="1" customHeight="1" x14ac:dyDescent="0.35">
      <c r="A1631" s="1">
        <v>1630</v>
      </c>
      <c r="B1631" s="1">
        <v>316</v>
      </c>
      <c r="C1631" s="1">
        <v>26</v>
      </c>
      <c r="D1631" t="str">
        <f>VLOOKUP(B1631,Заказы!A:C,3,0)</f>
        <v>2023-05-26 20:45:00</v>
      </c>
      <c r="E1631" t="str">
        <f>VLOOKUP(C1631,Меню!A:E,4,0)</f>
        <v>Салат</v>
      </c>
      <c r="F1631">
        <f>VLOOKUP(C1631,Меню!A:E,5,0)</f>
        <v>250</v>
      </c>
    </row>
    <row r="1632" spans="1:6" ht="15.75" hidden="1" customHeight="1" x14ac:dyDescent="0.35">
      <c r="A1632" s="1">
        <v>1631</v>
      </c>
      <c r="B1632" s="1">
        <v>316</v>
      </c>
      <c r="C1632" s="1">
        <v>27</v>
      </c>
      <c r="D1632" t="str">
        <f>VLOOKUP(B1632,Заказы!A:C,3,0)</f>
        <v>2023-05-26 20:45:00</v>
      </c>
      <c r="E1632" t="str">
        <f>VLOOKUP(C1632,Меню!A:E,4,0)</f>
        <v>Салат</v>
      </c>
      <c r="F1632">
        <f>VLOOKUP(C1632,Меню!A:E,5,0)</f>
        <v>250</v>
      </c>
    </row>
    <row r="1633" spans="1:6" ht="15.75" hidden="1" customHeight="1" x14ac:dyDescent="0.35">
      <c r="A1633" s="1">
        <v>1632</v>
      </c>
      <c r="B1633" s="1">
        <v>317</v>
      </c>
      <c r="C1633" s="1">
        <v>45</v>
      </c>
      <c r="D1633" t="str">
        <f>VLOOKUP(B1633,Заказы!A:C,3,0)</f>
        <v>2023-05-26 20:48:00</v>
      </c>
      <c r="E1633" t="str">
        <f>VLOOKUP(C1633,Меню!A:E,4,0)</f>
        <v>Суши</v>
      </c>
      <c r="F1633">
        <f>VLOOKUP(C1633,Меню!A:E,5,0)</f>
        <v>200</v>
      </c>
    </row>
    <row r="1634" spans="1:6" ht="15.75" hidden="1" customHeight="1" x14ac:dyDescent="0.35">
      <c r="A1634" s="1">
        <v>1633</v>
      </c>
      <c r="B1634" s="1">
        <v>317</v>
      </c>
      <c r="C1634" s="1">
        <v>51</v>
      </c>
      <c r="D1634" t="str">
        <f>VLOOKUP(B1634,Заказы!A:C,3,0)</f>
        <v>2023-05-26 20:48:00</v>
      </c>
      <c r="E1634" t="str">
        <f>VLOOKUP(C1634,Меню!A:E,4,0)</f>
        <v>Суши</v>
      </c>
      <c r="F1634">
        <f>VLOOKUP(C1634,Меню!A:E,5,0)</f>
        <v>100</v>
      </c>
    </row>
    <row r="1635" spans="1:6" ht="15.75" hidden="1" customHeight="1" x14ac:dyDescent="0.35">
      <c r="A1635" s="1">
        <v>1634</v>
      </c>
      <c r="B1635" s="1">
        <v>317</v>
      </c>
      <c r="C1635" s="1">
        <v>29</v>
      </c>
      <c r="D1635" t="str">
        <f>VLOOKUP(B1635,Заказы!A:C,3,0)</f>
        <v>2023-05-26 20:48:00</v>
      </c>
      <c r="E1635" t="str">
        <f>VLOOKUP(C1635,Меню!A:E,4,0)</f>
        <v>Салат</v>
      </c>
      <c r="F1635">
        <f>VLOOKUP(C1635,Меню!A:E,5,0)</f>
        <v>250</v>
      </c>
    </row>
    <row r="1636" spans="1:6" ht="15.75" hidden="1" customHeight="1" x14ac:dyDescent="0.35">
      <c r="A1636" s="1">
        <v>1635</v>
      </c>
      <c r="B1636" s="1">
        <v>317</v>
      </c>
      <c r="C1636" s="1">
        <v>55</v>
      </c>
      <c r="D1636" t="str">
        <f>VLOOKUP(B1636,Заказы!A:C,3,0)</f>
        <v>2023-05-26 20:48:00</v>
      </c>
      <c r="E1636" t="str">
        <f>VLOOKUP(C1636,Меню!A:E,4,0)</f>
        <v>Суши</v>
      </c>
      <c r="F1636">
        <f>VLOOKUP(C1636,Меню!A:E,5,0)</f>
        <v>100</v>
      </c>
    </row>
    <row r="1637" spans="1:6" ht="15.75" hidden="1" customHeight="1" x14ac:dyDescent="0.35">
      <c r="A1637" s="1">
        <v>1636</v>
      </c>
      <c r="B1637" s="1">
        <v>317</v>
      </c>
      <c r="C1637" s="1">
        <v>30</v>
      </c>
      <c r="D1637" t="str">
        <f>VLOOKUP(B1637,Заказы!A:C,3,0)</f>
        <v>2023-05-26 20:48:00</v>
      </c>
      <c r="E1637" t="str">
        <f>VLOOKUP(C1637,Меню!A:E,4,0)</f>
        <v>Салат</v>
      </c>
      <c r="F1637">
        <f>VLOOKUP(C1637,Меню!A:E,5,0)</f>
        <v>250</v>
      </c>
    </row>
    <row r="1638" spans="1:6" ht="15.75" hidden="1" customHeight="1" x14ac:dyDescent="0.35">
      <c r="A1638" s="1">
        <v>1637</v>
      </c>
      <c r="B1638" s="1">
        <v>318</v>
      </c>
      <c r="C1638" s="1">
        <v>56</v>
      </c>
      <c r="D1638" t="str">
        <f>VLOOKUP(B1638,Заказы!A:C,3,0)</f>
        <v>2023-05-26 21:04:00</v>
      </c>
      <c r="E1638" t="str">
        <f>VLOOKUP(C1638,Меню!A:E,4,0)</f>
        <v>Суши</v>
      </c>
      <c r="F1638">
        <f>VLOOKUP(C1638,Меню!A:E,5,0)</f>
        <v>200</v>
      </c>
    </row>
    <row r="1639" spans="1:6" ht="15.75" hidden="1" customHeight="1" x14ac:dyDescent="0.35">
      <c r="A1639" s="1">
        <v>1638</v>
      </c>
      <c r="B1639" s="1">
        <v>319</v>
      </c>
      <c r="C1639" s="1">
        <v>47</v>
      </c>
      <c r="D1639" t="str">
        <f>VLOOKUP(B1639,Заказы!A:C,3,0)</f>
        <v>2023-05-27 16:03:00</v>
      </c>
      <c r="E1639" t="str">
        <f>VLOOKUP(C1639,Меню!A:E,4,0)</f>
        <v>Суши</v>
      </c>
      <c r="F1639">
        <f>VLOOKUP(C1639,Меню!A:E,5,0)</f>
        <v>200</v>
      </c>
    </row>
    <row r="1640" spans="1:6" ht="15.75" hidden="1" customHeight="1" x14ac:dyDescent="0.35">
      <c r="A1640" s="1">
        <v>1639</v>
      </c>
      <c r="B1640" s="1">
        <v>319</v>
      </c>
      <c r="C1640" s="1">
        <v>50</v>
      </c>
      <c r="D1640" t="str">
        <f>VLOOKUP(B1640,Заказы!A:C,3,0)</f>
        <v>2023-05-27 16:03:00</v>
      </c>
      <c r="E1640" t="str">
        <f>VLOOKUP(C1640,Меню!A:E,4,0)</f>
        <v>Суши</v>
      </c>
      <c r="F1640">
        <f>VLOOKUP(C1640,Меню!A:E,5,0)</f>
        <v>200</v>
      </c>
    </row>
    <row r="1641" spans="1:6" ht="15.75" hidden="1" customHeight="1" x14ac:dyDescent="0.35">
      <c r="A1641" s="1">
        <v>1640</v>
      </c>
      <c r="B1641" s="1">
        <v>319</v>
      </c>
      <c r="C1641" s="1">
        <v>18</v>
      </c>
      <c r="D1641" t="str">
        <f>VLOOKUP(B1641,Заказы!A:C,3,0)</f>
        <v>2023-05-27 16:03:00</v>
      </c>
      <c r="E1641" t="str">
        <f>VLOOKUP(C1641,Меню!A:E,4,0)</f>
        <v>Первое</v>
      </c>
      <c r="F1641">
        <f>VLOOKUP(C1641,Меню!A:E,5,0)</f>
        <v>300</v>
      </c>
    </row>
    <row r="1642" spans="1:6" ht="15.75" hidden="1" customHeight="1" x14ac:dyDescent="0.35">
      <c r="A1642" s="1">
        <v>1641</v>
      </c>
      <c r="B1642" s="1">
        <v>319</v>
      </c>
      <c r="C1642" s="1">
        <v>5</v>
      </c>
      <c r="D1642" t="str">
        <f>VLOOKUP(B1642,Заказы!A:C,3,0)</f>
        <v>2023-05-27 16:03:00</v>
      </c>
      <c r="E1642" t="str">
        <f>VLOOKUP(C1642,Меню!A:E,4,0)</f>
        <v>Завтрак</v>
      </c>
      <c r="F1642">
        <f>VLOOKUP(C1642,Меню!A:E,5,0)</f>
        <v>220</v>
      </c>
    </row>
    <row r="1643" spans="1:6" ht="15.75" hidden="1" customHeight="1" x14ac:dyDescent="0.35">
      <c r="A1643" s="1">
        <v>1642</v>
      </c>
      <c r="B1643" s="1">
        <v>320</v>
      </c>
      <c r="C1643" s="1">
        <v>19</v>
      </c>
      <c r="D1643" t="str">
        <f>VLOOKUP(B1643,Заказы!A:C,3,0)</f>
        <v>2023-05-27 17:15:00</v>
      </c>
      <c r="E1643" t="str">
        <f>VLOOKUP(C1643,Меню!A:E,4,0)</f>
        <v>Первое</v>
      </c>
      <c r="F1643">
        <f>VLOOKUP(C1643,Меню!A:E,5,0)</f>
        <v>300</v>
      </c>
    </row>
    <row r="1644" spans="1:6" ht="15.75" hidden="1" customHeight="1" x14ac:dyDescent="0.35">
      <c r="A1644" s="1">
        <v>1643</v>
      </c>
      <c r="B1644" s="1">
        <v>320</v>
      </c>
      <c r="C1644" s="1">
        <v>39</v>
      </c>
      <c r="D1644" t="str">
        <f>VLOOKUP(B1644,Заказы!A:C,3,0)</f>
        <v>2023-05-27 17:15:00</v>
      </c>
      <c r="E1644" t="str">
        <f>VLOOKUP(C1644,Меню!A:E,4,0)</f>
        <v>Десерт</v>
      </c>
      <c r="F1644">
        <f>VLOOKUP(C1644,Меню!A:E,5,0)</f>
        <v>150</v>
      </c>
    </row>
    <row r="1645" spans="1:6" ht="15.75" hidden="1" customHeight="1" x14ac:dyDescent="0.35">
      <c r="A1645" s="1">
        <v>1644</v>
      </c>
      <c r="B1645" s="1">
        <v>320</v>
      </c>
      <c r="C1645" s="1">
        <v>40</v>
      </c>
      <c r="D1645" t="str">
        <f>VLOOKUP(B1645,Заказы!A:C,3,0)</f>
        <v>2023-05-27 17:15:00</v>
      </c>
      <c r="E1645" t="str">
        <f>VLOOKUP(C1645,Меню!A:E,4,0)</f>
        <v>Десерт</v>
      </c>
      <c r="F1645">
        <f>VLOOKUP(C1645,Меню!A:E,5,0)</f>
        <v>150</v>
      </c>
    </row>
    <row r="1646" spans="1:6" ht="15.75" hidden="1" customHeight="1" x14ac:dyDescent="0.35">
      <c r="A1646" s="1">
        <v>1645</v>
      </c>
      <c r="B1646" s="1">
        <v>320</v>
      </c>
      <c r="C1646" s="1">
        <v>24</v>
      </c>
      <c r="D1646" t="str">
        <f>VLOOKUP(B1646,Заказы!A:C,3,0)</f>
        <v>2023-05-27 17:15:00</v>
      </c>
      <c r="E1646" t="str">
        <f>VLOOKUP(C1646,Меню!A:E,4,0)</f>
        <v>Салат</v>
      </c>
      <c r="F1646">
        <f>VLOOKUP(C1646,Меню!A:E,5,0)</f>
        <v>250</v>
      </c>
    </row>
    <row r="1647" spans="1:6" ht="15.75" hidden="1" customHeight="1" x14ac:dyDescent="0.35">
      <c r="A1647" s="1">
        <v>1646</v>
      </c>
      <c r="B1647" s="1">
        <v>320</v>
      </c>
      <c r="C1647" s="1">
        <v>59</v>
      </c>
      <c r="D1647" t="str">
        <f>VLOOKUP(B1647,Заказы!A:C,3,0)</f>
        <v>2023-05-27 17:15:00</v>
      </c>
      <c r="E1647" t="str">
        <f>VLOOKUP(C1647,Меню!A:E,4,0)</f>
        <v>Суши</v>
      </c>
      <c r="F1647">
        <f>VLOOKUP(C1647,Меню!A:E,5,0)</f>
        <v>300</v>
      </c>
    </row>
    <row r="1648" spans="1:6" ht="15.75" hidden="1" customHeight="1" x14ac:dyDescent="0.35">
      <c r="A1648" s="1">
        <v>1647</v>
      </c>
      <c r="B1648" s="1">
        <v>320</v>
      </c>
      <c r="C1648" s="1">
        <v>58</v>
      </c>
      <c r="D1648" t="str">
        <f>VLOOKUP(B1648,Заказы!A:C,3,0)</f>
        <v>2023-05-27 17:15:00</v>
      </c>
      <c r="E1648" t="str">
        <f>VLOOKUP(C1648,Меню!A:E,4,0)</f>
        <v>Суши</v>
      </c>
      <c r="F1648">
        <f>VLOOKUP(C1648,Меню!A:E,5,0)</f>
        <v>200</v>
      </c>
    </row>
    <row r="1649" spans="1:6" ht="15.75" hidden="1" customHeight="1" x14ac:dyDescent="0.35">
      <c r="A1649" s="1">
        <v>1648</v>
      </c>
      <c r="B1649" s="1">
        <v>320</v>
      </c>
      <c r="C1649" s="1">
        <v>30</v>
      </c>
      <c r="D1649" t="str">
        <f>VLOOKUP(B1649,Заказы!A:C,3,0)</f>
        <v>2023-05-27 17:15:00</v>
      </c>
      <c r="E1649" t="str">
        <f>VLOOKUP(C1649,Меню!A:E,4,0)</f>
        <v>Салат</v>
      </c>
      <c r="F1649">
        <f>VLOOKUP(C1649,Меню!A:E,5,0)</f>
        <v>250</v>
      </c>
    </row>
    <row r="1650" spans="1:6" ht="15.75" hidden="1" customHeight="1" x14ac:dyDescent="0.35">
      <c r="A1650" s="1">
        <v>1649</v>
      </c>
      <c r="B1650" s="1">
        <v>320</v>
      </c>
      <c r="C1650" s="1">
        <v>25</v>
      </c>
      <c r="D1650" t="str">
        <f>VLOOKUP(B1650,Заказы!A:C,3,0)</f>
        <v>2023-05-27 17:15:00</v>
      </c>
      <c r="E1650" t="str">
        <f>VLOOKUP(C1650,Меню!A:E,4,0)</f>
        <v>Салат</v>
      </c>
      <c r="F1650">
        <f>VLOOKUP(C1650,Меню!A:E,5,0)</f>
        <v>250</v>
      </c>
    </row>
    <row r="1651" spans="1:6" ht="15.75" hidden="1" customHeight="1" x14ac:dyDescent="0.35">
      <c r="A1651" s="1">
        <v>1650</v>
      </c>
      <c r="B1651" s="1">
        <v>321</v>
      </c>
      <c r="C1651" s="1">
        <v>58</v>
      </c>
      <c r="D1651" t="str">
        <f>VLOOKUP(B1651,Заказы!A:C,3,0)</f>
        <v>2023-05-27 18:53:00</v>
      </c>
      <c r="E1651" t="str">
        <f>VLOOKUP(C1651,Меню!A:E,4,0)</f>
        <v>Суши</v>
      </c>
      <c r="F1651">
        <f>VLOOKUP(C1651,Меню!A:E,5,0)</f>
        <v>200</v>
      </c>
    </row>
    <row r="1652" spans="1:6" ht="15.75" hidden="1" customHeight="1" x14ac:dyDescent="0.35">
      <c r="A1652" s="1">
        <v>1651</v>
      </c>
      <c r="B1652" s="1">
        <v>321</v>
      </c>
      <c r="C1652" s="1">
        <v>23</v>
      </c>
      <c r="D1652" t="str">
        <f>VLOOKUP(B1652,Заказы!A:C,3,0)</f>
        <v>2023-05-27 18:53:00</v>
      </c>
      <c r="E1652" t="str">
        <f>VLOOKUP(C1652,Меню!A:E,4,0)</f>
        <v>Салат</v>
      </c>
      <c r="F1652">
        <f>VLOOKUP(C1652,Меню!A:E,5,0)</f>
        <v>250</v>
      </c>
    </row>
    <row r="1653" spans="1:6" ht="15.75" hidden="1" customHeight="1" x14ac:dyDescent="0.35">
      <c r="A1653" s="1">
        <v>1652</v>
      </c>
      <c r="B1653" s="1">
        <v>321</v>
      </c>
      <c r="C1653" s="1">
        <v>36</v>
      </c>
      <c r="D1653" t="str">
        <f>VLOOKUP(B1653,Заказы!A:C,3,0)</f>
        <v>2023-05-27 18:53:00</v>
      </c>
      <c r="E1653" t="str">
        <f>VLOOKUP(C1653,Меню!A:E,4,0)</f>
        <v>Десерт</v>
      </c>
      <c r="F1653">
        <f>VLOOKUP(C1653,Меню!A:E,5,0)</f>
        <v>150</v>
      </c>
    </row>
    <row r="1654" spans="1:6" ht="15.75" hidden="1" customHeight="1" x14ac:dyDescent="0.35">
      <c r="A1654" s="1">
        <v>1653</v>
      </c>
      <c r="B1654" s="1">
        <v>321</v>
      </c>
      <c r="C1654" s="1">
        <v>15</v>
      </c>
      <c r="D1654" t="str">
        <f>VLOOKUP(B1654,Заказы!A:C,3,0)</f>
        <v>2023-05-27 18:53:00</v>
      </c>
      <c r="E1654" t="str">
        <f>VLOOKUP(C1654,Меню!A:E,4,0)</f>
        <v>Первое</v>
      </c>
      <c r="F1654">
        <f>VLOOKUP(C1654,Меню!A:E,5,0)</f>
        <v>250</v>
      </c>
    </row>
    <row r="1655" spans="1:6" ht="15.75" hidden="1" customHeight="1" x14ac:dyDescent="0.35">
      <c r="A1655" s="1">
        <v>1654</v>
      </c>
      <c r="B1655" s="1">
        <v>321</v>
      </c>
      <c r="C1655" s="1">
        <v>20</v>
      </c>
      <c r="D1655" t="str">
        <f>VLOOKUP(B1655,Заказы!A:C,3,0)</f>
        <v>2023-05-27 18:53:00</v>
      </c>
      <c r="E1655" t="str">
        <f>VLOOKUP(C1655,Меню!A:E,4,0)</f>
        <v>Первое</v>
      </c>
      <c r="F1655">
        <f>VLOOKUP(C1655,Меню!A:E,5,0)</f>
        <v>250</v>
      </c>
    </row>
    <row r="1656" spans="1:6" ht="15.75" hidden="1" customHeight="1" x14ac:dyDescent="0.35">
      <c r="A1656" s="1">
        <v>1655</v>
      </c>
      <c r="B1656" s="1">
        <v>321</v>
      </c>
      <c r="C1656" s="1">
        <v>39</v>
      </c>
      <c r="D1656" t="str">
        <f>VLOOKUP(B1656,Заказы!A:C,3,0)</f>
        <v>2023-05-27 18:53:00</v>
      </c>
      <c r="E1656" t="str">
        <f>VLOOKUP(C1656,Меню!A:E,4,0)</f>
        <v>Десерт</v>
      </c>
      <c r="F1656">
        <f>VLOOKUP(C1656,Меню!A:E,5,0)</f>
        <v>150</v>
      </c>
    </row>
    <row r="1657" spans="1:6" ht="15.75" hidden="1" customHeight="1" x14ac:dyDescent="0.35">
      <c r="A1657" s="1">
        <v>1656</v>
      </c>
      <c r="B1657" s="1">
        <v>321</v>
      </c>
      <c r="C1657" s="1">
        <v>10</v>
      </c>
      <c r="D1657" t="str">
        <f>VLOOKUP(B1657,Заказы!A:C,3,0)</f>
        <v>2023-05-27 18:53:00</v>
      </c>
      <c r="E1657" t="str">
        <f>VLOOKUP(C1657,Меню!A:E,4,0)</f>
        <v>Завтрак</v>
      </c>
      <c r="F1657">
        <f>VLOOKUP(C1657,Меню!A:E,5,0)</f>
        <v>200</v>
      </c>
    </row>
    <row r="1658" spans="1:6" ht="15.75" hidden="1" customHeight="1" x14ac:dyDescent="0.35">
      <c r="A1658" s="1">
        <v>1657</v>
      </c>
      <c r="B1658" s="1">
        <v>321</v>
      </c>
      <c r="C1658" s="1">
        <v>33</v>
      </c>
      <c r="D1658" t="str">
        <f>VLOOKUP(B1658,Заказы!A:C,3,0)</f>
        <v>2023-05-27 18:53:00</v>
      </c>
      <c r="E1658" t="str">
        <f>VLOOKUP(C1658,Меню!A:E,4,0)</f>
        <v>Десерт</v>
      </c>
      <c r="F1658">
        <f>VLOOKUP(C1658,Меню!A:E,5,0)</f>
        <v>150</v>
      </c>
    </row>
    <row r="1659" spans="1:6" ht="15.75" hidden="1" customHeight="1" x14ac:dyDescent="0.35">
      <c r="A1659" s="1">
        <v>1658</v>
      </c>
      <c r="B1659" s="1">
        <v>321</v>
      </c>
      <c r="C1659" s="1">
        <v>51</v>
      </c>
      <c r="D1659" t="str">
        <f>VLOOKUP(B1659,Заказы!A:C,3,0)</f>
        <v>2023-05-27 18:53:00</v>
      </c>
      <c r="E1659" t="str">
        <f>VLOOKUP(C1659,Меню!A:E,4,0)</f>
        <v>Суши</v>
      </c>
      <c r="F1659">
        <f>VLOOKUP(C1659,Меню!A:E,5,0)</f>
        <v>100</v>
      </c>
    </row>
    <row r="1660" spans="1:6" ht="15.75" hidden="1" customHeight="1" x14ac:dyDescent="0.35">
      <c r="A1660" s="1">
        <v>1659</v>
      </c>
      <c r="B1660" s="1">
        <v>322</v>
      </c>
      <c r="C1660" s="1">
        <v>30</v>
      </c>
      <c r="D1660" t="str">
        <f>VLOOKUP(B1660,Заказы!A:C,3,0)</f>
        <v>2023-05-27 20:59:00</v>
      </c>
      <c r="E1660" t="str">
        <f>VLOOKUP(C1660,Меню!A:E,4,0)</f>
        <v>Салат</v>
      </c>
      <c r="F1660">
        <f>VLOOKUP(C1660,Меню!A:E,5,0)</f>
        <v>250</v>
      </c>
    </row>
    <row r="1661" spans="1:6" ht="15.75" hidden="1" customHeight="1" x14ac:dyDescent="0.35">
      <c r="A1661" s="1">
        <v>1660</v>
      </c>
      <c r="B1661" s="1">
        <v>322</v>
      </c>
      <c r="C1661" s="1">
        <v>44</v>
      </c>
      <c r="D1661" t="str">
        <f>VLOOKUP(B1661,Заказы!A:C,3,0)</f>
        <v>2023-05-27 20:59:00</v>
      </c>
      <c r="E1661" t="str">
        <f>VLOOKUP(C1661,Меню!A:E,4,0)</f>
        <v>Суши</v>
      </c>
      <c r="F1661">
        <f>VLOOKUP(C1661,Меню!A:E,5,0)</f>
        <v>250</v>
      </c>
    </row>
    <row r="1662" spans="1:6" ht="15.75" hidden="1" customHeight="1" x14ac:dyDescent="0.35">
      <c r="A1662" s="1">
        <v>1661</v>
      </c>
      <c r="B1662" s="1">
        <v>322</v>
      </c>
      <c r="C1662" s="1">
        <v>24</v>
      </c>
      <c r="D1662" t="str">
        <f>VLOOKUP(B1662,Заказы!A:C,3,0)</f>
        <v>2023-05-27 20:59:00</v>
      </c>
      <c r="E1662" t="str">
        <f>VLOOKUP(C1662,Меню!A:E,4,0)</f>
        <v>Салат</v>
      </c>
      <c r="F1662">
        <f>VLOOKUP(C1662,Меню!A:E,5,0)</f>
        <v>250</v>
      </c>
    </row>
    <row r="1663" spans="1:6" ht="15.75" hidden="1" customHeight="1" x14ac:dyDescent="0.35">
      <c r="A1663" s="1">
        <v>1662</v>
      </c>
      <c r="B1663" s="1">
        <v>322</v>
      </c>
      <c r="C1663" s="1">
        <v>6</v>
      </c>
      <c r="D1663" t="str">
        <f>VLOOKUP(B1663,Заказы!A:C,3,0)</f>
        <v>2023-05-27 20:59:00</v>
      </c>
      <c r="E1663" t="str">
        <f>VLOOKUP(C1663,Меню!A:E,4,0)</f>
        <v>Завтрак</v>
      </c>
      <c r="F1663">
        <f>VLOOKUP(C1663,Меню!A:E,5,0)</f>
        <v>300</v>
      </c>
    </row>
    <row r="1664" spans="1:6" ht="15.75" hidden="1" customHeight="1" x14ac:dyDescent="0.35">
      <c r="A1664" s="1">
        <v>1663</v>
      </c>
      <c r="B1664" s="1">
        <v>322</v>
      </c>
      <c r="C1664" s="1">
        <v>16</v>
      </c>
      <c r="D1664" t="str">
        <f>VLOOKUP(B1664,Заказы!A:C,3,0)</f>
        <v>2023-05-27 20:59:00</v>
      </c>
      <c r="E1664" t="str">
        <f>VLOOKUP(C1664,Меню!A:E,4,0)</f>
        <v>Первое</v>
      </c>
      <c r="F1664">
        <f>VLOOKUP(C1664,Меню!A:E,5,0)</f>
        <v>250</v>
      </c>
    </row>
    <row r="1665" spans="1:6" ht="15.75" hidden="1" customHeight="1" x14ac:dyDescent="0.35">
      <c r="A1665" s="1">
        <v>1664</v>
      </c>
      <c r="B1665" s="1">
        <v>322</v>
      </c>
      <c r="C1665" s="1">
        <v>33</v>
      </c>
      <c r="D1665" t="str">
        <f>VLOOKUP(B1665,Заказы!A:C,3,0)</f>
        <v>2023-05-27 20:59:00</v>
      </c>
      <c r="E1665" t="str">
        <f>VLOOKUP(C1665,Меню!A:E,4,0)</f>
        <v>Десерт</v>
      </c>
      <c r="F1665">
        <f>VLOOKUP(C1665,Меню!A:E,5,0)</f>
        <v>150</v>
      </c>
    </row>
    <row r="1666" spans="1:6" ht="15.75" hidden="1" customHeight="1" x14ac:dyDescent="0.35">
      <c r="A1666" s="1">
        <v>1665</v>
      </c>
      <c r="B1666" s="1">
        <v>323</v>
      </c>
      <c r="C1666" s="1">
        <v>41</v>
      </c>
      <c r="D1666" t="str">
        <f>VLOOKUP(B1666,Заказы!A:C,3,0)</f>
        <v>2023-05-28 17:05:00</v>
      </c>
      <c r="E1666" t="str">
        <f>VLOOKUP(C1666,Меню!A:E,4,0)</f>
        <v>Суши</v>
      </c>
      <c r="F1666">
        <f>VLOOKUP(C1666,Меню!A:E,5,0)</f>
        <v>220</v>
      </c>
    </row>
    <row r="1667" spans="1:6" ht="15.75" hidden="1" customHeight="1" x14ac:dyDescent="0.35">
      <c r="A1667" s="1">
        <v>1666</v>
      </c>
      <c r="B1667" s="1">
        <v>323</v>
      </c>
      <c r="C1667" s="1">
        <v>21</v>
      </c>
      <c r="D1667" t="str">
        <f>VLOOKUP(B1667,Заказы!A:C,3,0)</f>
        <v>2023-05-28 17:05:00</v>
      </c>
      <c r="E1667" t="str">
        <f>VLOOKUP(C1667,Меню!A:E,4,0)</f>
        <v>Салат</v>
      </c>
      <c r="F1667">
        <f>VLOOKUP(C1667,Меню!A:E,5,0)</f>
        <v>250</v>
      </c>
    </row>
    <row r="1668" spans="1:6" ht="15.75" hidden="1" customHeight="1" x14ac:dyDescent="0.35">
      <c r="A1668" s="1">
        <v>1667</v>
      </c>
      <c r="B1668" s="1">
        <v>323</v>
      </c>
      <c r="C1668" s="1">
        <v>44</v>
      </c>
      <c r="D1668" t="str">
        <f>VLOOKUP(B1668,Заказы!A:C,3,0)</f>
        <v>2023-05-28 17:05:00</v>
      </c>
      <c r="E1668" t="str">
        <f>VLOOKUP(C1668,Меню!A:E,4,0)</f>
        <v>Суши</v>
      </c>
      <c r="F1668">
        <f>VLOOKUP(C1668,Меню!A:E,5,0)</f>
        <v>250</v>
      </c>
    </row>
    <row r="1669" spans="1:6" ht="15.75" hidden="1" customHeight="1" x14ac:dyDescent="0.35">
      <c r="A1669" s="1">
        <v>1668</v>
      </c>
      <c r="B1669" s="1">
        <v>323</v>
      </c>
      <c r="C1669" s="1">
        <v>7</v>
      </c>
      <c r="D1669" t="str">
        <f>VLOOKUP(B1669,Заказы!A:C,3,0)</f>
        <v>2023-05-28 17:05:00</v>
      </c>
      <c r="E1669" t="str">
        <f>VLOOKUP(C1669,Меню!A:E,4,0)</f>
        <v>Завтрак</v>
      </c>
      <c r="F1669">
        <f>VLOOKUP(C1669,Меню!A:E,5,0)</f>
        <v>200</v>
      </c>
    </row>
    <row r="1670" spans="1:6" ht="15.75" hidden="1" customHeight="1" x14ac:dyDescent="0.35">
      <c r="A1670" s="1">
        <v>1669</v>
      </c>
      <c r="B1670" s="1">
        <v>323</v>
      </c>
      <c r="C1670" s="1">
        <v>43</v>
      </c>
      <c r="D1670" t="str">
        <f>VLOOKUP(B1670,Заказы!A:C,3,0)</f>
        <v>2023-05-28 17:05:00</v>
      </c>
      <c r="E1670" t="str">
        <f>VLOOKUP(C1670,Меню!A:E,4,0)</f>
        <v>Суши</v>
      </c>
      <c r="F1670">
        <f>VLOOKUP(C1670,Меню!A:E,5,0)</f>
        <v>250</v>
      </c>
    </row>
    <row r="1671" spans="1:6" ht="15.75" hidden="1" customHeight="1" x14ac:dyDescent="0.35">
      <c r="A1671" s="1">
        <v>1670</v>
      </c>
      <c r="B1671" s="1">
        <v>323</v>
      </c>
      <c r="C1671" s="1">
        <v>54</v>
      </c>
      <c r="D1671" t="str">
        <f>VLOOKUP(B1671,Заказы!A:C,3,0)</f>
        <v>2023-05-28 17:05:00</v>
      </c>
      <c r="E1671" t="str">
        <f>VLOOKUP(C1671,Меню!A:E,4,0)</f>
        <v>Суши</v>
      </c>
      <c r="F1671">
        <f>VLOOKUP(C1671,Меню!A:E,5,0)</f>
        <v>100</v>
      </c>
    </row>
    <row r="1672" spans="1:6" ht="15.75" hidden="1" customHeight="1" x14ac:dyDescent="0.35">
      <c r="A1672" s="1">
        <v>1671</v>
      </c>
      <c r="B1672" s="1">
        <v>323</v>
      </c>
      <c r="C1672" s="1">
        <v>53</v>
      </c>
      <c r="D1672" t="str">
        <f>VLOOKUP(B1672,Заказы!A:C,3,0)</f>
        <v>2023-05-28 17:05:00</v>
      </c>
      <c r="E1672" t="str">
        <f>VLOOKUP(C1672,Меню!A:E,4,0)</f>
        <v>Суши</v>
      </c>
      <c r="F1672">
        <f>VLOOKUP(C1672,Меню!A:E,5,0)</f>
        <v>100</v>
      </c>
    </row>
    <row r="1673" spans="1:6" ht="15.75" hidden="1" customHeight="1" x14ac:dyDescent="0.35">
      <c r="A1673" s="1">
        <v>1672</v>
      </c>
      <c r="B1673" s="1">
        <v>324</v>
      </c>
      <c r="C1673" s="1">
        <v>22</v>
      </c>
      <c r="D1673" t="str">
        <f>VLOOKUP(B1673,Заказы!A:C,3,0)</f>
        <v>2023-05-30 17:55:00</v>
      </c>
      <c r="E1673" t="str">
        <f>VLOOKUP(C1673,Меню!A:E,4,0)</f>
        <v>Салат</v>
      </c>
      <c r="F1673">
        <f>VLOOKUP(C1673,Меню!A:E,5,0)</f>
        <v>250</v>
      </c>
    </row>
    <row r="1674" spans="1:6" ht="15.75" hidden="1" customHeight="1" x14ac:dyDescent="0.35">
      <c r="A1674" s="1">
        <v>1673</v>
      </c>
      <c r="B1674" s="1">
        <v>324</v>
      </c>
      <c r="C1674" s="1">
        <v>44</v>
      </c>
      <c r="D1674" t="str">
        <f>VLOOKUP(B1674,Заказы!A:C,3,0)</f>
        <v>2023-05-30 17:55:00</v>
      </c>
      <c r="E1674" t="str">
        <f>VLOOKUP(C1674,Меню!A:E,4,0)</f>
        <v>Суши</v>
      </c>
      <c r="F1674">
        <f>VLOOKUP(C1674,Меню!A:E,5,0)</f>
        <v>250</v>
      </c>
    </row>
    <row r="1675" spans="1:6" ht="15.75" hidden="1" customHeight="1" x14ac:dyDescent="0.35">
      <c r="A1675" s="1">
        <v>1674</v>
      </c>
      <c r="B1675" s="1">
        <v>324</v>
      </c>
      <c r="C1675" s="1">
        <v>12</v>
      </c>
      <c r="D1675" t="str">
        <f>VLOOKUP(B1675,Заказы!A:C,3,0)</f>
        <v>2023-05-30 17:55:00</v>
      </c>
      <c r="E1675" t="str">
        <f>VLOOKUP(C1675,Меню!A:E,4,0)</f>
        <v>Первое</v>
      </c>
      <c r="F1675">
        <f>VLOOKUP(C1675,Меню!A:E,5,0)</f>
        <v>300</v>
      </c>
    </row>
    <row r="1676" spans="1:6" ht="15.75" hidden="1" customHeight="1" x14ac:dyDescent="0.35">
      <c r="A1676" s="1">
        <v>1675</v>
      </c>
      <c r="B1676" s="1">
        <v>324</v>
      </c>
      <c r="C1676" s="1">
        <v>35</v>
      </c>
      <c r="D1676" t="str">
        <f>VLOOKUP(B1676,Заказы!A:C,3,0)</f>
        <v>2023-05-30 17:55:00</v>
      </c>
      <c r="E1676" t="str">
        <f>VLOOKUP(C1676,Меню!A:E,4,0)</f>
        <v>Десерт</v>
      </c>
      <c r="F1676">
        <f>VLOOKUP(C1676,Меню!A:E,5,0)</f>
        <v>150</v>
      </c>
    </row>
    <row r="1677" spans="1:6" ht="15.75" hidden="1" customHeight="1" x14ac:dyDescent="0.35">
      <c r="A1677" s="1">
        <v>1676</v>
      </c>
      <c r="B1677" s="1">
        <v>325</v>
      </c>
      <c r="C1677" s="1">
        <v>53</v>
      </c>
      <c r="D1677" t="str">
        <f>VLOOKUP(B1677,Заказы!A:C,3,0)</f>
        <v>2023-05-30 18:07:00</v>
      </c>
      <c r="E1677" t="str">
        <f>VLOOKUP(C1677,Меню!A:E,4,0)</f>
        <v>Суши</v>
      </c>
      <c r="F1677">
        <f>VLOOKUP(C1677,Меню!A:E,5,0)</f>
        <v>100</v>
      </c>
    </row>
    <row r="1678" spans="1:6" ht="15.75" hidden="1" customHeight="1" x14ac:dyDescent="0.35">
      <c r="A1678" s="1">
        <v>1677</v>
      </c>
      <c r="B1678" s="1">
        <v>325</v>
      </c>
      <c r="C1678" s="1">
        <v>40</v>
      </c>
      <c r="D1678" t="str">
        <f>VLOOKUP(B1678,Заказы!A:C,3,0)</f>
        <v>2023-05-30 18:07:00</v>
      </c>
      <c r="E1678" t="str">
        <f>VLOOKUP(C1678,Меню!A:E,4,0)</f>
        <v>Десерт</v>
      </c>
      <c r="F1678">
        <f>VLOOKUP(C1678,Меню!A:E,5,0)</f>
        <v>150</v>
      </c>
    </row>
    <row r="1679" spans="1:6" ht="15.75" hidden="1" customHeight="1" x14ac:dyDescent="0.35">
      <c r="A1679" s="1">
        <v>1678</v>
      </c>
      <c r="B1679" s="1">
        <v>325</v>
      </c>
      <c r="C1679" s="1">
        <v>11</v>
      </c>
      <c r="D1679" t="str">
        <f>VLOOKUP(B1679,Заказы!A:C,3,0)</f>
        <v>2023-05-30 18:07:00</v>
      </c>
      <c r="E1679" t="str">
        <f>VLOOKUP(C1679,Меню!A:E,4,0)</f>
        <v>Первое</v>
      </c>
      <c r="F1679">
        <f>VLOOKUP(C1679,Меню!A:E,5,0)</f>
        <v>300</v>
      </c>
    </row>
    <row r="1680" spans="1:6" ht="15.75" hidden="1" customHeight="1" x14ac:dyDescent="0.35">
      <c r="A1680" s="1">
        <v>1679</v>
      </c>
      <c r="B1680" s="1">
        <v>325</v>
      </c>
      <c r="C1680" s="1">
        <v>59</v>
      </c>
      <c r="D1680" t="str">
        <f>VLOOKUP(B1680,Заказы!A:C,3,0)</f>
        <v>2023-05-30 18:07:00</v>
      </c>
      <c r="E1680" t="str">
        <f>VLOOKUP(C1680,Меню!A:E,4,0)</f>
        <v>Суши</v>
      </c>
      <c r="F1680">
        <f>VLOOKUP(C1680,Меню!A:E,5,0)</f>
        <v>300</v>
      </c>
    </row>
    <row r="1681" spans="1:6" ht="15.75" hidden="1" customHeight="1" x14ac:dyDescent="0.35">
      <c r="A1681" s="1">
        <v>1680</v>
      </c>
      <c r="B1681" s="1">
        <v>325</v>
      </c>
      <c r="C1681" s="1">
        <v>38</v>
      </c>
      <c r="D1681" t="str">
        <f>VLOOKUP(B1681,Заказы!A:C,3,0)</f>
        <v>2023-05-30 18:07:00</v>
      </c>
      <c r="E1681" t="str">
        <f>VLOOKUP(C1681,Меню!A:E,4,0)</f>
        <v>Десерт</v>
      </c>
      <c r="F1681">
        <f>VLOOKUP(C1681,Меню!A:E,5,0)</f>
        <v>150</v>
      </c>
    </row>
    <row r="1682" spans="1:6" ht="15.75" hidden="1" customHeight="1" x14ac:dyDescent="0.35">
      <c r="A1682" s="1">
        <v>1681</v>
      </c>
      <c r="B1682" s="1">
        <v>325</v>
      </c>
      <c r="C1682" s="1">
        <v>32</v>
      </c>
      <c r="D1682" t="str">
        <f>VLOOKUP(B1682,Заказы!A:C,3,0)</f>
        <v>2023-05-30 18:07:00</v>
      </c>
      <c r="E1682" t="str">
        <f>VLOOKUP(C1682,Меню!A:E,4,0)</f>
        <v>Десерт</v>
      </c>
      <c r="F1682">
        <f>VLOOKUP(C1682,Меню!A:E,5,0)</f>
        <v>150</v>
      </c>
    </row>
    <row r="1683" spans="1:6" ht="15.75" hidden="1" customHeight="1" x14ac:dyDescent="0.35">
      <c r="A1683" s="1">
        <v>1682</v>
      </c>
      <c r="B1683" s="1">
        <v>325</v>
      </c>
      <c r="C1683" s="1">
        <v>30</v>
      </c>
      <c r="D1683" t="str">
        <f>VLOOKUP(B1683,Заказы!A:C,3,0)</f>
        <v>2023-05-30 18:07:00</v>
      </c>
      <c r="E1683" t="str">
        <f>VLOOKUP(C1683,Меню!A:E,4,0)</f>
        <v>Салат</v>
      </c>
      <c r="F1683">
        <f>VLOOKUP(C1683,Меню!A:E,5,0)</f>
        <v>250</v>
      </c>
    </row>
    <row r="1684" spans="1:6" ht="15.75" hidden="1" customHeight="1" x14ac:dyDescent="0.35">
      <c r="A1684" s="1">
        <v>1683</v>
      </c>
      <c r="B1684" s="1">
        <v>325</v>
      </c>
      <c r="C1684" s="1">
        <v>37</v>
      </c>
      <c r="D1684" t="str">
        <f>VLOOKUP(B1684,Заказы!A:C,3,0)</f>
        <v>2023-05-30 18:07:00</v>
      </c>
      <c r="E1684" t="str">
        <f>VLOOKUP(C1684,Меню!A:E,4,0)</f>
        <v>Десерт</v>
      </c>
      <c r="F1684">
        <f>VLOOKUP(C1684,Меню!A:E,5,0)</f>
        <v>100</v>
      </c>
    </row>
    <row r="1685" spans="1:6" ht="15.75" hidden="1" customHeight="1" x14ac:dyDescent="0.35">
      <c r="A1685" s="1">
        <v>1684</v>
      </c>
      <c r="B1685" s="1">
        <v>325</v>
      </c>
      <c r="C1685" s="1">
        <v>37</v>
      </c>
      <c r="D1685" t="str">
        <f>VLOOKUP(B1685,Заказы!A:C,3,0)</f>
        <v>2023-05-30 18:07:00</v>
      </c>
      <c r="E1685" t="str">
        <f>VLOOKUP(C1685,Меню!A:E,4,0)</f>
        <v>Десерт</v>
      </c>
      <c r="F1685">
        <f>VLOOKUP(C1685,Меню!A:E,5,0)</f>
        <v>100</v>
      </c>
    </row>
    <row r="1686" spans="1:6" ht="15.75" hidden="1" customHeight="1" x14ac:dyDescent="0.35">
      <c r="A1686" s="1">
        <v>1685</v>
      </c>
      <c r="B1686" s="1">
        <v>325</v>
      </c>
      <c r="C1686" s="1">
        <v>4</v>
      </c>
      <c r="D1686" t="str">
        <f>VLOOKUP(B1686,Заказы!A:C,3,0)</f>
        <v>2023-05-30 18:07:00</v>
      </c>
      <c r="E1686" t="str">
        <f>VLOOKUP(C1686,Меню!A:E,4,0)</f>
        <v>Завтрак</v>
      </c>
      <c r="F1686">
        <f>VLOOKUP(C1686,Меню!A:E,5,0)</f>
        <v>180</v>
      </c>
    </row>
    <row r="1687" spans="1:6" ht="15.75" hidden="1" customHeight="1" x14ac:dyDescent="0.35">
      <c r="A1687" s="1">
        <v>1686</v>
      </c>
      <c r="B1687" s="1">
        <v>325</v>
      </c>
      <c r="C1687" s="1">
        <v>13</v>
      </c>
      <c r="D1687" t="str">
        <f>VLOOKUP(B1687,Заказы!A:C,3,0)</f>
        <v>2023-05-30 18:07:00</v>
      </c>
      <c r="E1687" t="str">
        <f>VLOOKUP(C1687,Меню!A:E,4,0)</f>
        <v>Первое</v>
      </c>
      <c r="F1687">
        <f>VLOOKUP(C1687,Меню!A:E,5,0)</f>
        <v>280</v>
      </c>
    </row>
    <row r="1688" spans="1:6" ht="15.75" hidden="1" customHeight="1" x14ac:dyDescent="0.35">
      <c r="A1688" s="1">
        <v>1687</v>
      </c>
      <c r="B1688" s="1">
        <v>325</v>
      </c>
      <c r="C1688" s="1">
        <v>8</v>
      </c>
      <c r="D1688" t="str">
        <f>VLOOKUP(B1688,Заказы!A:C,3,0)</f>
        <v>2023-05-30 18:07:00</v>
      </c>
      <c r="E1688" t="str">
        <f>VLOOKUP(C1688,Меню!A:E,4,0)</f>
        <v>Завтрак</v>
      </c>
      <c r="F1688">
        <f>VLOOKUP(C1688,Меню!A:E,5,0)</f>
        <v>180</v>
      </c>
    </row>
    <row r="1689" spans="1:6" ht="15.75" hidden="1" customHeight="1" x14ac:dyDescent="0.35">
      <c r="A1689" s="1">
        <v>1688</v>
      </c>
      <c r="B1689" s="1">
        <v>326</v>
      </c>
      <c r="C1689" s="1">
        <v>32</v>
      </c>
      <c r="D1689" t="str">
        <f>VLOOKUP(B1689,Заказы!A:C,3,0)</f>
        <v>2023-05-30 19:16:00</v>
      </c>
      <c r="E1689" t="str">
        <f>VLOOKUP(C1689,Меню!A:E,4,0)</f>
        <v>Десерт</v>
      </c>
      <c r="F1689">
        <f>VLOOKUP(C1689,Меню!A:E,5,0)</f>
        <v>150</v>
      </c>
    </row>
    <row r="1690" spans="1:6" ht="15.75" hidden="1" customHeight="1" x14ac:dyDescent="0.35">
      <c r="A1690" s="1">
        <v>1689</v>
      </c>
      <c r="B1690" s="1">
        <v>326</v>
      </c>
      <c r="C1690" s="1">
        <v>11</v>
      </c>
      <c r="D1690" t="str">
        <f>VLOOKUP(B1690,Заказы!A:C,3,0)</f>
        <v>2023-05-30 19:16:00</v>
      </c>
      <c r="E1690" t="str">
        <f>VLOOKUP(C1690,Меню!A:E,4,0)</f>
        <v>Первое</v>
      </c>
      <c r="F1690">
        <f>VLOOKUP(C1690,Меню!A:E,5,0)</f>
        <v>300</v>
      </c>
    </row>
    <row r="1691" spans="1:6" ht="15.75" hidden="1" customHeight="1" x14ac:dyDescent="0.35">
      <c r="A1691" s="1">
        <v>1690</v>
      </c>
      <c r="B1691" s="1">
        <v>326</v>
      </c>
      <c r="C1691" s="1">
        <v>12</v>
      </c>
      <c r="D1691" t="str">
        <f>VLOOKUP(B1691,Заказы!A:C,3,0)</f>
        <v>2023-05-30 19:16:00</v>
      </c>
      <c r="E1691" t="str">
        <f>VLOOKUP(C1691,Меню!A:E,4,0)</f>
        <v>Первое</v>
      </c>
      <c r="F1691">
        <f>VLOOKUP(C1691,Меню!A:E,5,0)</f>
        <v>300</v>
      </c>
    </row>
    <row r="1692" spans="1:6" ht="15.75" hidden="1" customHeight="1" x14ac:dyDescent="0.35">
      <c r="A1692" s="1">
        <v>1691</v>
      </c>
      <c r="B1692" s="1">
        <v>326</v>
      </c>
      <c r="C1692" s="1">
        <v>58</v>
      </c>
      <c r="D1692" t="str">
        <f>VLOOKUP(B1692,Заказы!A:C,3,0)</f>
        <v>2023-05-30 19:16:00</v>
      </c>
      <c r="E1692" t="str">
        <f>VLOOKUP(C1692,Меню!A:E,4,0)</f>
        <v>Суши</v>
      </c>
      <c r="F1692">
        <f>VLOOKUP(C1692,Меню!A:E,5,0)</f>
        <v>200</v>
      </c>
    </row>
    <row r="1693" spans="1:6" ht="15.75" hidden="1" customHeight="1" x14ac:dyDescent="0.35">
      <c r="A1693" s="1">
        <v>1692</v>
      </c>
      <c r="B1693" s="1">
        <v>327</v>
      </c>
      <c r="C1693" s="1">
        <v>49</v>
      </c>
      <c r="D1693" t="str">
        <f>VLOOKUP(B1693,Заказы!A:C,3,0)</f>
        <v>2023-05-30 20:31:00</v>
      </c>
      <c r="E1693" t="str">
        <f>VLOOKUP(C1693,Меню!A:E,4,0)</f>
        <v>Суши</v>
      </c>
      <c r="F1693">
        <f>VLOOKUP(C1693,Меню!A:E,5,0)</f>
        <v>200</v>
      </c>
    </row>
    <row r="1694" spans="1:6" ht="15.75" hidden="1" customHeight="1" x14ac:dyDescent="0.35">
      <c r="A1694" s="1">
        <v>1693</v>
      </c>
      <c r="B1694" s="1">
        <v>327</v>
      </c>
      <c r="C1694" s="1">
        <v>27</v>
      </c>
      <c r="D1694" t="str">
        <f>VLOOKUP(B1694,Заказы!A:C,3,0)</f>
        <v>2023-05-30 20:31:00</v>
      </c>
      <c r="E1694" t="str">
        <f>VLOOKUP(C1694,Меню!A:E,4,0)</f>
        <v>Салат</v>
      </c>
      <c r="F1694">
        <f>VLOOKUP(C1694,Меню!A:E,5,0)</f>
        <v>250</v>
      </c>
    </row>
    <row r="1695" spans="1:6" ht="15.75" hidden="1" customHeight="1" x14ac:dyDescent="0.35">
      <c r="A1695" s="1">
        <v>1694</v>
      </c>
      <c r="B1695" s="1">
        <v>327</v>
      </c>
      <c r="C1695" s="1">
        <v>42</v>
      </c>
      <c r="D1695" t="str">
        <f>VLOOKUP(B1695,Заказы!A:C,3,0)</f>
        <v>2023-05-30 20:31:00</v>
      </c>
      <c r="E1695" t="str">
        <f>VLOOKUP(C1695,Меню!A:E,4,0)</f>
        <v>Суши</v>
      </c>
      <c r="F1695">
        <f>VLOOKUP(C1695,Меню!A:E,5,0)</f>
        <v>250</v>
      </c>
    </row>
    <row r="1696" spans="1:6" ht="15.75" hidden="1" customHeight="1" x14ac:dyDescent="0.35">
      <c r="A1696" s="1">
        <v>1695</v>
      </c>
      <c r="B1696" s="1">
        <v>328</v>
      </c>
      <c r="C1696" s="1">
        <v>20</v>
      </c>
      <c r="D1696" t="str">
        <f>VLOOKUP(B1696,Заказы!A:C,3,0)</f>
        <v>2023-05-31 16:38:00</v>
      </c>
      <c r="E1696" t="str">
        <f>VLOOKUP(C1696,Меню!A:E,4,0)</f>
        <v>Первое</v>
      </c>
      <c r="F1696">
        <f>VLOOKUP(C1696,Меню!A:E,5,0)</f>
        <v>250</v>
      </c>
    </row>
    <row r="1697" spans="1:6" ht="15.75" hidden="1" customHeight="1" x14ac:dyDescent="0.35">
      <c r="A1697" s="1">
        <v>1696</v>
      </c>
      <c r="B1697" s="1">
        <v>328</v>
      </c>
      <c r="C1697" s="1">
        <v>42</v>
      </c>
      <c r="D1697" t="str">
        <f>VLOOKUP(B1697,Заказы!A:C,3,0)</f>
        <v>2023-05-31 16:38:00</v>
      </c>
      <c r="E1697" t="str">
        <f>VLOOKUP(C1697,Меню!A:E,4,0)</f>
        <v>Суши</v>
      </c>
      <c r="F1697">
        <f>VLOOKUP(C1697,Меню!A:E,5,0)</f>
        <v>250</v>
      </c>
    </row>
    <row r="1698" spans="1:6" ht="15.75" hidden="1" customHeight="1" x14ac:dyDescent="0.35">
      <c r="A1698" s="1">
        <v>1697</v>
      </c>
      <c r="B1698" s="1">
        <v>328</v>
      </c>
      <c r="C1698" s="1">
        <v>3</v>
      </c>
      <c r="D1698" t="str">
        <f>VLOOKUP(B1698,Заказы!A:C,3,0)</f>
        <v>2023-05-31 16:38:00</v>
      </c>
      <c r="E1698" t="str">
        <f>VLOOKUP(C1698,Меню!A:E,4,0)</f>
        <v>Завтрак</v>
      </c>
      <c r="F1698">
        <f>VLOOKUP(C1698,Меню!A:E,5,0)</f>
        <v>150</v>
      </c>
    </row>
    <row r="1699" spans="1:6" ht="15.75" hidden="1" customHeight="1" x14ac:dyDescent="0.35">
      <c r="A1699" s="1">
        <v>1698</v>
      </c>
      <c r="B1699" s="1">
        <v>328</v>
      </c>
      <c r="C1699" s="1">
        <v>33</v>
      </c>
      <c r="D1699" t="str">
        <f>VLOOKUP(B1699,Заказы!A:C,3,0)</f>
        <v>2023-05-31 16:38:00</v>
      </c>
      <c r="E1699" t="str">
        <f>VLOOKUP(C1699,Меню!A:E,4,0)</f>
        <v>Десерт</v>
      </c>
      <c r="F1699">
        <f>VLOOKUP(C1699,Меню!A:E,5,0)</f>
        <v>150</v>
      </c>
    </row>
    <row r="1700" spans="1:6" ht="15.75" hidden="1" customHeight="1" x14ac:dyDescent="0.35">
      <c r="A1700" s="1">
        <v>1699</v>
      </c>
      <c r="B1700" s="1">
        <v>328</v>
      </c>
      <c r="C1700" s="1">
        <v>9</v>
      </c>
      <c r="D1700" t="str">
        <f>VLOOKUP(B1700,Заказы!A:C,3,0)</f>
        <v>2023-05-31 16:38:00</v>
      </c>
      <c r="E1700" t="str">
        <f>VLOOKUP(C1700,Меню!A:E,4,0)</f>
        <v>Завтрак</v>
      </c>
      <c r="F1700">
        <f>VLOOKUP(C1700,Меню!A:E,5,0)</f>
        <v>220</v>
      </c>
    </row>
    <row r="1701" spans="1:6" ht="15.75" hidden="1" customHeight="1" x14ac:dyDescent="0.35">
      <c r="A1701" s="1">
        <v>1700</v>
      </c>
      <c r="B1701" s="1">
        <v>329</v>
      </c>
      <c r="C1701" s="1">
        <v>20</v>
      </c>
      <c r="D1701" t="str">
        <f>VLOOKUP(B1701,Заказы!A:C,3,0)</f>
        <v>2023-05-31 21:24:00</v>
      </c>
      <c r="E1701" t="str">
        <f>VLOOKUP(C1701,Меню!A:E,4,0)</f>
        <v>Первое</v>
      </c>
      <c r="F1701">
        <f>VLOOKUP(C1701,Меню!A:E,5,0)</f>
        <v>250</v>
      </c>
    </row>
    <row r="1702" spans="1:6" ht="15.75" hidden="1" customHeight="1" x14ac:dyDescent="0.35">
      <c r="A1702" s="1">
        <v>1701</v>
      </c>
      <c r="B1702" s="1">
        <v>329</v>
      </c>
      <c r="C1702" s="1">
        <v>38</v>
      </c>
      <c r="D1702" t="str">
        <f>VLOOKUP(B1702,Заказы!A:C,3,0)</f>
        <v>2023-05-31 21:24:00</v>
      </c>
      <c r="E1702" t="str">
        <f>VLOOKUP(C1702,Меню!A:E,4,0)</f>
        <v>Десерт</v>
      </c>
      <c r="F1702">
        <f>VLOOKUP(C1702,Меню!A:E,5,0)</f>
        <v>150</v>
      </c>
    </row>
    <row r="1703" spans="1:6" ht="15.75" hidden="1" customHeight="1" x14ac:dyDescent="0.35">
      <c r="A1703" s="1">
        <v>1702</v>
      </c>
      <c r="B1703" s="1">
        <v>329</v>
      </c>
      <c r="C1703" s="1">
        <v>24</v>
      </c>
      <c r="D1703" t="str">
        <f>VLOOKUP(B1703,Заказы!A:C,3,0)</f>
        <v>2023-05-31 21:24:00</v>
      </c>
      <c r="E1703" t="str">
        <f>VLOOKUP(C1703,Меню!A:E,4,0)</f>
        <v>Салат</v>
      </c>
      <c r="F1703">
        <f>VLOOKUP(C1703,Меню!A:E,5,0)</f>
        <v>250</v>
      </c>
    </row>
    <row r="1704" spans="1:6" ht="15.75" hidden="1" customHeight="1" x14ac:dyDescent="0.35">
      <c r="A1704" s="1">
        <v>1703</v>
      </c>
      <c r="B1704" s="1">
        <v>329</v>
      </c>
      <c r="C1704" s="1">
        <v>18</v>
      </c>
      <c r="D1704" t="str">
        <f>VLOOKUP(B1704,Заказы!A:C,3,0)</f>
        <v>2023-05-31 21:24:00</v>
      </c>
      <c r="E1704" t="str">
        <f>VLOOKUP(C1704,Меню!A:E,4,0)</f>
        <v>Первое</v>
      </c>
      <c r="F1704">
        <f>VLOOKUP(C1704,Меню!A:E,5,0)</f>
        <v>300</v>
      </c>
    </row>
    <row r="1705" spans="1:6" ht="15.75" hidden="1" customHeight="1" x14ac:dyDescent="0.35">
      <c r="A1705" s="1">
        <v>1704</v>
      </c>
      <c r="B1705" s="1">
        <v>329</v>
      </c>
      <c r="C1705" s="1">
        <v>22</v>
      </c>
      <c r="D1705" t="str">
        <f>VLOOKUP(B1705,Заказы!A:C,3,0)</f>
        <v>2023-05-31 21:24:00</v>
      </c>
      <c r="E1705" t="str">
        <f>VLOOKUP(C1705,Меню!A:E,4,0)</f>
        <v>Салат</v>
      </c>
      <c r="F1705">
        <f>VLOOKUP(C1705,Меню!A:E,5,0)</f>
        <v>250</v>
      </c>
    </row>
    <row r="1706" spans="1:6" ht="15.75" hidden="1" customHeight="1" x14ac:dyDescent="0.35">
      <c r="A1706" s="1">
        <v>1705</v>
      </c>
      <c r="B1706" s="1">
        <v>329</v>
      </c>
      <c r="C1706" s="1">
        <v>34</v>
      </c>
      <c r="D1706" t="str">
        <f>VLOOKUP(B1706,Заказы!A:C,3,0)</f>
        <v>2023-05-31 21:24:00</v>
      </c>
      <c r="E1706" t="str">
        <f>VLOOKUP(C1706,Меню!A:E,4,0)</f>
        <v>Десерт</v>
      </c>
      <c r="F1706">
        <f>VLOOKUP(C1706,Меню!A:E,5,0)</f>
        <v>150</v>
      </c>
    </row>
    <row r="1707" spans="1:6" ht="15.75" hidden="1" customHeight="1" x14ac:dyDescent="0.35">
      <c r="A1707" s="1">
        <v>1706</v>
      </c>
      <c r="B1707" s="1">
        <v>329</v>
      </c>
      <c r="C1707" s="1">
        <v>15</v>
      </c>
      <c r="D1707" t="str">
        <f>VLOOKUP(B1707,Заказы!A:C,3,0)</f>
        <v>2023-05-31 21:24:00</v>
      </c>
      <c r="E1707" t="str">
        <f>VLOOKUP(C1707,Меню!A:E,4,0)</f>
        <v>Первое</v>
      </c>
      <c r="F1707">
        <f>VLOOKUP(C1707,Меню!A:E,5,0)</f>
        <v>250</v>
      </c>
    </row>
    <row r="1708" spans="1:6" ht="15.75" hidden="1" customHeight="1" x14ac:dyDescent="0.35">
      <c r="A1708" s="1">
        <v>1707</v>
      </c>
      <c r="B1708" s="1">
        <v>329</v>
      </c>
      <c r="C1708" s="1">
        <v>15</v>
      </c>
      <c r="D1708" t="str">
        <f>VLOOKUP(B1708,Заказы!A:C,3,0)</f>
        <v>2023-05-31 21:24:00</v>
      </c>
      <c r="E1708" t="str">
        <f>VLOOKUP(C1708,Меню!A:E,4,0)</f>
        <v>Первое</v>
      </c>
      <c r="F1708">
        <f>VLOOKUP(C1708,Меню!A:E,5,0)</f>
        <v>250</v>
      </c>
    </row>
    <row r="1709" spans="1:6" ht="15.75" hidden="1" customHeight="1" x14ac:dyDescent="0.35">
      <c r="A1709" s="1">
        <v>1708</v>
      </c>
      <c r="B1709" s="1">
        <v>330</v>
      </c>
      <c r="C1709" s="1">
        <v>31</v>
      </c>
      <c r="D1709" t="str">
        <f>VLOOKUP(B1709,Заказы!A:C,3,0)</f>
        <v>2023-05-31 22:42:00</v>
      </c>
      <c r="E1709" t="str">
        <f>VLOOKUP(C1709,Меню!A:E,4,0)</f>
        <v>Десерт</v>
      </c>
      <c r="F1709">
        <f>VLOOKUP(C1709,Меню!A:E,5,0)</f>
        <v>150</v>
      </c>
    </row>
    <row r="1710" spans="1:6" ht="15.75" hidden="1" customHeight="1" x14ac:dyDescent="0.35">
      <c r="A1710" s="1">
        <v>1709</v>
      </c>
      <c r="B1710" s="1">
        <v>330</v>
      </c>
      <c r="C1710" s="1">
        <v>33</v>
      </c>
      <c r="D1710" t="str">
        <f>VLOOKUP(B1710,Заказы!A:C,3,0)</f>
        <v>2023-05-31 22:42:00</v>
      </c>
      <c r="E1710" t="str">
        <f>VLOOKUP(C1710,Меню!A:E,4,0)</f>
        <v>Десерт</v>
      </c>
      <c r="F1710">
        <f>VLOOKUP(C1710,Меню!A:E,5,0)</f>
        <v>150</v>
      </c>
    </row>
    <row r="1711" spans="1:6" ht="15.75" hidden="1" customHeight="1" x14ac:dyDescent="0.35">
      <c r="A1711" s="1">
        <v>1710</v>
      </c>
      <c r="B1711" s="1">
        <v>330</v>
      </c>
      <c r="C1711" s="1">
        <v>24</v>
      </c>
      <c r="D1711" t="str">
        <f>VLOOKUP(B1711,Заказы!A:C,3,0)</f>
        <v>2023-05-31 22:42:00</v>
      </c>
      <c r="E1711" t="str">
        <f>VLOOKUP(C1711,Меню!A:E,4,0)</f>
        <v>Салат</v>
      </c>
      <c r="F1711">
        <f>VLOOKUP(C1711,Меню!A:E,5,0)</f>
        <v>250</v>
      </c>
    </row>
    <row r="1712" spans="1:6" ht="15.75" hidden="1" customHeight="1" x14ac:dyDescent="0.35">
      <c r="A1712" s="1">
        <v>1711</v>
      </c>
      <c r="B1712" s="1">
        <v>330</v>
      </c>
      <c r="C1712" s="1">
        <v>59</v>
      </c>
      <c r="D1712" t="str">
        <f>VLOOKUP(B1712,Заказы!A:C,3,0)</f>
        <v>2023-05-31 22:42:00</v>
      </c>
      <c r="E1712" t="str">
        <f>VLOOKUP(C1712,Меню!A:E,4,0)</f>
        <v>Суши</v>
      </c>
      <c r="F1712">
        <f>VLOOKUP(C1712,Меню!A:E,5,0)</f>
        <v>300</v>
      </c>
    </row>
    <row r="1713" spans="1:6" ht="15.75" hidden="1" customHeight="1" x14ac:dyDescent="0.35">
      <c r="A1713" s="1">
        <v>1712</v>
      </c>
      <c r="B1713" s="1">
        <v>330</v>
      </c>
      <c r="C1713" s="1">
        <v>57</v>
      </c>
      <c r="D1713" t="str">
        <f>VLOOKUP(B1713,Заказы!A:C,3,0)</f>
        <v>2023-05-31 22:42:00</v>
      </c>
      <c r="E1713" t="str">
        <f>VLOOKUP(C1713,Меню!A:E,4,0)</f>
        <v>Суши</v>
      </c>
      <c r="F1713">
        <f>VLOOKUP(C1713,Меню!A:E,5,0)</f>
        <v>200</v>
      </c>
    </row>
    <row r="1714" spans="1:6" ht="15.75" hidden="1" customHeight="1" x14ac:dyDescent="0.35">
      <c r="A1714" s="1">
        <v>1713</v>
      </c>
      <c r="B1714" s="1">
        <v>330</v>
      </c>
      <c r="C1714" s="1">
        <v>51</v>
      </c>
      <c r="D1714" t="str">
        <f>VLOOKUP(B1714,Заказы!A:C,3,0)</f>
        <v>2023-05-31 22:42:00</v>
      </c>
      <c r="E1714" t="str">
        <f>VLOOKUP(C1714,Меню!A:E,4,0)</f>
        <v>Суши</v>
      </c>
      <c r="F1714">
        <f>VLOOKUP(C1714,Меню!A:E,5,0)</f>
        <v>100</v>
      </c>
    </row>
    <row r="1715" spans="1:6" ht="15.75" hidden="1" customHeight="1" x14ac:dyDescent="0.35">
      <c r="A1715" s="1">
        <v>1714</v>
      </c>
      <c r="B1715" s="1">
        <v>330</v>
      </c>
      <c r="C1715" s="1">
        <v>15</v>
      </c>
      <c r="D1715" t="str">
        <f>VLOOKUP(B1715,Заказы!A:C,3,0)</f>
        <v>2023-05-31 22:42:00</v>
      </c>
      <c r="E1715" t="str">
        <f>VLOOKUP(C1715,Меню!A:E,4,0)</f>
        <v>Первое</v>
      </c>
      <c r="F1715">
        <f>VLOOKUP(C1715,Меню!A:E,5,0)</f>
        <v>250</v>
      </c>
    </row>
    <row r="1716" spans="1:6" ht="15.75" hidden="1" customHeight="1" x14ac:dyDescent="0.35">
      <c r="A1716" s="1">
        <v>1715</v>
      </c>
      <c r="B1716" s="1">
        <v>331</v>
      </c>
      <c r="C1716" s="1">
        <v>12</v>
      </c>
      <c r="D1716" t="str">
        <f>VLOOKUP(B1716,Заказы!A:C,3,0)</f>
        <v>2023-06-01 15:38:00</v>
      </c>
      <c r="E1716" t="str">
        <f>VLOOKUP(C1716,Меню!A:E,4,0)</f>
        <v>Первое</v>
      </c>
      <c r="F1716">
        <f>VLOOKUP(C1716,Меню!A:E,5,0)</f>
        <v>300</v>
      </c>
    </row>
    <row r="1717" spans="1:6" ht="15.75" hidden="1" customHeight="1" x14ac:dyDescent="0.35">
      <c r="A1717" s="1">
        <v>1716</v>
      </c>
      <c r="B1717" s="1">
        <v>331</v>
      </c>
      <c r="C1717" s="1">
        <v>27</v>
      </c>
      <c r="D1717" t="str">
        <f>VLOOKUP(B1717,Заказы!A:C,3,0)</f>
        <v>2023-06-01 15:38:00</v>
      </c>
      <c r="E1717" t="str">
        <f>VLOOKUP(C1717,Меню!A:E,4,0)</f>
        <v>Салат</v>
      </c>
      <c r="F1717">
        <f>VLOOKUP(C1717,Меню!A:E,5,0)</f>
        <v>250</v>
      </c>
    </row>
    <row r="1718" spans="1:6" ht="15.75" hidden="1" customHeight="1" x14ac:dyDescent="0.35">
      <c r="A1718" s="1">
        <v>1717</v>
      </c>
      <c r="B1718" s="1">
        <v>332</v>
      </c>
      <c r="C1718" s="1">
        <v>37</v>
      </c>
      <c r="D1718" t="str">
        <f>VLOOKUP(B1718,Заказы!A:C,3,0)</f>
        <v>2023-06-01 15:48:00</v>
      </c>
      <c r="E1718" t="str">
        <f>VLOOKUP(C1718,Меню!A:E,4,0)</f>
        <v>Десерт</v>
      </c>
      <c r="F1718">
        <f>VLOOKUP(C1718,Меню!A:E,5,0)</f>
        <v>100</v>
      </c>
    </row>
    <row r="1719" spans="1:6" ht="15.75" hidden="1" customHeight="1" x14ac:dyDescent="0.35">
      <c r="A1719" s="1">
        <v>1718</v>
      </c>
      <c r="B1719" s="1">
        <v>333</v>
      </c>
      <c r="C1719" s="1">
        <v>57</v>
      </c>
      <c r="D1719" t="str">
        <f>VLOOKUP(B1719,Заказы!A:C,3,0)</f>
        <v>2023-06-01 18:22:00</v>
      </c>
      <c r="E1719" t="str">
        <f>VLOOKUP(C1719,Меню!A:E,4,0)</f>
        <v>Суши</v>
      </c>
      <c r="F1719">
        <f>VLOOKUP(C1719,Меню!A:E,5,0)</f>
        <v>200</v>
      </c>
    </row>
    <row r="1720" spans="1:6" ht="15.75" hidden="1" customHeight="1" x14ac:dyDescent="0.35">
      <c r="A1720" s="1">
        <v>1719</v>
      </c>
      <c r="B1720" s="1">
        <v>333</v>
      </c>
      <c r="C1720" s="1">
        <v>43</v>
      </c>
      <c r="D1720" t="str">
        <f>VLOOKUP(B1720,Заказы!A:C,3,0)</f>
        <v>2023-06-01 18:22:00</v>
      </c>
      <c r="E1720" t="str">
        <f>VLOOKUP(C1720,Меню!A:E,4,0)</f>
        <v>Суши</v>
      </c>
      <c r="F1720">
        <f>VLOOKUP(C1720,Меню!A:E,5,0)</f>
        <v>250</v>
      </c>
    </row>
    <row r="1721" spans="1:6" ht="15.75" hidden="1" customHeight="1" x14ac:dyDescent="0.35">
      <c r="A1721" s="1">
        <v>1720</v>
      </c>
      <c r="B1721" s="1">
        <v>333</v>
      </c>
      <c r="C1721" s="1">
        <v>1</v>
      </c>
      <c r="D1721" t="str">
        <f>VLOOKUP(B1721,Заказы!A:C,3,0)</f>
        <v>2023-06-01 18:22:00</v>
      </c>
      <c r="E1721" t="str">
        <f>VLOOKUP(C1721,Меню!A:E,4,0)</f>
        <v>Завтрак</v>
      </c>
      <c r="F1721">
        <f>VLOOKUP(C1721,Меню!A:E,5,0)</f>
        <v>200</v>
      </c>
    </row>
    <row r="1722" spans="1:6" ht="15.75" hidden="1" customHeight="1" x14ac:dyDescent="0.35">
      <c r="A1722" s="1">
        <v>1721</v>
      </c>
      <c r="B1722" s="1">
        <v>333</v>
      </c>
      <c r="C1722" s="1">
        <v>20</v>
      </c>
      <c r="D1722" t="str">
        <f>VLOOKUP(B1722,Заказы!A:C,3,0)</f>
        <v>2023-06-01 18:22:00</v>
      </c>
      <c r="E1722" t="str">
        <f>VLOOKUP(C1722,Меню!A:E,4,0)</f>
        <v>Первое</v>
      </c>
      <c r="F1722">
        <f>VLOOKUP(C1722,Меню!A:E,5,0)</f>
        <v>250</v>
      </c>
    </row>
    <row r="1723" spans="1:6" ht="15.75" hidden="1" customHeight="1" x14ac:dyDescent="0.35">
      <c r="A1723" s="1">
        <v>1722</v>
      </c>
      <c r="B1723" s="1">
        <v>333</v>
      </c>
      <c r="C1723" s="1">
        <v>22</v>
      </c>
      <c r="D1723" t="str">
        <f>VLOOKUP(B1723,Заказы!A:C,3,0)</f>
        <v>2023-06-01 18:22:00</v>
      </c>
      <c r="E1723" t="str">
        <f>VLOOKUP(C1723,Меню!A:E,4,0)</f>
        <v>Салат</v>
      </c>
      <c r="F1723">
        <f>VLOOKUP(C1723,Меню!A:E,5,0)</f>
        <v>250</v>
      </c>
    </row>
    <row r="1724" spans="1:6" ht="15.75" hidden="1" customHeight="1" x14ac:dyDescent="0.35">
      <c r="A1724" s="1">
        <v>1723</v>
      </c>
      <c r="B1724" s="1">
        <v>334</v>
      </c>
      <c r="C1724" s="1">
        <v>42</v>
      </c>
      <c r="D1724" t="str">
        <f>VLOOKUP(B1724,Заказы!A:C,3,0)</f>
        <v>2023-06-01 20:54:00</v>
      </c>
      <c r="E1724" t="str">
        <f>VLOOKUP(C1724,Меню!A:E,4,0)</f>
        <v>Суши</v>
      </c>
      <c r="F1724">
        <f>VLOOKUP(C1724,Меню!A:E,5,0)</f>
        <v>250</v>
      </c>
    </row>
    <row r="1725" spans="1:6" ht="15.75" hidden="1" customHeight="1" x14ac:dyDescent="0.35">
      <c r="A1725" s="1">
        <v>1724</v>
      </c>
      <c r="B1725" s="1">
        <v>335</v>
      </c>
      <c r="C1725" s="1">
        <v>33</v>
      </c>
      <c r="D1725" t="str">
        <f>VLOOKUP(B1725,Заказы!A:C,3,0)</f>
        <v>2023-06-01 21:30:00</v>
      </c>
      <c r="E1725" t="str">
        <f>VLOOKUP(C1725,Меню!A:E,4,0)</f>
        <v>Десерт</v>
      </c>
      <c r="F1725">
        <f>VLOOKUP(C1725,Меню!A:E,5,0)</f>
        <v>150</v>
      </c>
    </row>
    <row r="1726" spans="1:6" ht="15.75" hidden="1" customHeight="1" x14ac:dyDescent="0.35">
      <c r="A1726" s="1">
        <v>1725</v>
      </c>
      <c r="B1726" s="1">
        <v>335</v>
      </c>
      <c r="C1726" s="1">
        <v>26</v>
      </c>
      <c r="D1726" t="str">
        <f>VLOOKUP(B1726,Заказы!A:C,3,0)</f>
        <v>2023-06-01 21:30:00</v>
      </c>
      <c r="E1726" t="str">
        <f>VLOOKUP(C1726,Меню!A:E,4,0)</f>
        <v>Салат</v>
      </c>
      <c r="F1726">
        <f>VLOOKUP(C1726,Меню!A:E,5,0)</f>
        <v>250</v>
      </c>
    </row>
    <row r="1727" spans="1:6" ht="15.75" hidden="1" customHeight="1" x14ac:dyDescent="0.35">
      <c r="A1727" s="1">
        <v>1726</v>
      </c>
      <c r="B1727" s="1">
        <v>335</v>
      </c>
      <c r="C1727" s="1">
        <v>21</v>
      </c>
      <c r="D1727" t="str">
        <f>VLOOKUP(B1727,Заказы!A:C,3,0)</f>
        <v>2023-06-01 21:30:00</v>
      </c>
      <c r="E1727" t="str">
        <f>VLOOKUP(C1727,Меню!A:E,4,0)</f>
        <v>Салат</v>
      </c>
      <c r="F1727">
        <f>VLOOKUP(C1727,Меню!A:E,5,0)</f>
        <v>250</v>
      </c>
    </row>
    <row r="1728" spans="1:6" ht="15.75" hidden="1" customHeight="1" x14ac:dyDescent="0.35">
      <c r="A1728" s="1">
        <v>1727</v>
      </c>
      <c r="B1728" s="1">
        <v>335</v>
      </c>
      <c r="C1728" s="1">
        <v>52</v>
      </c>
      <c r="D1728" t="str">
        <f>VLOOKUP(B1728,Заказы!A:C,3,0)</f>
        <v>2023-06-01 21:30:00</v>
      </c>
      <c r="E1728" t="str">
        <f>VLOOKUP(C1728,Меню!A:E,4,0)</f>
        <v>Суши</v>
      </c>
      <c r="F1728">
        <f>VLOOKUP(C1728,Меню!A:E,5,0)</f>
        <v>100</v>
      </c>
    </row>
    <row r="1729" spans="1:6" ht="15.75" hidden="1" customHeight="1" x14ac:dyDescent="0.35">
      <c r="A1729" s="1">
        <v>1728</v>
      </c>
      <c r="B1729" s="1">
        <v>336</v>
      </c>
      <c r="C1729" s="1">
        <v>52</v>
      </c>
      <c r="D1729" t="str">
        <f>VLOOKUP(B1729,Заказы!A:C,3,0)</f>
        <v>2023-06-01 22:55:00</v>
      </c>
      <c r="E1729" t="str">
        <f>VLOOKUP(C1729,Меню!A:E,4,0)</f>
        <v>Суши</v>
      </c>
      <c r="F1729">
        <f>VLOOKUP(C1729,Меню!A:E,5,0)</f>
        <v>100</v>
      </c>
    </row>
    <row r="1730" spans="1:6" ht="15.75" hidden="1" customHeight="1" x14ac:dyDescent="0.35">
      <c r="A1730" s="1">
        <v>1729</v>
      </c>
      <c r="B1730" s="1">
        <v>336</v>
      </c>
      <c r="C1730" s="1">
        <v>7</v>
      </c>
      <c r="D1730" t="str">
        <f>VLOOKUP(B1730,Заказы!A:C,3,0)</f>
        <v>2023-06-01 22:55:00</v>
      </c>
      <c r="E1730" t="str">
        <f>VLOOKUP(C1730,Меню!A:E,4,0)</f>
        <v>Завтрак</v>
      </c>
      <c r="F1730">
        <f>VLOOKUP(C1730,Меню!A:E,5,0)</f>
        <v>200</v>
      </c>
    </row>
    <row r="1731" spans="1:6" ht="15.75" hidden="1" customHeight="1" x14ac:dyDescent="0.35">
      <c r="A1731" s="1">
        <v>1730</v>
      </c>
      <c r="B1731" s="1">
        <v>337</v>
      </c>
      <c r="C1731" s="1">
        <v>27</v>
      </c>
      <c r="D1731" t="str">
        <f>VLOOKUP(B1731,Заказы!A:C,3,0)</f>
        <v>2023-06-02 19:58:00</v>
      </c>
      <c r="E1731" t="str">
        <f>VLOOKUP(C1731,Меню!A:E,4,0)</f>
        <v>Салат</v>
      </c>
      <c r="F1731">
        <f>VLOOKUP(C1731,Меню!A:E,5,0)</f>
        <v>250</v>
      </c>
    </row>
    <row r="1732" spans="1:6" ht="15.75" hidden="1" customHeight="1" x14ac:dyDescent="0.35">
      <c r="A1732" s="1">
        <v>1731</v>
      </c>
      <c r="B1732" s="1">
        <v>337</v>
      </c>
      <c r="C1732" s="1">
        <v>30</v>
      </c>
      <c r="D1732" t="str">
        <f>VLOOKUP(B1732,Заказы!A:C,3,0)</f>
        <v>2023-06-02 19:58:00</v>
      </c>
      <c r="E1732" t="str">
        <f>VLOOKUP(C1732,Меню!A:E,4,0)</f>
        <v>Салат</v>
      </c>
      <c r="F1732">
        <f>VLOOKUP(C1732,Меню!A:E,5,0)</f>
        <v>250</v>
      </c>
    </row>
    <row r="1733" spans="1:6" ht="15.75" hidden="1" customHeight="1" x14ac:dyDescent="0.35">
      <c r="A1733" s="1">
        <v>1732</v>
      </c>
      <c r="B1733" s="1">
        <v>337</v>
      </c>
      <c r="C1733" s="1">
        <v>52</v>
      </c>
      <c r="D1733" t="str">
        <f>VLOOKUP(B1733,Заказы!A:C,3,0)</f>
        <v>2023-06-02 19:58:00</v>
      </c>
      <c r="E1733" t="str">
        <f>VLOOKUP(C1733,Меню!A:E,4,0)</f>
        <v>Суши</v>
      </c>
      <c r="F1733">
        <f>VLOOKUP(C1733,Меню!A:E,5,0)</f>
        <v>100</v>
      </c>
    </row>
    <row r="1734" spans="1:6" ht="15.75" hidden="1" customHeight="1" x14ac:dyDescent="0.35">
      <c r="A1734" s="1">
        <v>1733</v>
      </c>
      <c r="B1734" s="1">
        <v>337</v>
      </c>
      <c r="C1734" s="1">
        <v>15</v>
      </c>
      <c r="D1734" t="str">
        <f>VLOOKUP(B1734,Заказы!A:C,3,0)</f>
        <v>2023-06-02 19:58:00</v>
      </c>
      <c r="E1734" t="str">
        <f>VLOOKUP(C1734,Меню!A:E,4,0)</f>
        <v>Первое</v>
      </c>
      <c r="F1734">
        <f>VLOOKUP(C1734,Меню!A:E,5,0)</f>
        <v>250</v>
      </c>
    </row>
    <row r="1735" spans="1:6" ht="15.75" hidden="1" customHeight="1" x14ac:dyDescent="0.35">
      <c r="A1735" s="1">
        <v>1734</v>
      </c>
      <c r="B1735" s="1">
        <v>337</v>
      </c>
      <c r="C1735" s="1">
        <v>26</v>
      </c>
      <c r="D1735" t="str">
        <f>VLOOKUP(B1735,Заказы!A:C,3,0)</f>
        <v>2023-06-02 19:58:00</v>
      </c>
      <c r="E1735" t="str">
        <f>VLOOKUP(C1735,Меню!A:E,4,0)</f>
        <v>Салат</v>
      </c>
      <c r="F1735">
        <f>VLOOKUP(C1735,Меню!A:E,5,0)</f>
        <v>250</v>
      </c>
    </row>
    <row r="1736" spans="1:6" ht="15.75" hidden="1" customHeight="1" x14ac:dyDescent="0.35">
      <c r="A1736" s="1">
        <v>1735</v>
      </c>
      <c r="B1736" s="1">
        <v>337</v>
      </c>
      <c r="C1736" s="1">
        <v>14</v>
      </c>
      <c r="D1736" t="str">
        <f>VLOOKUP(B1736,Заказы!A:C,3,0)</f>
        <v>2023-06-02 19:58:00</v>
      </c>
      <c r="E1736" t="str">
        <f>VLOOKUP(C1736,Меню!A:E,4,0)</f>
        <v>Первое</v>
      </c>
      <c r="F1736">
        <f>VLOOKUP(C1736,Меню!A:E,5,0)</f>
        <v>350</v>
      </c>
    </row>
    <row r="1737" spans="1:6" ht="15.75" hidden="1" customHeight="1" x14ac:dyDescent="0.35">
      <c r="A1737" s="1">
        <v>1736</v>
      </c>
      <c r="B1737" s="1">
        <v>338</v>
      </c>
      <c r="C1737" s="1">
        <v>58</v>
      </c>
      <c r="D1737" t="str">
        <f>VLOOKUP(B1737,Заказы!A:C,3,0)</f>
        <v>2023-06-03 15:29:00</v>
      </c>
      <c r="E1737" t="str">
        <f>VLOOKUP(C1737,Меню!A:E,4,0)</f>
        <v>Суши</v>
      </c>
      <c r="F1737">
        <f>VLOOKUP(C1737,Меню!A:E,5,0)</f>
        <v>200</v>
      </c>
    </row>
    <row r="1738" spans="1:6" ht="15.75" hidden="1" customHeight="1" x14ac:dyDescent="0.35">
      <c r="A1738" s="1">
        <v>1737</v>
      </c>
      <c r="B1738" s="1">
        <v>338</v>
      </c>
      <c r="C1738" s="1">
        <v>57</v>
      </c>
      <c r="D1738" t="str">
        <f>VLOOKUP(B1738,Заказы!A:C,3,0)</f>
        <v>2023-06-03 15:29:00</v>
      </c>
      <c r="E1738" t="str">
        <f>VLOOKUP(C1738,Меню!A:E,4,0)</f>
        <v>Суши</v>
      </c>
      <c r="F1738">
        <f>VLOOKUP(C1738,Меню!A:E,5,0)</f>
        <v>200</v>
      </c>
    </row>
    <row r="1739" spans="1:6" ht="15.75" hidden="1" customHeight="1" x14ac:dyDescent="0.35">
      <c r="A1739" s="1">
        <v>1738</v>
      </c>
      <c r="B1739" s="1">
        <v>338</v>
      </c>
      <c r="C1739" s="1">
        <v>33</v>
      </c>
      <c r="D1739" t="str">
        <f>VLOOKUP(B1739,Заказы!A:C,3,0)</f>
        <v>2023-06-03 15:29:00</v>
      </c>
      <c r="E1739" t="str">
        <f>VLOOKUP(C1739,Меню!A:E,4,0)</f>
        <v>Десерт</v>
      </c>
      <c r="F1739">
        <f>VLOOKUP(C1739,Меню!A:E,5,0)</f>
        <v>150</v>
      </c>
    </row>
    <row r="1740" spans="1:6" ht="15.75" hidden="1" customHeight="1" x14ac:dyDescent="0.35">
      <c r="A1740" s="1">
        <v>1739</v>
      </c>
      <c r="B1740" s="1">
        <v>338</v>
      </c>
      <c r="C1740" s="1">
        <v>17</v>
      </c>
      <c r="D1740" t="str">
        <f>VLOOKUP(B1740,Заказы!A:C,3,0)</f>
        <v>2023-06-03 15:29:00</v>
      </c>
      <c r="E1740" t="str">
        <f>VLOOKUP(C1740,Меню!A:E,4,0)</f>
        <v>Первое</v>
      </c>
      <c r="F1740">
        <f>VLOOKUP(C1740,Меню!A:E,5,0)</f>
        <v>250</v>
      </c>
    </row>
    <row r="1741" spans="1:6" ht="15.75" hidden="1" customHeight="1" x14ac:dyDescent="0.35">
      <c r="A1741" s="1">
        <v>1740</v>
      </c>
      <c r="B1741" s="1">
        <v>338</v>
      </c>
      <c r="C1741" s="1">
        <v>33</v>
      </c>
      <c r="D1741" t="str">
        <f>VLOOKUP(B1741,Заказы!A:C,3,0)</f>
        <v>2023-06-03 15:29:00</v>
      </c>
      <c r="E1741" t="str">
        <f>VLOOKUP(C1741,Меню!A:E,4,0)</f>
        <v>Десерт</v>
      </c>
      <c r="F1741">
        <f>VLOOKUP(C1741,Меню!A:E,5,0)</f>
        <v>150</v>
      </c>
    </row>
    <row r="1742" spans="1:6" ht="15.75" hidden="1" customHeight="1" x14ac:dyDescent="0.35">
      <c r="A1742" s="1">
        <v>1741</v>
      </c>
      <c r="B1742" s="1">
        <v>338</v>
      </c>
      <c r="C1742" s="1">
        <v>25</v>
      </c>
      <c r="D1742" t="str">
        <f>VLOOKUP(B1742,Заказы!A:C,3,0)</f>
        <v>2023-06-03 15:29:00</v>
      </c>
      <c r="E1742" t="str">
        <f>VLOOKUP(C1742,Меню!A:E,4,0)</f>
        <v>Салат</v>
      </c>
      <c r="F1742">
        <f>VLOOKUP(C1742,Меню!A:E,5,0)</f>
        <v>250</v>
      </c>
    </row>
    <row r="1743" spans="1:6" ht="15.75" hidden="1" customHeight="1" x14ac:dyDescent="0.35">
      <c r="A1743" s="1">
        <v>1742</v>
      </c>
      <c r="B1743" s="1">
        <v>338</v>
      </c>
      <c r="C1743" s="1">
        <v>20</v>
      </c>
      <c r="D1743" t="str">
        <f>VLOOKUP(B1743,Заказы!A:C,3,0)</f>
        <v>2023-06-03 15:29:00</v>
      </c>
      <c r="E1743" t="str">
        <f>VLOOKUP(C1743,Меню!A:E,4,0)</f>
        <v>Первое</v>
      </c>
      <c r="F1743">
        <f>VLOOKUP(C1743,Меню!A:E,5,0)</f>
        <v>250</v>
      </c>
    </row>
    <row r="1744" spans="1:6" ht="15.75" hidden="1" customHeight="1" x14ac:dyDescent="0.35">
      <c r="A1744" s="1">
        <v>1743</v>
      </c>
      <c r="B1744" s="1">
        <v>339</v>
      </c>
      <c r="C1744" s="1">
        <v>59</v>
      </c>
      <c r="D1744" t="str">
        <f>VLOOKUP(B1744,Заказы!A:C,3,0)</f>
        <v>2023-06-03 15:42:00</v>
      </c>
      <c r="E1744" t="str">
        <f>VLOOKUP(C1744,Меню!A:E,4,0)</f>
        <v>Суши</v>
      </c>
      <c r="F1744">
        <f>VLOOKUP(C1744,Меню!A:E,5,0)</f>
        <v>300</v>
      </c>
    </row>
    <row r="1745" spans="1:6" ht="15.75" hidden="1" customHeight="1" x14ac:dyDescent="0.35">
      <c r="A1745" s="1">
        <v>1744</v>
      </c>
      <c r="B1745" s="1">
        <v>339</v>
      </c>
      <c r="C1745" s="1">
        <v>22</v>
      </c>
      <c r="D1745" t="str">
        <f>VLOOKUP(B1745,Заказы!A:C,3,0)</f>
        <v>2023-06-03 15:42:00</v>
      </c>
      <c r="E1745" t="str">
        <f>VLOOKUP(C1745,Меню!A:E,4,0)</f>
        <v>Салат</v>
      </c>
      <c r="F1745">
        <f>VLOOKUP(C1745,Меню!A:E,5,0)</f>
        <v>250</v>
      </c>
    </row>
    <row r="1746" spans="1:6" ht="15.75" hidden="1" customHeight="1" x14ac:dyDescent="0.35">
      <c r="A1746" s="1">
        <v>1745</v>
      </c>
      <c r="B1746" s="1">
        <v>339</v>
      </c>
      <c r="C1746" s="1">
        <v>4</v>
      </c>
      <c r="D1746" t="str">
        <f>VLOOKUP(B1746,Заказы!A:C,3,0)</f>
        <v>2023-06-03 15:42:00</v>
      </c>
      <c r="E1746" t="str">
        <f>VLOOKUP(C1746,Меню!A:E,4,0)</f>
        <v>Завтрак</v>
      </c>
      <c r="F1746">
        <f>VLOOKUP(C1746,Меню!A:E,5,0)</f>
        <v>180</v>
      </c>
    </row>
    <row r="1747" spans="1:6" ht="15.75" hidden="1" customHeight="1" x14ac:dyDescent="0.35">
      <c r="A1747" s="1">
        <v>1746</v>
      </c>
      <c r="B1747" s="1">
        <v>339</v>
      </c>
      <c r="C1747" s="1">
        <v>14</v>
      </c>
      <c r="D1747" t="str">
        <f>VLOOKUP(B1747,Заказы!A:C,3,0)</f>
        <v>2023-06-03 15:42:00</v>
      </c>
      <c r="E1747" t="str">
        <f>VLOOKUP(C1747,Меню!A:E,4,0)</f>
        <v>Первое</v>
      </c>
      <c r="F1747">
        <f>VLOOKUP(C1747,Меню!A:E,5,0)</f>
        <v>350</v>
      </c>
    </row>
    <row r="1748" spans="1:6" ht="15.75" hidden="1" customHeight="1" x14ac:dyDescent="0.35">
      <c r="A1748" s="1">
        <v>1747</v>
      </c>
      <c r="B1748" s="1">
        <v>339</v>
      </c>
      <c r="C1748" s="1">
        <v>48</v>
      </c>
      <c r="D1748" t="str">
        <f>VLOOKUP(B1748,Заказы!A:C,3,0)</f>
        <v>2023-06-03 15:42:00</v>
      </c>
      <c r="E1748" t="str">
        <f>VLOOKUP(C1748,Меню!A:E,4,0)</f>
        <v>Суши</v>
      </c>
      <c r="F1748">
        <f>VLOOKUP(C1748,Меню!A:E,5,0)</f>
        <v>200</v>
      </c>
    </row>
    <row r="1749" spans="1:6" ht="15.75" hidden="1" customHeight="1" x14ac:dyDescent="0.35">
      <c r="A1749" s="1">
        <v>1748</v>
      </c>
      <c r="B1749" s="1">
        <v>339</v>
      </c>
      <c r="C1749" s="1">
        <v>32</v>
      </c>
      <c r="D1749" t="str">
        <f>VLOOKUP(B1749,Заказы!A:C,3,0)</f>
        <v>2023-06-03 15:42:00</v>
      </c>
      <c r="E1749" t="str">
        <f>VLOOKUP(C1749,Меню!A:E,4,0)</f>
        <v>Десерт</v>
      </c>
      <c r="F1749">
        <f>VLOOKUP(C1749,Меню!A:E,5,0)</f>
        <v>150</v>
      </c>
    </row>
    <row r="1750" spans="1:6" ht="15.75" hidden="1" customHeight="1" x14ac:dyDescent="0.35">
      <c r="A1750" s="1">
        <v>1749</v>
      </c>
      <c r="B1750" s="1">
        <v>339</v>
      </c>
      <c r="C1750" s="1">
        <v>25</v>
      </c>
      <c r="D1750" t="str">
        <f>VLOOKUP(B1750,Заказы!A:C,3,0)</f>
        <v>2023-06-03 15:42:00</v>
      </c>
      <c r="E1750" t="str">
        <f>VLOOKUP(C1750,Меню!A:E,4,0)</f>
        <v>Салат</v>
      </c>
      <c r="F1750">
        <f>VLOOKUP(C1750,Меню!A:E,5,0)</f>
        <v>250</v>
      </c>
    </row>
    <row r="1751" spans="1:6" ht="15.75" hidden="1" customHeight="1" x14ac:dyDescent="0.35">
      <c r="A1751" s="1">
        <v>1750</v>
      </c>
      <c r="B1751" s="1">
        <v>339</v>
      </c>
      <c r="C1751" s="1">
        <v>24</v>
      </c>
      <c r="D1751" t="str">
        <f>VLOOKUP(B1751,Заказы!A:C,3,0)</f>
        <v>2023-06-03 15:42:00</v>
      </c>
      <c r="E1751" t="str">
        <f>VLOOKUP(C1751,Меню!A:E,4,0)</f>
        <v>Салат</v>
      </c>
      <c r="F1751">
        <f>VLOOKUP(C1751,Меню!A:E,5,0)</f>
        <v>250</v>
      </c>
    </row>
    <row r="1752" spans="1:6" ht="15.75" hidden="1" customHeight="1" x14ac:dyDescent="0.35">
      <c r="A1752" s="1">
        <v>1751</v>
      </c>
      <c r="B1752" s="1">
        <v>339</v>
      </c>
      <c r="C1752" s="1">
        <v>9</v>
      </c>
      <c r="D1752" t="str">
        <f>VLOOKUP(B1752,Заказы!A:C,3,0)</f>
        <v>2023-06-03 15:42:00</v>
      </c>
      <c r="E1752" t="str">
        <f>VLOOKUP(C1752,Меню!A:E,4,0)</f>
        <v>Завтрак</v>
      </c>
      <c r="F1752">
        <f>VLOOKUP(C1752,Меню!A:E,5,0)</f>
        <v>220</v>
      </c>
    </row>
    <row r="1753" spans="1:6" ht="15.75" hidden="1" customHeight="1" x14ac:dyDescent="0.35">
      <c r="A1753" s="1">
        <v>1752</v>
      </c>
      <c r="B1753" s="1">
        <v>339</v>
      </c>
      <c r="C1753" s="1">
        <v>27</v>
      </c>
      <c r="D1753" t="str">
        <f>VLOOKUP(B1753,Заказы!A:C,3,0)</f>
        <v>2023-06-03 15:42:00</v>
      </c>
      <c r="E1753" t="str">
        <f>VLOOKUP(C1753,Меню!A:E,4,0)</f>
        <v>Салат</v>
      </c>
      <c r="F1753">
        <f>VLOOKUP(C1753,Меню!A:E,5,0)</f>
        <v>250</v>
      </c>
    </row>
    <row r="1754" spans="1:6" ht="15.75" hidden="1" customHeight="1" x14ac:dyDescent="0.35">
      <c r="A1754" s="1">
        <v>1753</v>
      </c>
      <c r="B1754" s="1">
        <v>339</v>
      </c>
      <c r="C1754" s="1">
        <v>41</v>
      </c>
      <c r="D1754" t="str">
        <f>VLOOKUP(B1754,Заказы!A:C,3,0)</f>
        <v>2023-06-03 15:42:00</v>
      </c>
      <c r="E1754" t="str">
        <f>VLOOKUP(C1754,Меню!A:E,4,0)</f>
        <v>Суши</v>
      </c>
      <c r="F1754">
        <f>VLOOKUP(C1754,Меню!A:E,5,0)</f>
        <v>220</v>
      </c>
    </row>
    <row r="1755" spans="1:6" ht="15.75" hidden="1" customHeight="1" x14ac:dyDescent="0.35">
      <c r="A1755" s="1">
        <v>1754</v>
      </c>
      <c r="B1755" s="1">
        <v>339</v>
      </c>
      <c r="C1755" s="1">
        <v>57</v>
      </c>
      <c r="D1755" t="str">
        <f>VLOOKUP(B1755,Заказы!A:C,3,0)</f>
        <v>2023-06-03 15:42:00</v>
      </c>
      <c r="E1755" t="str">
        <f>VLOOKUP(C1755,Меню!A:E,4,0)</f>
        <v>Суши</v>
      </c>
      <c r="F1755">
        <f>VLOOKUP(C1755,Меню!A:E,5,0)</f>
        <v>200</v>
      </c>
    </row>
    <row r="1756" spans="1:6" ht="15.75" hidden="1" customHeight="1" x14ac:dyDescent="0.35">
      <c r="A1756" s="1">
        <v>1755</v>
      </c>
      <c r="B1756" s="1">
        <v>340</v>
      </c>
      <c r="C1756" s="1">
        <v>22</v>
      </c>
      <c r="D1756" t="str">
        <f>VLOOKUP(B1756,Заказы!A:C,3,0)</f>
        <v>2023-06-03 16:16:00</v>
      </c>
      <c r="E1756" t="str">
        <f>VLOOKUP(C1756,Меню!A:E,4,0)</f>
        <v>Салат</v>
      </c>
      <c r="F1756">
        <f>VLOOKUP(C1756,Меню!A:E,5,0)</f>
        <v>250</v>
      </c>
    </row>
    <row r="1757" spans="1:6" ht="15.75" hidden="1" customHeight="1" x14ac:dyDescent="0.35">
      <c r="A1757" s="1">
        <v>1756</v>
      </c>
      <c r="B1757" s="1">
        <v>340</v>
      </c>
      <c r="C1757" s="1">
        <v>2</v>
      </c>
      <c r="D1757" t="str">
        <f>VLOOKUP(B1757,Заказы!A:C,3,0)</f>
        <v>2023-06-03 16:16:00</v>
      </c>
      <c r="E1757" t="str">
        <f>VLOOKUP(C1757,Меню!A:E,4,0)</f>
        <v>Завтрак</v>
      </c>
      <c r="F1757">
        <f>VLOOKUP(C1757,Меню!A:E,5,0)</f>
        <v>250</v>
      </c>
    </row>
    <row r="1758" spans="1:6" ht="15.75" hidden="1" customHeight="1" x14ac:dyDescent="0.35">
      <c r="A1758" s="1">
        <v>1757</v>
      </c>
      <c r="B1758" s="1">
        <v>340</v>
      </c>
      <c r="C1758" s="1">
        <v>11</v>
      </c>
      <c r="D1758" t="str">
        <f>VLOOKUP(B1758,Заказы!A:C,3,0)</f>
        <v>2023-06-03 16:16:00</v>
      </c>
      <c r="E1758" t="str">
        <f>VLOOKUP(C1758,Меню!A:E,4,0)</f>
        <v>Первое</v>
      </c>
      <c r="F1758">
        <f>VLOOKUP(C1758,Меню!A:E,5,0)</f>
        <v>300</v>
      </c>
    </row>
    <row r="1759" spans="1:6" ht="15.75" hidden="1" customHeight="1" x14ac:dyDescent="0.35">
      <c r="A1759" s="1">
        <v>1758</v>
      </c>
      <c r="B1759" s="1">
        <v>341</v>
      </c>
      <c r="C1759" s="1">
        <v>4</v>
      </c>
      <c r="D1759" t="str">
        <f>VLOOKUP(B1759,Заказы!A:C,3,0)</f>
        <v>2023-06-03 17:14:00</v>
      </c>
      <c r="E1759" t="str">
        <f>VLOOKUP(C1759,Меню!A:E,4,0)</f>
        <v>Завтрак</v>
      </c>
      <c r="F1759">
        <f>VLOOKUP(C1759,Меню!A:E,5,0)</f>
        <v>180</v>
      </c>
    </row>
    <row r="1760" spans="1:6" ht="15.75" hidden="1" customHeight="1" x14ac:dyDescent="0.35">
      <c r="A1760" s="1">
        <v>1759</v>
      </c>
      <c r="B1760" s="1">
        <v>341</v>
      </c>
      <c r="C1760" s="1">
        <v>45</v>
      </c>
      <c r="D1760" t="str">
        <f>VLOOKUP(B1760,Заказы!A:C,3,0)</f>
        <v>2023-06-03 17:14:00</v>
      </c>
      <c r="E1760" t="str">
        <f>VLOOKUP(C1760,Меню!A:E,4,0)</f>
        <v>Суши</v>
      </c>
      <c r="F1760">
        <f>VLOOKUP(C1760,Меню!A:E,5,0)</f>
        <v>200</v>
      </c>
    </row>
    <row r="1761" spans="1:6" ht="15.75" hidden="1" customHeight="1" x14ac:dyDescent="0.35">
      <c r="A1761" s="1">
        <v>1760</v>
      </c>
      <c r="B1761" s="1">
        <v>341</v>
      </c>
      <c r="C1761" s="1">
        <v>50</v>
      </c>
      <c r="D1761" t="str">
        <f>VLOOKUP(B1761,Заказы!A:C,3,0)</f>
        <v>2023-06-03 17:14:00</v>
      </c>
      <c r="E1761" t="str">
        <f>VLOOKUP(C1761,Меню!A:E,4,0)</f>
        <v>Суши</v>
      </c>
      <c r="F1761">
        <f>VLOOKUP(C1761,Меню!A:E,5,0)</f>
        <v>200</v>
      </c>
    </row>
    <row r="1762" spans="1:6" ht="15.75" hidden="1" customHeight="1" x14ac:dyDescent="0.35">
      <c r="A1762" s="1">
        <v>1761</v>
      </c>
      <c r="B1762" s="1">
        <v>341</v>
      </c>
      <c r="C1762" s="1">
        <v>47</v>
      </c>
      <c r="D1762" t="str">
        <f>VLOOKUP(B1762,Заказы!A:C,3,0)</f>
        <v>2023-06-03 17:14:00</v>
      </c>
      <c r="E1762" t="str">
        <f>VLOOKUP(C1762,Меню!A:E,4,0)</f>
        <v>Суши</v>
      </c>
      <c r="F1762">
        <f>VLOOKUP(C1762,Меню!A:E,5,0)</f>
        <v>200</v>
      </c>
    </row>
    <row r="1763" spans="1:6" ht="15.75" hidden="1" customHeight="1" x14ac:dyDescent="0.35">
      <c r="A1763" s="1">
        <v>1762</v>
      </c>
      <c r="B1763" s="1">
        <v>342</v>
      </c>
      <c r="C1763" s="1">
        <v>29</v>
      </c>
      <c r="D1763" t="str">
        <f>VLOOKUP(B1763,Заказы!A:C,3,0)</f>
        <v>2023-06-03 19:33:00</v>
      </c>
      <c r="E1763" t="str">
        <f>VLOOKUP(C1763,Меню!A:E,4,0)</f>
        <v>Салат</v>
      </c>
      <c r="F1763">
        <f>VLOOKUP(C1763,Меню!A:E,5,0)</f>
        <v>250</v>
      </c>
    </row>
    <row r="1764" spans="1:6" ht="15.75" hidden="1" customHeight="1" x14ac:dyDescent="0.35">
      <c r="A1764" s="1">
        <v>1763</v>
      </c>
      <c r="B1764" s="1">
        <v>342</v>
      </c>
      <c r="C1764" s="1">
        <v>59</v>
      </c>
      <c r="D1764" t="str">
        <f>VLOOKUP(B1764,Заказы!A:C,3,0)</f>
        <v>2023-06-03 19:33:00</v>
      </c>
      <c r="E1764" t="str">
        <f>VLOOKUP(C1764,Меню!A:E,4,0)</f>
        <v>Суши</v>
      </c>
      <c r="F1764">
        <f>VLOOKUP(C1764,Меню!A:E,5,0)</f>
        <v>300</v>
      </c>
    </row>
    <row r="1765" spans="1:6" ht="15.75" hidden="1" customHeight="1" x14ac:dyDescent="0.35">
      <c r="A1765" s="1">
        <v>1764</v>
      </c>
      <c r="B1765" s="1">
        <v>342</v>
      </c>
      <c r="C1765" s="1">
        <v>2</v>
      </c>
      <c r="D1765" t="str">
        <f>VLOOKUP(B1765,Заказы!A:C,3,0)</f>
        <v>2023-06-03 19:33:00</v>
      </c>
      <c r="E1765" t="str">
        <f>VLOOKUP(C1765,Меню!A:E,4,0)</f>
        <v>Завтрак</v>
      </c>
      <c r="F1765">
        <f>VLOOKUP(C1765,Меню!A:E,5,0)</f>
        <v>250</v>
      </c>
    </row>
    <row r="1766" spans="1:6" ht="15.75" hidden="1" customHeight="1" x14ac:dyDescent="0.35">
      <c r="A1766" s="1">
        <v>1765</v>
      </c>
      <c r="B1766" s="1">
        <v>342</v>
      </c>
      <c r="C1766" s="1">
        <v>6</v>
      </c>
      <c r="D1766" t="str">
        <f>VLOOKUP(B1766,Заказы!A:C,3,0)</f>
        <v>2023-06-03 19:33:00</v>
      </c>
      <c r="E1766" t="str">
        <f>VLOOKUP(C1766,Меню!A:E,4,0)</f>
        <v>Завтрак</v>
      </c>
      <c r="F1766">
        <f>VLOOKUP(C1766,Меню!A:E,5,0)</f>
        <v>300</v>
      </c>
    </row>
    <row r="1767" spans="1:6" ht="15.75" hidden="1" customHeight="1" x14ac:dyDescent="0.35">
      <c r="A1767" s="1">
        <v>1766</v>
      </c>
      <c r="B1767" s="1">
        <v>342</v>
      </c>
      <c r="C1767" s="1">
        <v>19</v>
      </c>
      <c r="D1767" t="str">
        <f>VLOOKUP(B1767,Заказы!A:C,3,0)</f>
        <v>2023-06-03 19:33:00</v>
      </c>
      <c r="E1767" t="str">
        <f>VLOOKUP(C1767,Меню!A:E,4,0)</f>
        <v>Первое</v>
      </c>
      <c r="F1767">
        <f>VLOOKUP(C1767,Меню!A:E,5,0)</f>
        <v>300</v>
      </c>
    </row>
    <row r="1768" spans="1:6" ht="15.75" hidden="1" customHeight="1" x14ac:dyDescent="0.35">
      <c r="A1768" s="1">
        <v>1767</v>
      </c>
      <c r="B1768" s="1">
        <v>343</v>
      </c>
      <c r="C1768" s="1">
        <v>30</v>
      </c>
      <c r="D1768" t="str">
        <f>VLOOKUP(B1768,Заказы!A:C,3,0)</f>
        <v>2023-06-04 15:15:00</v>
      </c>
      <c r="E1768" t="str">
        <f>VLOOKUP(C1768,Меню!A:E,4,0)</f>
        <v>Салат</v>
      </c>
      <c r="F1768">
        <f>VLOOKUP(C1768,Меню!A:E,5,0)</f>
        <v>250</v>
      </c>
    </row>
    <row r="1769" spans="1:6" ht="15.75" hidden="1" customHeight="1" x14ac:dyDescent="0.35">
      <c r="A1769" s="1">
        <v>1768</v>
      </c>
      <c r="B1769" s="1">
        <v>343</v>
      </c>
      <c r="C1769" s="1">
        <v>56</v>
      </c>
      <c r="D1769" t="str">
        <f>VLOOKUP(B1769,Заказы!A:C,3,0)</f>
        <v>2023-06-04 15:15:00</v>
      </c>
      <c r="E1769" t="str">
        <f>VLOOKUP(C1769,Меню!A:E,4,0)</f>
        <v>Суши</v>
      </c>
      <c r="F1769">
        <f>VLOOKUP(C1769,Меню!A:E,5,0)</f>
        <v>200</v>
      </c>
    </row>
    <row r="1770" spans="1:6" ht="15.75" hidden="1" customHeight="1" x14ac:dyDescent="0.35">
      <c r="A1770" s="1">
        <v>1769</v>
      </c>
      <c r="B1770" s="1">
        <v>343</v>
      </c>
      <c r="C1770" s="1">
        <v>17</v>
      </c>
      <c r="D1770" t="str">
        <f>VLOOKUP(B1770,Заказы!A:C,3,0)</f>
        <v>2023-06-04 15:15:00</v>
      </c>
      <c r="E1770" t="str">
        <f>VLOOKUP(C1770,Меню!A:E,4,0)</f>
        <v>Первое</v>
      </c>
      <c r="F1770">
        <f>VLOOKUP(C1770,Меню!A:E,5,0)</f>
        <v>250</v>
      </c>
    </row>
    <row r="1771" spans="1:6" ht="15.75" hidden="1" customHeight="1" x14ac:dyDescent="0.35">
      <c r="A1771" s="1">
        <v>1770</v>
      </c>
      <c r="B1771" s="1">
        <v>343</v>
      </c>
      <c r="C1771" s="1">
        <v>56</v>
      </c>
      <c r="D1771" t="str">
        <f>VLOOKUP(B1771,Заказы!A:C,3,0)</f>
        <v>2023-06-04 15:15:00</v>
      </c>
      <c r="E1771" t="str">
        <f>VLOOKUP(C1771,Меню!A:E,4,0)</f>
        <v>Суши</v>
      </c>
      <c r="F1771">
        <f>VLOOKUP(C1771,Меню!A:E,5,0)</f>
        <v>200</v>
      </c>
    </row>
    <row r="1772" spans="1:6" ht="15.75" hidden="1" customHeight="1" x14ac:dyDescent="0.35">
      <c r="A1772" s="1">
        <v>1771</v>
      </c>
      <c r="B1772" s="1">
        <v>344</v>
      </c>
      <c r="C1772" s="1">
        <v>53</v>
      </c>
      <c r="D1772" t="str">
        <f>VLOOKUP(B1772,Заказы!A:C,3,0)</f>
        <v>2023-06-04 15:15:00</v>
      </c>
      <c r="E1772" t="str">
        <f>VLOOKUP(C1772,Меню!A:E,4,0)</f>
        <v>Суши</v>
      </c>
      <c r="F1772">
        <f>VLOOKUP(C1772,Меню!A:E,5,0)</f>
        <v>100</v>
      </c>
    </row>
    <row r="1773" spans="1:6" ht="15.75" hidden="1" customHeight="1" x14ac:dyDescent="0.35">
      <c r="A1773" s="1">
        <v>1772</v>
      </c>
      <c r="B1773" s="1">
        <v>344</v>
      </c>
      <c r="C1773" s="1">
        <v>33</v>
      </c>
      <c r="D1773" t="str">
        <f>VLOOKUP(B1773,Заказы!A:C,3,0)</f>
        <v>2023-06-04 15:15:00</v>
      </c>
      <c r="E1773" t="str">
        <f>VLOOKUP(C1773,Меню!A:E,4,0)</f>
        <v>Десерт</v>
      </c>
      <c r="F1773">
        <f>VLOOKUP(C1773,Меню!A:E,5,0)</f>
        <v>150</v>
      </c>
    </row>
    <row r="1774" spans="1:6" ht="15.75" hidden="1" customHeight="1" x14ac:dyDescent="0.35">
      <c r="A1774" s="1">
        <v>1773</v>
      </c>
      <c r="B1774" s="1">
        <v>344</v>
      </c>
      <c r="C1774" s="1">
        <v>47</v>
      </c>
      <c r="D1774" t="str">
        <f>VLOOKUP(B1774,Заказы!A:C,3,0)</f>
        <v>2023-06-04 15:15:00</v>
      </c>
      <c r="E1774" t="str">
        <f>VLOOKUP(C1774,Меню!A:E,4,0)</f>
        <v>Суши</v>
      </c>
      <c r="F1774">
        <f>VLOOKUP(C1774,Меню!A:E,5,0)</f>
        <v>200</v>
      </c>
    </row>
    <row r="1775" spans="1:6" ht="15.75" hidden="1" customHeight="1" x14ac:dyDescent="0.35">
      <c r="A1775" s="1">
        <v>1774</v>
      </c>
      <c r="B1775" s="1">
        <v>344</v>
      </c>
      <c r="C1775" s="1">
        <v>60</v>
      </c>
      <c r="D1775" t="str">
        <f>VLOOKUP(B1775,Заказы!A:C,3,0)</f>
        <v>2023-06-04 15:15:00</v>
      </c>
      <c r="E1775" t="str">
        <f>VLOOKUP(C1775,Меню!A:E,4,0)</f>
        <v>Суши</v>
      </c>
      <c r="F1775">
        <f>VLOOKUP(C1775,Меню!A:E,5,0)</f>
        <v>250</v>
      </c>
    </row>
    <row r="1776" spans="1:6" ht="15.75" hidden="1" customHeight="1" x14ac:dyDescent="0.35">
      <c r="A1776" s="1">
        <v>1775</v>
      </c>
      <c r="B1776" s="1">
        <v>344</v>
      </c>
      <c r="C1776" s="1">
        <v>23</v>
      </c>
      <c r="D1776" t="str">
        <f>VLOOKUP(B1776,Заказы!A:C,3,0)</f>
        <v>2023-06-04 15:15:00</v>
      </c>
      <c r="E1776" t="str">
        <f>VLOOKUP(C1776,Меню!A:E,4,0)</f>
        <v>Салат</v>
      </c>
      <c r="F1776">
        <f>VLOOKUP(C1776,Меню!A:E,5,0)</f>
        <v>250</v>
      </c>
    </row>
    <row r="1777" spans="1:6" ht="15.75" hidden="1" customHeight="1" x14ac:dyDescent="0.35">
      <c r="A1777" s="1">
        <v>1776</v>
      </c>
      <c r="B1777" s="1">
        <v>345</v>
      </c>
      <c r="C1777" s="1">
        <v>50</v>
      </c>
      <c r="D1777" t="str">
        <f>VLOOKUP(B1777,Заказы!A:C,3,0)</f>
        <v>2023-06-04 16:52:00</v>
      </c>
      <c r="E1777" t="str">
        <f>VLOOKUP(C1777,Меню!A:E,4,0)</f>
        <v>Суши</v>
      </c>
      <c r="F1777">
        <f>VLOOKUP(C1777,Меню!A:E,5,0)</f>
        <v>200</v>
      </c>
    </row>
    <row r="1778" spans="1:6" ht="15.75" hidden="1" customHeight="1" x14ac:dyDescent="0.35">
      <c r="A1778" s="1">
        <v>1777</v>
      </c>
      <c r="B1778" s="1">
        <v>345</v>
      </c>
      <c r="C1778" s="1">
        <v>19</v>
      </c>
      <c r="D1778" t="str">
        <f>VLOOKUP(B1778,Заказы!A:C,3,0)</f>
        <v>2023-06-04 16:52:00</v>
      </c>
      <c r="E1778" t="str">
        <f>VLOOKUP(C1778,Меню!A:E,4,0)</f>
        <v>Первое</v>
      </c>
      <c r="F1778">
        <f>VLOOKUP(C1778,Меню!A:E,5,0)</f>
        <v>300</v>
      </c>
    </row>
    <row r="1779" spans="1:6" ht="15.75" hidden="1" customHeight="1" x14ac:dyDescent="0.35">
      <c r="A1779" s="1">
        <v>1778</v>
      </c>
      <c r="B1779" s="1">
        <v>345</v>
      </c>
      <c r="C1779" s="1">
        <v>40</v>
      </c>
      <c r="D1779" t="str">
        <f>VLOOKUP(B1779,Заказы!A:C,3,0)</f>
        <v>2023-06-04 16:52:00</v>
      </c>
      <c r="E1779" t="str">
        <f>VLOOKUP(C1779,Меню!A:E,4,0)</f>
        <v>Десерт</v>
      </c>
      <c r="F1779">
        <f>VLOOKUP(C1779,Меню!A:E,5,0)</f>
        <v>150</v>
      </c>
    </row>
    <row r="1780" spans="1:6" ht="15.75" hidden="1" customHeight="1" x14ac:dyDescent="0.35">
      <c r="A1780" s="1">
        <v>1779</v>
      </c>
      <c r="B1780" s="1">
        <v>345</v>
      </c>
      <c r="C1780" s="1">
        <v>59</v>
      </c>
      <c r="D1780" t="str">
        <f>VLOOKUP(B1780,Заказы!A:C,3,0)</f>
        <v>2023-06-04 16:52:00</v>
      </c>
      <c r="E1780" t="str">
        <f>VLOOKUP(C1780,Меню!A:E,4,0)</f>
        <v>Суши</v>
      </c>
      <c r="F1780">
        <f>VLOOKUP(C1780,Меню!A:E,5,0)</f>
        <v>300</v>
      </c>
    </row>
    <row r="1781" spans="1:6" ht="15.75" hidden="1" customHeight="1" x14ac:dyDescent="0.35">
      <c r="A1781" s="1">
        <v>1780</v>
      </c>
      <c r="B1781" s="1">
        <v>345</v>
      </c>
      <c r="C1781" s="1">
        <v>41</v>
      </c>
      <c r="D1781" t="str">
        <f>VLOOKUP(B1781,Заказы!A:C,3,0)</f>
        <v>2023-06-04 16:52:00</v>
      </c>
      <c r="E1781" t="str">
        <f>VLOOKUP(C1781,Меню!A:E,4,0)</f>
        <v>Суши</v>
      </c>
      <c r="F1781">
        <f>VLOOKUP(C1781,Меню!A:E,5,0)</f>
        <v>220</v>
      </c>
    </row>
    <row r="1782" spans="1:6" ht="15.75" hidden="1" customHeight="1" x14ac:dyDescent="0.35">
      <c r="A1782" s="1">
        <v>1781</v>
      </c>
      <c r="B1782" s="1">
        <v>345</v>
      </c>
      <c r="C1782" s="1">
        <v>14</v>
      </c>
      <c r="D1782" t="str">
        <f>VLOOKUP(B1782,Заказы!A:C,3,0)</f>
        <v>2023-06-04 16:52:00</v>
      </c>
      <c r="E1782" t="str">
        <f>VLOOKUP(C1782,Меню!A:E,4,0)</f>
        <v>Первое</v>
      </c>
      <c r="F1782">
        <f>VLOOKUP(C1782,Меню!A:E,5,0)</f>
        <v>350</v>
      </c>
    </row>
    <row r="1783" spans="1:6" ht="15.75" hidden="1" customHeight="1" x14ac:dyDescent="0.35">
      <c r="A1783" s="1">
        <v>1782</v>
      </c>
      <c r="B1783" s="1">
        <v>346</v>
      </c>
      <c r="C1783" s="1">
        <v>5</v>
      </c>
      <c r="D1783" t="str">
        <f>VLOOKUP(B1783,Заказы!A:C,3,0)</f>
        <v>2023-06-04 18:10:00</v>
      </c>
      <c r="E1783" t="str">
        <f>VLOOKUP(C1783,Меню!A:E,4,0)</f>
        <v>Завтрак</v>
      </c>
      <c r="F1783">
        <f>VLOOKUP(C1783,Меню!A:E,5,0)</f>
        <v>220</v>
      </c>
    </row>
    <row r="1784" spans="1:6" ht="15.75" hidden="1" customHeight="1" x14ac:dyDescent="0.35">
      <c r="A1784" s="1">
        <v>1783</v>
      </c>
      <c r="B1784" s="1">
        <v>346</v>
      </c>
      <c r="C1784" s="1">
        <v>47</v>
      </c>
      <c r="D1784" t="str">
        <f>VLOOKUP(B1784,Заказы!A:C,3,0)</f>
        <v>2023-06-04 18:10:00</v>
      </c>
      <c r="E1784" t="str">
        <f>VLOOKUP(C1784,Меню!A:E,4,0)</f>
        <v>Суши</v>
      </c>
      <c r="F1784">
        <f>VLOOKUP(C1784,Меню!A:E,5,0)</f>
        <v>200</v>
      </c>
    </row>
    <row r="1785" spans="1:6" ht="15.75" hidden="1" customHeight="1" x14ac:dyDescent="0.35">
      <c r="A1785" s="1">
        <v>1784</v>
      </c>
      <c r="B1785" s="1">
        <v>346</v>
      </c>
      <c r="C1785" s="1">
        <v>7</v>
      </c>
      <c r="D1785" t="str">
        <f>VLOOKUP(B1785,Заказы!A:C,3,0)</f>
        <v>2023-06-04 18:10:00</v>
      </c>
      <c r="E1785" t="str">
        <f>VLOOKUP(C1785,Меню!A:E,4,0)</f>
        <v>Завтрак</v>
      </c>
      <c r="F1785">
        <f>VLOOKUP(C1785,Меню!A:E,5,0)</f>
        <v>200</v>
      </c>
    </row>
    <row r="1786" spans="1:6" ht="15.75" hidden="1" customHeight="1" x14ac:dyDescent="0.35">
      <c r="A1786" s="1">
        <v>1785</v>
      </c>
      <c r="B1786" s="1">
        <v>346</v>
      </c>
      <c r="C1786" s="1">
        <v>44</v>
      </c>
      <c r="D1786" t="str">
        <f>VLOOKUP(B1786,Заказы!A:C,3,0)</f>
        <v>2023-06-04 18:10:00</v>
      </c>
      <c r="E1786" t="str">
        <f>VLOOKUP(C1786,Меню!A:E,4,0)</f>
        <v>Суши</v>
      </c>
      <c r="F1786">
        <f>VLOOKUP(C1786,Меню!A:E,5,0)</f>
        <v>250</v>
      </c>
    </row>
    <row r="1787" spans="1:6" ht="15.75" hidden="1" customHeight="1" x14ac:dyDescent="0.35">
      <c r="A1787" s="1">
        <v>1786</v>
      </c>
      <c r="B1787" s="1">
        <v>346</v>
      </c>
      <c r="C1787" s="1">
        <v>31</v>
      </c>
      <c r="D1787" t="str">
        <f>VLOOKUP(B1787,Заказы!A:C,3,0)</f>
        <v>2023-06-04 18:10:00</v>
      </c>
      <c r="E1787" t="str">
        <f>VLOOKUP(C1787,Меню!A:E,4,0)</f>
        <v>Десерт</v>
      </c>
      <c r="F1787">
        <f>VLOOKUP(C1787,Меню!A:E,5,0)</f>
        <v>150</v>
      </c>
    </row>
    <row r="1788" spans="1:6" ht="15.75" hidden="1" customHeight="1" x14ac:dyDescent="0.35">
      <c r="A1788" s="1">
        <v>1787</v>
      </c>
      <c r="B1788" s="1">
        <v>346</v>
      </c>
      <c r="C1788" s="1">
        <v>56</v>
      </c>
      <c r="D1788" t="str">
        <f>VLOOKUP(B1788,Заказы!A:C,3,0)</f>
        <v>2023-06-04 18:10:00</v>
      </c>
      <c r="E1788" t="str">
        <f>VLOOKUP(C1788,Меню!A:E,4,0)</f>
        <v>Суши</v>
      </c>
      <c r="F1788">
        <f>VLOOKUP(C1788,Меню!A:E,5,0)</f>
        <v>200</v>
      </c>
    </row>
    <row r="1789" spans="1:6" ht="15.75" hidden="1" customHeight="1" x14ac:dyDescent="0.35">
      <c r="A1789" s="1">
        <v>1788</v>
      </c>
      <c r="B1789" s="1">
        <v>346</v>
      </c>
      <c r="C1789" s="1">
        <v>23</v>
      </c>
      <c r="D1789" t="str">
        <f>VLOOKUP(B1789,Заказы!A:C,3,0)</f>
        <v>2023-06-04 18:10:00</v>
      </c>
      <c r="E1789" t="str">
        <f>VLOOKUP(C1789,Меню!A:E,4,0)</f>
        <v>Салат</v>
      </c>
      <c r="F1789">
        <f>VLOOKUP(C1789,Меню!A:E,5,0)</f>
        <v>250</v>
      </c>
    </row>
    <row r="1790" spans="1:6" ht="15.75" hidden="1" customHeight="1" x14ac:dyDescent="0.35">
      <c r="A1790" s="1">
        <v>1789</v>
      </c>
      <c r="B1790" s="1">
        <v>346</v>
      </c>
      <c r="C1790" s="1">
        <v>2</v>
      </c>
      <c r="D1790" t="str">
        <f>VLOOKUP(B1790,Заказы!A:C,3,0)</f>
        <v>2023-06-04 18:10:00</v>
      </c>
      <c r="E1790" t="str">
        <f>VLOOKUP(C1790,Меню!A:E,4,0)</f>
        <v>Завтрак</v>
      </c>
      <c r="F1790">
        <f>VLOOKUP(C1790,Меню!A:E,5,0)</f>
        <v>250</v>
      </c>
    </row>
    <row r="1791" spans="1:6" ht="15.75" hidden="1" customHeight="1" x14ac:dyDescent="0.35">
      <c r="A1791" s="1">
        <v>1790</v>
      </c>
      <c r="B1791" s="1">
        <v>347</v>
      </c>
      <c r="C1791" s="1">
        <v>48</v>
      </c>
      <c r="D1791" t="str">
        <f>VLOOKUP(B1791,Заказы!A:C,3,0)</f>
        <v>2023-06-04 19:46:00</v>
      </c>
      <c r="E1791" t="str">
        <f>VLOOKUP(C1791,Меню!A:E,4,0)</f>
        <v>Суши</v>
      </c>
      <c r="F1791">
        <f>VLOOKUP(C1791,Меню!A:E,5,0)</f>
        <v>200</v>
      </c>
    </row>
    <row r="1792" spans="1:6" ht="15.75" hidden="1" customHeight="1" x14ac:dyDescent="0.35">
      <c r="A1792" s="1">
        <v>1791</v>
      </c>
      <c r="B1792" s="1">
        <v>347</v>
      </c>
      <c r="C1792" s="1">
        <v>21</v>
      </c>
      <c r="D1792" t="str">
        <f>VLOOKUP(B1792,Заказы!A:C,3,0)</f>
        <v>2023-06-04 19:46:00</v>
      </c>
      <c r="E1792" t="str">
        <f>VLOOKUP(C1792,Меню!A:E,4,0)</f>
        <v>Салат</v>
      </c>
      <c r="F1792">
        <f>VLOOKUP(C1792,Меню!A:E,5,0)</f>
        <v>250</v>
      </c>
    </row>
    <row r="1793" spans="1:6" ht="15.75" hidden="1" customHeight="1" x14ac:dyDescent="0.35">
      <c r="A1793" s="1">
        <v>1792</v>
      </c>
      <c r="B1793" s="1">
        <v>347</v>
      </c>
      <c r="C1793" s="1">
        <v>15</v>
      </c>
      <c r="D1793" t="str">
        <f>VLOOKUP(B1793,Заказы!A:C,3,0)</f>
        <v>2023-06-04 19:46:00</v>
      </c>
      <c r="E1793" t="str">
        <f>VLOOKUP(C1793,Меню!A:E,4,0)</f>
        <v>Первое</v>
      </c>
      <c r="F1793">
        <f>VLOOKUP(C1793,Меню!A:E,5,0)</f>
        <v>250</v>
      </c>
    </row>
    <row r="1794" spans="1:6" ht="15.75" hidden="1" customHeight="1" x14ac:dyDescent="0.35">
      <c r="A1794" s="1">
        <v>1793</v>
      </c>
      <c r="B1794" s="1">
        <v>347</v>
      </c>
      <c r="C1794" s="1">
        <v>23</v>
      </c>
      <c r="D1794" t="str">
        <f>VLOOKUP(B1794,Заказы!A:C,3,0)</f>
        <v>2023-06-04 19:46:00</v>
      </c>
      <c r="E1794" t="str">
        <f>VLOOKUP(C1794,Меню!A:E,4,0)</f>
        <v>Салат</v>
      </c>
      <c r="F1794">
        <f>VLOOKUP(C1794,Меню!A:E,5,0)</f>
        <v>250</v>
      </c>
    </row>
    <row r="1795" spans="1:6" ht="15.75" hidden="1" customHeight="1" x14ac:dyDescent="0.35">
      <c r="A1795" s="1">
        <v>1794</v>
      </c>
      <c r="B1795" s="1">
        <v>347</v>
      </c>
      <c r="C1795" s="1">
        <v>42</v>
      </c>
      <c r="D1795" t="str">
        <f>VLOOKUP(B1795,Заказы!A:C,3,0)</f>
        <v>2023-06-04 19:46:00</v>
      </c>
      <c r="E1795" t="str">
        <f>VLOOKUP(C1795,Меню!A:E,4,0)</f>
        <v>Суши</v>
      </c>
      <c r="F1795">
        <f>VLOOKUP(C1795,Меню!A:E,5,0)</f>
        <v>250</v>
      </c>
    </row>
    <row r="1796" spans="1:6" ht="15.75" hidden="1" customHeight="1" x14ac:dyDescent="0.35">
      <c r="A1796" s="1">
        <v>1795</v>
      </c>
      <c r="B1796" s="1">
        <v>347</v>
      </c>
      <c r="C1796" s="1">
        <v>21</v>
      </c>
      <c r="D1796" t="str">
        <f>VLOOKUP(B1796,Заказы!A:C,3,0)</f>
        <v>2023-06-04 19:46:00</v>
      </c>
      <c r="E1796" t="str">
        <f>VLOOKUP(C1796,Меню!A:E,4,0)</f>
        <v>Салат</v>
      </c>
      <c r="F1796">
        <f>VLOOKUP(C1796,Меню!A:E,5,0)</f>
        <v>250</v>
      </c>
    </row>
    <row r="1797" spans="1:6" ht="15.75" hidden="1" customHeight="1" x14ac:dyDescent="0.35">
      <c r="A1797" s="1">
        <v>1796</v>
      </c>
      <c r="B1797" s="1">
        <v>348</v>
      </c>
      <c r="C1797" s="1">
        <v>48</v>
      </c>
      <c r="D1797" t="str">
        <f>VLOOKUP(B1797,Заказы!A:C,3,0)</f>
        <v>2023-06-04 22:21:00</v>
      </c>
      <c r="E1797" t="str">
        <f>VLOOKUP(C1797,Меню!A:E,4,0)</f>
        <v>Суши</v>
      </c>
      <c r="F1797">
        <f>VLOOKUP(C1797,Меню!A:E,5,0)</f>
        <v>200</v>
      </c>
    </row>
    <row r="1798" spans="1:6" ht="15.75" hidden="1" customHeight="1" x14ac:dyDescent="0.35">
      <c r="A1798" s="1">
        <v>1797</v>
      </c>
      <c r="B1798" s="1">
        <v>348</v>
      </c>
      <c r="C1798" s="1">
        <v>17</v>
      </c>
      <c r="D1798" t="str">
        <f>VLOOKUP(B1798,Заказы!A:C,3,0)</f>
        <v>2023-06-04 22:21:00</v>
      </c>
      <c r="E1798" t="str">
        <f>VLOOKUP(C1798,Меню!A:E,4,0)</f>
        <v>Первое</v>
      </c>
      <c r="F1798">
        <f>VLOOKUP(C1798,Меню!A:E,5,0)</f>
        <v>250</v>
      </c>
    </row>
    <row r="1799" spans="1:6" ht="15.75" hidden="1" customHeight="1" x14ac:dyDescent="0.35">
      <c r="A1799" s="1">
        <v>1798</v>
      </c>
      <c r="B1799" s="1">
        <v>348</v>
      </c>
      <c r="C1799" s="1">
        <v>7</v>
      </c>
      <c r="D1799" t="str">
        <f>VLOOKUP(B1799,Заказы!A:C,3,0)</f>
        <v>2023-06-04 22:21:00</v>
      </c>
      <c r="E1799" t="str">
        <f>VLOOKUP(C1799,Меню!A:E,4,0)</f>
        <v>Завтрак</v>
      </c>
      <c r="F1799">
        <f>VLOOKUP(C1799,Меню!A:E,5,0)</f>
        <v>200</v>
      </c>
    </row>
    <row r="1800" spans="1:6" ht="15.75" hidden="1" customHeight="1" x14ac:dyDescent="0.35">
      <c r="A1800" s="1">
        <v>1799</v>
      </c>
      <c r="B1800" s="1">
        <v>348</v>
      </c>
      <c r="C1800" s="1">
        <v>3</v>
      </c>
      <c r="D1800" t="str">
        <f>VLOOKUP(B1800,Заказы!A:C,3,0)</f>
        <v>2023-06-04 22:21:00</v>
      </c>
      <c r="E1800" t="str">
        <f>VLOOKUP(C1800,Меню!A:E,4,0)</f>
        <v>Завтрак</v>
      </c>
      <c r="F1800">
        <f>VLOOKUP(C1800,Меню!A:E,5,0)</f>
        <v>150</v>
      </c>
    </row>
    <row r="1801" spans="1:6" ht="15.75" hidden="1" customHeight="1" x14ac:dyDescent="0.35">
      <c r="A1801" s="1">
        <v>1800</v>
      </c>
      <c r="B1801" s="1">
        <v>348</v>
      </c>
      <c r="C1801" s="1">
        <v>2</v>
      </c>
      <c r="D1801" t="str">
        <f>VLOOKUP(B1801,Заказы!A:C,3,0)</f>
        <v>2023-06-04 22:21:00</v>
      </c>
      <c r="E1801" t="str">
        <f>VLOOKUP(C1801,Меню!A:E,4,0)</f>
        <v>Завтрак</v>
      </c>
      <c r="F1801">
        <f>VLOOKUP(C1801,Меню!A:E,5,0)</f>
        <v>250</v>
      </c>
    </row>
    <row r="1802" spans="1:6" ht="15.75" hidden="1" customHeight="1" x14ac:dyDescent="0.35">
      <c r="A1802" s="1">
        <v>1801</v>
      </c>
      <c r="B1802" s="1">
        <v>348</v>
      </c>
      <c r="C1802" s="1">
        <v>5</v>
      </c>
      <c r="D1802" t="str">
        <f>VLOOKUP(B1802,Заказы!A:C,3,0)</f>
        <v>2023-06-04 22:21:00</v>
      </c>
      <c r="E1802" t="str">
        <f>VLOOKUP(C1802,Меню!A:E,4,0)</f>
        <v>Завтрак</v>
      </c>
      <c r="F1802">
        <f>VLOOKUP(C1802,Меню!A:E,5,0)</f>
        <v>220</v>
      </c>
    </row>
    <row r="1803" spans="1:6" ht="15.75" hidden="1" customHeight="1" x14ac:dyDescent="0.35">
      <c r="A1803" s="1">
        <v>1802</v>
      </c>
      <c r="B1803" s="1">
        <v>349</v>
      </c>
      <c r="C1803" s="1">
        <v>29</v>
      </c>
      <c r="D1803" t="str">
        <f>VLOOKUP(B1803,Заказы!A:C,3,0)</f>
        <v>2023-06-05 16:12:00</v>
      </c>
      <c r="E1803" t="str">
        <f>VLOOKUP(C1803,Меню!A:E,4,0)</f>
        <v>Салат</v>
      </c>
      <c r="F1803">
        <f>VLOOKUP(C1803,Меню!A:E,5,0)</f>
        <v>250</v>
      </c>
    </row>
    <row r="1804" spans="1:6" ht="15.75" hidden="1" customHeight="1" x14ac:dyDescent="0.35">
      <c r="A1804" s="1">
        <v>1803</v>
      </c>
      <c r="B1804" s="1">
        <v>349</v>
      </c>
      <c r="C1804" s="1">
        <v>44</v>
      </c>
      <c r="D1804" t="str">
        <f>VLOOKUP(B1804,Заказы!A:C,3,0)</f>
        <v>2023-06-05 16:12:00</v>
      </c>
      <c r="E1804" t="str">
        <f>VLOOKUP(C1804,Меню!A:E,4,0)</f>
        <v>Суши</v>
      </c>
      <c r="F1804">
        <f>VLOOKUP(C1804,Меню!A:E,5,0)</f>
        <v>250</v>
      </c>
    </row>
    <row r="1805" spans="1:6" ht="15.75" hidden="1" customHeight="1" x14ac:dyDescent="0.35">
      <c r="A1805" s="1">
        <v>1804</v>
      </c>
      <c r="B1805" s="1">
        <v>349</v>
      </c>
      <c r="C1805" s="1">
        <v>17</v>
      </c>
      <c r="D1805" t="str">
        <f>VLOOKUP(B1805,Заказы!A:C,3,0)</f>
        <v>2023-06-05 16:12:00</v>
      </c>
      <c r="E1805" t="str">
        <f>VLOOKUP(C1805,Меню!A:E,4,0)</f>
        <v>Первое</v>
      </c>
      <c r="F1805">
        <f>VLOOKUP(C1805,Меню!A:E,5,0)</f>
        <v>250</v>
      </c>
    </row>
    <row r="1806" spans="1:6" ht="15.75" hidden="1" customHeight="1" x14ac:dyDescent="0.35">
      <c r="A1806" s="1">
        <v>1805</v>
      </c>
      <c r="B1806" s="1">
        <v>349</v>
      </c>
      <c r="C1806" s="1">
        <v>14</v>
      </c>
      <c r="D1806" t="str">
        <f>VLOOKUP(B1806,Заказы!A:C,3,0)</f>
        <v>2023-06-05 16:12:00</v>
      </c>
      <c r="E1806" t="str">
        <f>VLOOKUP(C1806,Меню!A:E,4,0)</f>
        <v>Первое</v>
      </c>
      <c r="F1806">
        <f>VLOOKUP(C1806,Меню!A:E,5,0)</f>
        <v>350</v>
      </c>
    </row>
    <row r="1807" spans="1:6" ht="15.75" hidden="1" customHeight="1" x14ac:dyDescent="0.35">
      <c r="A1807" s="1">
        <v>1806</v>
      </c>
      <c r="B1807" s="1">
        <v>350</v>
      </c>
      <c r="C1807" s="1">
        <v>24</v>
      </c>
      <c r="D1807" t="str">
        <f>VLOOKUP(B1807,Заказы!A:C,3,0)</f>
        <v>2023-06-05 18:15:00</v>
      </c>
      <c r="E1807" t="str">
        <f>VLOOKUP(C1807,Меню!A:E,4,0)</f>
        <v>Салат</v>
      </c>
      <c r="F1807">
        <f>VLOOKUP(C1807,Меню!A:E,5,0)</f>
        <v>250</v>
      </c>
    </row>
    <row r="1808" spans="1:6" ht="15.75" hidden="1" customHeight="1" x14ac:dyDescent="0.35">
      <c r="A1808" s="1">
        <v>1807</v>
      </c>
      <c r="B1808" s="1">
        <v>350</v>
      </c>
      <c r="C1808" s="1">
        <v>23</v>
      </c>
      <c r="D1808" t="str">
        <f>VLOOKUP(B1808,Заказы!A:C,3,0)</f>
        <v>2023-06-05 18:15:00</v>
      </c>
      <c r="E1808" t="str">
        <f>VLOOKUP(C1808,Меню!A:E,4,0)</f>
        <v>Салат</v>
      </c>
      <c r="F1808">
        <f>VLOOKUP(C1808,Меню!A:E,5,0)</f>
        <v>250</v>
      </c>
    </row>
    <row r="1809" spans="1:6" ht="15.75" hidden="1" customHeight="1" x14ac:dyDescent="0.35">
      <c r="A1809" s="1">
        <v>1808</v>
      </c>
      <c r="B1809" s="1">
        <v>351</v>
      </c>
      <c r="C1809" s="1">
        <v>13</v>
      </c>
      <c r="D1809" t="str">
        <f>VLOOKUP(B1809,Заказы!A:C,3,0)</f>
        <v>2023-06-05 19:16:00</v>
      </c>
      <c r="E1809" t="str">
        <f>VLOOKUP(C1809,Меню!A:E,4,0)</f>
        <v>Первое</v>
      </c>
      <c r="F1809">
        <f>VLOOKUP(C1809,Меню!A:E,5,0)</f>
        <v>280</v>
      </c>
    </row>
    <row r="1810" spans="1:6" ht="15.75" hidden="1" customHeight="1" x14ac:dyDescent="0.35">
      <c r="A1810" s="1">
        <v>1809</v>
      </c>
      <c r="B1810" s="1">
        <v>351</v>
      </c>
      <c r="C1810" s="1">
        <v>45</v>
      </c>
      <c r="D1810" t="str">
        <f>VLOOKUP(B1810,Заказы!A:C,3,0)</f>
        <v>2023-06-05 19:16:00</v>
      </c>
      <c r="E1810" t="str">
        <f>VLOOKUP(C1810,Меню!A:E,4,0)</f>
        <v>Суши</v>
      </c>
      <c r="F1810">
        <f>VLOOKUP(C1810,Меню!A:E,5,0)</f>
        <v>200</v>
      </c>
    </row>
    <row r="1811" spans="1:6" ht="15.75" hidden="1" customHeight="1" x14ac:dyDescent="0.35">
      <c r="A1811" s="1">
        <v>1810</v>
      </c>
      <c r="B1811" s="1">
        <v>351</v>
      </c>
      <c r="C1811" s="1">
        <v>42</v>
      </c>
      <c r="D1811" t="str">
        <f>VLOOKUP(B1811,Заказы!A:C,3,0)</f>
        <v>2023-06-05 19:16:00</v>
      </c>
      <c r="E1811" t="str">
        <f>VLOOKUP(C1811,Меню!A:E,4,0)</f>
        <v>Суши</v>
      </c>
      <c r="F1811">
        <f>VLOOKUP(C1811,Меню!A:E,5,0)</f>
        <v>250</v>
      </c>
    </row>
    <row r="1812" spans="1:6" ht="15.75" hidden="1" customHeight="1" x14ac:dyDescent="0.35">
      <c r="A1812" s="1">
        <v>1811</v>
      </c>
      <c r="B1812" s="1">
        <v>351</v>
      </c>
      <c r="C1812" s="1">
        <v>6</v>
      </c>
      <c r="D1812" t="str">
        <f>VLOOKUP(B1812,Заказы!A:C,3,0)</f>
        <v>2023-06-05 19:16:00</v>
      </c>
      <c r="E1812" t="str">
        <f>VLOOKUP(C1812,Меню!A:E,4,0)</f>
        <v>Завтрак</v>
      </c>
      <c r="F1812">
        <f>VLOOKUP(C1812,Меню!A:E,5,0)</f>
        <v>300</v>
      </c>
    </row>
    <row r="1813" spans="1:6" ht="15.75" hidden="1" customHeight="1" x14ac:dyDescent="0.35">
      <c r="A1813" s="1">
        <v>1812</v>
      </c>
      <c r="B1813" s="1">
        <v>352</v>
      </c>
      <c r="C1813" s="1">
        <v>50</v>
      </c>
      <c r="D1813" t="str">
        <f>VLOOKUP(B1813,Заказы!A:C,3,0)</f>
        <v>2023-06-06 16:00:00</v>
      </c>
      <c r="E1813" t="str">
        <f>VLOOKUP(C1813,Меню!A:E,4,0)</f>
        <v>Суши</v>
      </c>
      <c r="F1813">
        <f>VLOOKUP(C1813,Меню!A:E,5,0)</f>
        <v>200</v>
      </c>
    </row>
    <row r="1814" spans="1:6" ht="15.75" hidden="1" customHeight="1" x14ac:dyDescent="0.35">
      <c r="A1814" s="1">
        <v>1813</v>
      </c>
      <c r="B1814" s="1">
        <v>352</v>
      </c>
      <c r="C1814" s="1">
        <v>27</v>
      </c>
      <c r="D1814" t="str">
        <f>VLOOKUP(B1814,Заказы!A:C,3,0)</f>
        <v>2023-06-06 16:00:00</v>
      </c>
      <c r="E1814" t="str">
        <f>VLOOKUP(C1814,Меню!A:E,4,0)</f>
        <v>Салат</v>
      </c>
      <c r="F1814">
        <f>VLOOKUP(C1814,Меню!A:E,5,0)</f>
        <v>250</v>
      </c>
    </row>
    <row r="1815" spans="1:6" ht="15.75" hidden="1" customHeight="1" x14ac:dyDescent="0.35">
      <c r="A1815" s="1">
        <v>1814</v>
      </c>
      <c r="B1815" s="1">
        <v>352</v>
      </c>
      <c r="C1815" s="1">
        <v>4</v>
      </c>
      <c r="D1815" t="str">
        <f>VLOOKUP(B1815,Заказы!A:C,3,0)</f>
        <v>2023-06-06 16:00:00</v>
      </c>
      <c r="E1815" t="str">
        <f>VLOOKUP(C1815,Меню!A:E,4,0)</f>
        <v>Завтрак</v>
      </c>
      <c r="F1815">
        <f>VLOOKUP(C1815,Меню!A:E,5,0)</f>
        <v>180</v>
      </c>
    </row>
    <row r="1816" spans="1:6" ht="15.75" hidden="1" customHeight="1" x14ac:dyDescent="0.35">
      <c r="A1816" s="1">
        <v>1815</v>
      </c>
      <c r="B1816" s="1">
        <v>352</v>
      </c>
      <c r="C1816" s="1">
        <v>31</v>
      </c>
      <c r="D1816" t="str">
        <f>VLOOKUP(B1816,Заказы!A:C,3,0)</f>
        <v>2023-06-06 16:00:00</v>
      </c>
      <c r="E1816" t="str">
        <f>VLOOKUP(C1816,Меню!A:E,4,0)</f>
        <v>Десерт</v>
      </c>
      <c r="F1816">
        <f>VLOOKUP(C1816,Меню!A:E,5,0)</f>
        <v>150</v>
      </c>
    </row>
    <row r="1817" spans="1:6" ht="15.75" hidden="1" customHeight="1" x14ac:dyDescent="0.35">
      <c r="A1817" s="1">
        <v>1816</v>
      </c>
      <c r="B1817" s="1">
        <v>353</v>
      </c>
      <c r="C1817" s="1">
        <v>58</v>
      </c>
      <c r="D1817" t="str">
        <f>VLOOKUP(B1817,Заказы!A:C,3,0)</f>
        <v>2023-06-06 17:32:00</v>
      </c>
      <c r="E1817" t="str">
        <f>VLOOKUP(C1817,Меню!A:E,4,0)</f>
        <v>Суши</v>
      </c>
      <c r="F1817">
        <f>VLOOKUP(C1817,Меню!A:E,5,0)</f>
        <v>200</v>
      </c>
    </row>
    <row r="1818" spans="1:6" ht="15.75" hidden="1" customHeight="1" x14ac:dyDescent="0.35">
      <c r="A1818" s="1">
        <v>1817</v>
      </c>
      <c r="B1818" s="1">
        <v>353</v>
      </c>
      <c r="C1818" s="1">
        <v>13</v>
      </c>
      <c r="D1818" t="str">
        <f>VLOOKUP(B1818,Заказы!A:C,3,0)</f>
        <v>2023-06-06 17:32:00</v>
      </c>
      <c r="E1818" t="str">
        <f>VLOOKUP(C1818,Меню!A:E,4,0)</f>
        <v>Первое</v>
      </c>
      <c r="F1818">
        <f>VLOOKUP(C1818,Меню!A:E,5,0)</f>
        <v>280</v>
      </c>
    </row>
    <row r="1819" spans="1:6" ht="15.75" hidden="1" customHeight="1" x14ac:dyDescent="0.35">
      <c r="A1819" s="1">
        <v>1818</v>
      </c>
      <c r="B1819" s="1">
        <v>353</v>
      </c>
      <c r="C1819" s="1">
        <v>32</v>
      </c>
      <c r="D1819" t="str">
        <f>VLOOKUP(B1819,Заказы!A:C,3,0)</f>
        <v>2023-06-06 17:32:00</v>
      </c>
      <c r="E1819" t="str">
        <f>VLOOKUP(C1819,Меню!A:E,4,0)</f>
        <v>Десерт</v>
      </c>
      <c r="F1819">
        <f>VLOOKUP(C1819,Меню!A:E,5,0)</f>
        <v>150</v>
      </c>
    </row>
    <row r="1820" spans="1:6" ht="15.75" hidden="1" customHeight="1" x14ac:dyDescent="0.35">
      <c r="A1820" s="1">
        <v>1819</v>
      </c>
      <c r="B1820" s="1">
        <v>353</v>
      </c>
      <c r="C1820" s="1">
        <v>10</v>
      </c>
      <c r="D1820" t="str">
        <f>VLOOKUP(B1820,Заказы!A:C,3,0)</f>
        <v>2023-06-06 17:32:00</v>
      </c>
      <c r="E1820" t="str">
        <f>VLOOKUP(C1820,Меню!A:E,4,0)</f>
        <v>Завтрак</v>
      </c>
      <c r="F1820">
        <f>VLOOKUP(C1820,Меню!A:E,5,0)</f>
        <v>200</v>
      </c>
    </row>
    <row r="1821" spans="1:6" ht="15.75" hidden="1" customHeight="1" x14ac:dyDescent="0.35">
      <c r="A1821" s="1">
        <v>1820</v>
      </c>
      <c r="B1821" s="1">
        <v>353</v>
      </c>
      <c r="C1821" s="1">
        <v>18</v>
      </c>
      <c r="D1821" t="str">
        <f>VLOOKUP(B1821,Заказы!A:C,3,0)</f>
        <v>2023-06-06 17:32:00</v>
      </c>
      <c r="E1821" t="str">
        <f>VLOOKUP(C1821,Меню!A:E,4,0)</f>
        <v>Первое</v>
      </c>
      <c r="F1821">
        <f>VLOOKUP(C1821,Меню!A:E,5,0)</f>
        <v>300</v>
      </c>
    </row>
    <row r="1822" spans="1:6" ht="15.75" hidden="1" customHeight="1" x14ac:dyDescent="0.35">
      <c r="A1822" s="1">
        <v>1821</v>
      </c>
      <c r="B1822" s="1">
        <v>353</v>
      </c>
      <c r="C1822" s="1">
        <v>31</v>
      </c>
      <c r="D1822" t="str">
        <f>VLOOKUP(B1822,Заказы!A:C,3,0)</f>
        <v>2023-06-06 17:32:00</v>
      </c>
      <c r="E1822" t="str">
        <f>VLOOKUP(C1822,Меню!A:E,4,0)</f>
        <v>Десерт</v>
      </c>
      <c r="F1822">
        <f>VLOOKUP(C1822,Меню!A:E,5,0)</f>
        <v>150</v>
      </c>
    </row>
    <row r="1823" spans="1:6" ht="15.75" hidden="1" customHeight="1" x14ac:dyDescent="0.35">
      <c r="A1823" s="1">
        <v>1822</v>
      </c>
      <c r="B1823" s="1">
        <v>353</v>
      </c>
      <c r="C1823" s="1">
        <v>37</v>
      </c>
      <c r="D1823" t="str">
        <f>VLOOKUP(B1823,Заказы!A:C,3,0)</f>
        <v>2023-06-06 17:32:00</v>
      </c>
      <c r="E1823" t="str">
        <f>VLOOKUP(C1823,Меню!A:E,4,0)</f>
        <v>Десерт</v>
      </c>
      <c r="F1823">
        <f>VLOOKUP(C1823,Меню!A:E,5,0)</f>
        <v>100</v>
      </c>
    </row>
    <row r="1824" spans="1:6" ht="15.75" hidden="1" customHeight="1" x14ac:dyDescent="0.35">
      <c r="A1824" s="1">
        <v>1823</v>
      </c>
      <c r="B1824" s="1">
        <v>354</v>
      </c>
      <c r="C1824" s="1">
        <v>3</v>
      </c>
      <c r="D1824" t="str">
        <f>VLOOKUP(B1824,Заказы!A:C,3,0)</f>
        <v>2023-06-06 17:44:00</v>
      </c>
      <c r="E1824" t="str">
        <f>VLOOKUP(C1824,Меню!A:E,4,0)</f>
        <v>Завтрак</v>
      </c>
      <c r="F1824">
        <f>VLOOKUP(C1824,Меню!A:E,5,0)</f>
        <v>150</v>
      </c>
    </row>
    <row r="1825" spans="1:6" ht="15.75" hidden="1" customHeight="1" x14ac:dyDescent="0.35">
      <c r="A1825" s="1">
        <v>1824</v>
      </c>
      <c r="B1825" s="1">
        <v>354</v>
      </c>
      <c r="C1825" s="1">
        <v>3</v>
      </c>
      <c r="D1825" t="str">
        <f>VLOOKUP(B1825,Заказы!A:C,3,0)</f>
        <v>2023-06-06 17:44:00</v>
      </c>
      <c r="E1825" t="str">
        <f>VLOOKUP(C1825,Меню!A:E,4,0)</f>
        <v>Завтрак</v>
      </c>
      <c r="F1825">
        <f>VLOOKUP(C1825,Меню!A:E,5,0)</f>
        <v>150</v>
      </c>
    </row>
    <row r="1826" spans="1:6" ht="15.75" hidden="1" customHeight="1" x14ac:dyDescent="0.35">
      <c r="A1826" s="1">
        <v>1825</v>
      </c>
      <c r="B1826" s="1">
        <v>354</v>
      </c>
      <c r="C1826" s="1">
        <v>59</v>
      </c>
      <c r="D1826" t="str">
        <f>VLOOKUP(B1826,Заказы!A:C,3,0)</f>
        <v>2023-06-06 17:44:00</v>
      </c>
      <c r="E1826" t="str">
        <f>VLOOKUP(C1826,Меню!A:E,4,0)</f>
        <v>Суши</v>
      </c>
      <c r="F1826">
        <f>VLOOKUP(C1826,Меню!A:E,5,0)</f>
        <v>300</v>
      </c>
    </row>
    <row r="1827" spans="1:6" ht="15.75" hidden="1" customHeight="1" x14ac:dyDescent="0.35">
      <c r="A1827" s="1">
        <v>1826</v>
      </c>
      <c r="B1827" s="1">
        <v>354</v>
      </c>
      <c r="C1827" s="1">
        <v>41</v>
      </c>
      <c r="D1827" t="str">
        <f>VLOOKUP(B1827,Заказы!A:C,3,0)</f>
        <v>2023-06-06 17:44:00</v>
      </c>
      <c r="E1827" t="str">
        <f>VLOOKUP(C1827,Меню!A:E,4,0)</f>
        <v>Суши</v>
      </c>
      <c r="F1827">
        <f>VLOOKUP(C1827,Меню!A:E,5,0)</f>
        <v>220</v>
      </c>
    </row>
    <row r="1828" spans="1:6" ht="15.75" hidden="1" customHeight="1" x14ac:dyDescent="0.35">
      <c r="A1828" s="1">
        <v>1827</v>
      </c>
      <c r="B1828" s="1">
        <v>354</v>
      </c>
      <c r="C1828" s="1">
        <v>46</v>
      </c>
      <c r="D1828" t="str">
        <f>VLOOKUP(B1828,Заказы!A:C,3,0)</f>
        <v>2023-06-06 17:44:00</v>
      </c>
      <c r="E1828" t="str">
        <f>VLOOKUP(C1828,Меню!A:E,4,0)</f>
        <v>Суши</v>
      </c>
      <c r="F1828">
        <f>VLOOKUP(C1828,Меню!A:E,5,0)</f>
        <v>200</v>
      </c>
    </row>
    <row r="1829" spans="1:6" ht="15.75" hidden="1" customHeight="1" x14ac:dyDescent="0.35">
      <c r="A1829" s="1">
        <v>1828</v>
      </c>
      <c r="B1829" s="1">
        <v>354</v>
      </c>
      <c r="C1829" s="1">
        <v>16</v>
      </c>
      <c r="D1829" t="str">
        <f>VLOOKUP(B1829,Заказы!A:C,3,0)</f>
        <v>2023-06-06 17:44:00</v>
      </c>
      <c r="E1829" t="str">
        <f>VLOOKUP(C1829,Меню!A:E,4,0)</f>
        <v>Первое</v>
      </c>
      <c r="F1829">
        <f>VLOOKUP(C1829,Меню!A:E,5,0)</f>
        <v>250</v>
      </c>
    </row>
    <row r="1830" spans="1:6" ht="15.75" hidden="1" customHeight="1" x14ac:dyDescent="0.35">
      <c r="A1830" s="1">
        <v>1829</v>
      </c>
      <c r="B1830" s="1">
        <v>354</v>
      </c>
      <c r="C1830" s="1">
        <v>36</v>
      </c>
      <c r="D1830" t="str">
        <f>VLOOKUP(B1830,Заказы!A:C,3,0)</f>
        <v>2023-06-06 17:44:00</v>
      </c>
      <c r="E1830" t="str">
        <f>VLOOKUP(C1830,Меню!A:E,4,0)</f>
        <v>Десерт</v>
      </c>
      <c r="F1830">
        <f>VLOOKUP(C1830,Меню!A:E,5,0)</f>
        <v>150</v>
      </c>
    </row>
    <row r="1831" spans="1:6" ht="15.75" hidden="1" customHeight="1" x14ac:dyDescent="0.35">
      <c r="A1831" s="1">
        <v>1830</v>
      </c>
      <c r="B1831" s="1">
        <v>355</v>
      </c>
      <c r="C1831" s="1">
        <v>31</v>
      </c>
      <c r="D1831" t="str">
        <f>VLOOKUP(B1831,Заказы!A:C,3,0)</f>
        <v>2023-06-06 17:51:00</v>
      </c>
      <c r="E1831" t="str">
        <f>VLOOKUP(C1831,Меню!A:E,4,0)</f>
        <v>Десерт</v>
      </c>
      <c r="F1831">
        <f>VLOOKUP(C1831,Меню!A:E,5,0)</f>
        <v>150</v>
      </c>
    </row>
    <row r="1832" spans="1:6" ht="15.75" hidden="1" customHeight="1" x14ac:dyDescent="0.35">
      <c r="A1832" s="1">
        <v>1831</v>
      </c>
      <c r="B1832" s="1">
        <v>355</v>
      </c>
      <c r="C1832" s="1">
        <v>16</v>
      </c>
      <c r="D1832" t="str">
        <f>VLOOKUP(B1832,Заказы!A:C,3,0)</f>
        <v>2023-06-06 17:51:00</v>
      </c>
      <c r="E1832" t="str">
        <f>VLOOKUP(C1832,Меню!A:E,4,0)</f>
        <v>Первое</v>
      </c>
      <c r="F1832">
        <f>VLOOKUP(C1832,Меню!A:E,5,0)</f>
        <v>250</v>
      </c>
    </row>
    <row r="1833" spans="1:6" ht="15.75" hidden="1" customHeight="1" x14ac:dyDescent="0.35">
      <c r="A1833" s="1">
        <v>1832</v>
      </c>
      <c r="B1833" s="1">
        <v>355</v>
      </c>
      <c r="C1833" s="1">
        <v>5</v>
      </c>
      <c r="D1833" t="str">
        <f>VLOOKUP(B1833,Заказы!A:C,3,0)</f>
        <v>2023-06-06 17:51:00</v>
      </c>
      <c r="E1833" t="str">
        <f>VLOOKUP(C1833,Меню!A:E,4,0)</f>
        <v>Завтрак</v>
      </c>
      <c r="F1833">
        <f>VLOOKUP(C1833,Меню!A:E,5,0)</f>
        <v>220</v>
      </c>
    </row>
    <row r="1834" spans="1:6" ht="15.75" hidden="1" customHeight="1" x14ac:dyDescent="0.35">
      <c r="A1834" s="1">
        <v>1833</v>
      </c>
      <c r="B1834" s="1">
        <v>355</v>
      </c>
      <c r="C1834" s="1">
        <v>45</v>
      </c>
      <c r="D1834" t="str">
        <f>VLOOKUP(B1834,Заказы!A:C,3,0)</f>
        <v>2023-06-06 17:51:00</v>
      </c>
      <c r="E1834" t="str">
        <f>VLOOKUP(C1834,Меню!A:E,4,0)</f>
        <v>Суши</v>
      </c>
      <c r="F1834">
        <f>VLOOKUP(C1834,Меню!A:E,5,0)</f>
        <v>200</v>
      </c>
    </row>
    <row r="1835" spans="1:6" ht="15.75" hidden="1" customHeight="1" x14ac:dyDescent="0.35">
      <c r="A1835" s="1">
        <v>1834</v>
      </c>
      <c r="B1835" s="1">
        <v>356</v>
      </c>
      <c r="C1835" s="1">
        <v>12</v>
      </c>
      <c r="D1835" t="str">
        <f>VLOOKUP(B1835,Заказы!A:C,3,0)</f>
        <v>2023-06-06 18:02:00</v>
      </c>
      <c r="E1835" t="str">
        <f>VLOOKUP(C1835,Меню!A:E,4,0)</f>
        <v>Первое</v>
      </c>
      <c r="F1835">
        <f>VLOOKUP(C1835,Меню!A:E,5,0)</f>
        <v>300</v>
      </c>
    </row>
    <row r="1836" spans="1:6" ht="15.75" hidden="1" customHeight="1" x14ac:dyDescent="0.35">
      <c r="A1836" s="1">
        <v>1835</v>
      </c>
      <c r="B1836" s="1">
        <v>356</v>
      </c>
      <c r="C1836" s="1">
        <v>28</v>
      </c>
      <c r="D1836" t="str">
        <f>VLOOKUP(B1836,Заказы!A:C,3,0)</f>
        <v>2023-06-06 18:02:00</v>
      </c>
      <c r="E1836" t="str">
        <f>VLOOKUP(C1836,Меню!A:E,4,0)</f>
        <v>Салат</v>
      </c>
      <c r="F1836">
        <f>VLOOKUP(C1836,Меню!A:E,5,0)</f>
        <v>250</v>
      </c>
    </row>
    <row r="1837" spans="1:6" ht="15.75" hidden="1" customHeight="1" x14ac:dyDescent="0.35">
      <c r="A1837" s="1">
        <v>1836</v>
      </c>
      <c r="B1837" s="1">
        <v>356</v>
      </c>
      <c r="C1837" s="1">
        <v>29</v>
      </c>
      <c r="D1837" t="str">
        <f>VLOOKUP(B1837,Заказы!A:C,3,0)</f>
        <v>2023-06-06 18:02:00</v>
      </c>
      <c r="E1837" t="str">
        <f>VLOOKUP(C1837,Меню!A:E,4,0)</f>
        <v>Салат</v>
      </c>
      <c r="F1837">
        <f>VLOOKUP(C1837,Меню!A:E,5,0)</f>
        <v>250</v>
      </c>
    </row>
    <row r="1838" spans="1:6" ht="15.75" hidden="1" customHeight="1" x14ac:dyDescent="0.35">
      <c r="A1838" s="1">
        <v>1837</v>
      </c>
      <c r="B1838" s="1">
        <v>356</v>
      </c>
      <c r="C1838" s="1">
        <v>29</v>
      </c>
      <c r="D1838" t="str">
        <f>VLOOKUP(B1838,Заказы!A:C,3,0)</f>
        <v>2023-06-06 18:02:00</v>
      </c>
      <c r="E1838" t="str">
        <f>VLOOKUP(C1838,Меню!A:E,4,0)</f>
        <v>Салат</v>
      </c>
      <c r="F1838">
        <f>VLOOKUP(C1838,Меню!A:E,5,0)</f>
        <v>250</v>
      </c>
    </row>
    <row r="1839" spans="1:6" ht="15.75" hidden="1" customHeight="1" x14ac:dyDescent="0.35">
      <c r="A1839" s="1">
        <v>1838</v>
      </c>
      <c r="B1839" s="1">
        <v>356</v>
      </c>
      <c r="C1839" s="1">
        <v>4</v>
      </c>
      <c r="D1839" t="str">
        <f>VLOOKUP(B1839,Заказы!A:C,3,0)</f>
        <v>2023-06-06 18:02:00</v>
      </c>
      <c r="E1839" t="str">
        <f>VLOOKUP(C1839,Меню!A:E,4,0)</f>
        <v>Завтрак</v>
      </c>
      <c r="F1839">
        <f>VLOOKUP(C1839,Меню!A:E,5,0)</f>
        <v>180</v>
      </c>
    </row>
    <row r="1840" spans="1:6" ht="15.75" hidden="1" customHeight="1" x14ac:dyDescent="0.35">
      <c r="A1840" s="1">
        <v>1839</v>
      </c>
      <c r="B1840" s="1">
        <v>356</v>
      </c>
      <c r="C1840" s="1">
        <v>37</v>
      </c>
      <c r="D1840" t="str">
        <f>VLOOKUP(B1840,Заказы!A:C,3,0)</f>
        <v>2023-06-06 18:02:00</v>
      </c>
      <c r="E1840" t="str">
        <f>VLOOKUP(C1840,Меню!A:E,4,0)</f>
        <v>Десерт</v>
      </c>
      <c r="F1840">
        <f>VLOOKUP(C1840,Меню!A:E,5,0)</f>
        <v>100</v>
      </c>
    </row>
    <row r="1841" spans="1:6" ht="15.75" hidden="1" customHeight="1" x14ac:dyDescent="0.35">
      <c r="A1841" s="1">
        <v>1840</v>
      </c>
      <c r="B1841" s="1">
        <v>356</v>
      </c>
      <c r="C1841" s="1">
        <v>32</v>
      </c>
      <c r="D1841" t="str">
        <f>VLOOKUP(B1841,Заказы!A:C,3,0)</f>
        <v>2023-06-06 18:02:00</v>
      </c>
      <c r="E1841" t="str">
        <f>VLOOKUP(C1841,Меню!A:E,4,0)</f>
        <v>Десерт</v>
      </c>
      <c r="F1841">
        <f>VLOOKUP(C1841,Меню!A:E,5,0)</f>
        <v>150</v>
      </c>
    </row>
    <row r="1842" spans="1:6" ht="15.75" hidden="1" customHeight="1" x14ac:dyDescent="0.35">
      <c r="A1842" s="1">
        <v>1841</v>
      </c>
      <c r="B1842" s="1">
        <v>356</v>
      </c>
      <c r="C1842" s="1">
        <v>58</v>
      </c>
      <c r="D1842" t="str">
        <f>VLOOKUP(B1842,Заказы!A:C,3,0)</f>
        <v>2023-06-06 18:02:00</v>
      </c>
      <c r="E1842" t="str">
        <f>VLOOKUP(C1842,Меню!A:E,4,0)</f>
        <v>Суши</v>
      </c>
      <c r="F1842">
        <f>VLOOKUP(C1842,Меню!A:E,5,0)</f>
        <v>200</v>
      </c>
    </row>
    <row r="1843" spans="1:6" ht="15.75" hidden="1" customHeight="1" x14ac:dyDescent="0.35">
      <c r="A1843" s="1">
        <v>1842</v>
      </c>
      <c r="B1843" s="1">
        <v>357</v>
      </c>
      <c r="C1843" s="1">
        <v>5</v>
      </c>
      <c r="D1843" t="str">
        <f>VLOOKUP(B1843,Заказы!A:C,3,0)</f>
        <v>2023-06-07 15:24:00</v>
      </c>
      <c r="E1843" t="str">
        <f>VLOOKUP(C1843,Меню!A:E,4,0)</f>
        <v>Завтрак</v>
      </c>
      <c r="F1843">
        <f>VLOOKUP(C1843,Меню!A:E,5,0)</f>
        <v>220</v>
      </c>
    </row>
    <row r="1844" spans="1:6" ht="15.75" hidden="1" customHeight="1" x14ac:dyDescent="0.35">
      <c r="A1844" s="1">
        <v>1843</v>
      </c>
      <c r="B1844" s="1">
        <v>357</v>
      </c>
      <c r="C1844" s="1">
        <v>19</v>
      </c>
      <c r="D1844" t="str">
        <f>VLOOKUP(B1844,Заказы!A:C,3,0)</f>
        <v>2023-06-07 15:24:00</v>
      </c>
      <c r="E1844" t="str">
        <f>VLOOKUP(C1844,Меню!A:E,4,0)</f>
        <v>Первое</v>
      </c>
      <c r="F1844">
        <f>VLOOKUP(C1844,Меню!A:E,5,0)</f>
        <v>300</v>
      </c>
    </row>
    <row r="1845" spans="1:6" ht="15.75" hidden="1" customHeight="1" x14ac:dyDescent="0.35">
      <c r="A1845" s="1">
        <v>1844</v>
      </c>
      <c r="B1845" s="1">
        <v>357</v>
      </c>
      <c r="C1845" s="1">
        <v>33</v>
      </c>
      <c r="D1845" t="str">
        <f>VLOOKUP(B1845,Заказы!A:C,3,0)</f>
        <v>2023-06-07 15:24:00</v>
      </c>
      <c r="E1845" t="str">
        <f>VLOOKUP(C1845,Меню!A:E,4,0)</f>
        <v>Десерт</v>
      </c>
      <c r="F1845">
        <f>VLOOKUP(C1845,Меню!A:E,5,0)</f>
        <v>150</v>
      </c>
    </row>
    <row r="1846" spans="1:6" ht="15.75" hidden="1" customHeight="1" x14ac:dyDescent="0.35">
      <c r="A1846" s="1">
        <v>1845</v>
      </c>
      <c r="B1846" s="1">
        <v>357</v>
      </c>
      <c r="C1846" s="1">
        <v>1</v>
      </c>
      <c r="D1846" t="str">
        <f>VLOOKUP(B1846,Заказы!A:C,3,0)</f>
        <v>2023-06-07 15:24:00</v>
      </c>
      <c r="E1846" t="str">
        <f>VLOOKUP(C1846,Меню!A:E,4,0)</f>
        <v>Завтрак</v>
      </c>
      <c r="F1846">
        <f>VLOOKUP(C1846,Меню!A:E,5,0)</f>
        <v>200</v>
      </c>
    </row>
    <row r="1847" spans="1:6" ht="15.75" hidden="1" customHeight="1" x14ac:dyDescent="0.35">
      <c r="A1847" s="1">
        <v>1846</v>
      </c>
      <c r="B1847" s="1">
        <v>357</v>
      </c>
      <c r="C1847" s="1">
        <v>55</v>
      </c>
      <c r="D1847" t="str">
        <f>VLOOKUP(B1847,Заказы!A:C,3,0)</f>
        <v>2023-06-07 15:24:00</v>
      </c>
      <c r="E1847" t="str">
        <f>VLOOKUP(C1847,Меню!A:E,4,0)</f>
        <v>Суши</v>
      </c>
      <c r="F1847">
        <f>VLOOKUP(C1847,Меню!A:E,5,0)</f>
        <v>100</v>
      </c>
    </row>
    <row r="1848" spans="1:6" ht="15.75" hidden="1" customHeight="1" x14ac:dyDescent="0.35">
      <c r="A1848" s="1">
        <v>1847</v>
      </c>
      <c r="B1848" s="1">
        <v>357</v>
      </c>
      <c r="C1848" s="1">
        <v>11</v>
      </c>
      <c r="D1848" t="str">
        <f>VLOOKUP(B1848,Заказы!A:C,3,0)</f>
        <v>2023-06-07 15:24:00</v>
      </c>
      <c r="E1848" t="str">
        <f>VLOOKUP(C1848,Меню!A:E,4,0)</f>
        <v>Первое</v>
      </c>
      <c r="F1848">
        <f>VLOOKUP(C1848,Меню!A:E,5,0)</f>
        <v>300</v>
      </c>
    </row>
    <row r="1849" spans="1:6" ht="15.75" hidden="1" customHeight="1" x14ac:dyDescent="0.35">
      <c r="A1849" s="1">
        <v>1848</v>
      </c>
      <c r="B1849" s="1">
        <v>358</v>
      </c>
      <c r="C1849" s="1">
        <v>49</v>
      </c>
      <c r="D1849" t="str">
        <f>VLOOKUP(B1849,Заказы!A:C,3,0)</f>
        <v>2023-06-07 15:24:00</v>
      </c>
      <c r="E1849" t="str">
        <f>VLOOKUP(C1849,Меню!A:E,4,0)</f>
        <v>Суши</v>
      </c>
      <c r="F1849">
        <f>VLOOKUP(C1849,Меню!A:E,5,0)</f>
        <v>200</v>
      </c>
    </row>
    <row r="1850" spans="1:6" ht="15.75" hidden="1" customHeight="1" x14ac:dyDescent="0.35">
      <c r="A1850" s="1">
        <v>1849</v>
      </c>
      <c r="B1850" s="1">
        <v>358</v>
      </c>
      <c r="C1850" s="1">
        <v>11</v>
      </c>
      <c r="D1850" t="str">
        <f>VLOOKUP(B1850,Заказы!A:C,3,0)</f>
        <v>2023-06-07 15:24:00</v>
      </c>
      <c r="E1850" t="str">
        <f>VLOOKUP(C1850,Меню!A:E,4,0)</f>
        <v>Первое</v>
      </c>
      <c r="F1850">
        <f>VLOOKUP(C1850,Меню!A:E,5,0)</f>
        <v>300</v>
      </c>
    </row>
    <row r="1851" spans="1:6" ht="15.75" hidden="1" customHeight="1" x14ac:dyDescent="0.35">
      <c r="A1851" s="1">
        <v>1850</v>
      </c>
      <c r="B1851" s="1">
        <v>358</v>
      </c>
      <c r="C1851" s="1">
        <v>21</v>
      </c>
      <c r="D1851" t="str">
        <f>VLOOKUP(B1851,Заказы!A:C,3,0)</f>
        <v>2023-06-07 15:24:00</v>
      </c>
      <c r="E1851" t="str">
        <f>VLOOKUP(C1851,Меню!A:E,4,0)</f>
        <v>Салат</v>
      </c>
      <c r="F1851">
        <f>VLOOKUP(C1851,Меню!A:E,5,0)</f>
        <v>250</v>
      </c>
    </row>
    <row r="1852" spans="1:6" ht="15.75" hidden="1" customHeight="1" x14ac:dyDescent="0.35">
      <c r="A1852" s="1">
        <v>1851</v>
      </c>
      <c r="B1852" s="1">
        <v>358</v>
      </c>
      <c r="C1852" s="1">
        <v>53</v>
      </c>
      <c r="D1852" t="str">
        <f>VLOOKUP(B1852,Заказы!A:C,3,0)</f>
        <v>2023-06-07 15:24:00</v>
      </c>
      <c r="E1852" t="str">
        <f>VLOOKUP(C1852,Меню!A:E,4,0)</f>
        <v>Суши</v>
      </c>
      <c r="F1852">
        <f>VLOOKUP(C1852,Меню!A:E,5,0)</f>
        <v>100</v>
      </c>
    </row>
    <row r="1853" spans="1:6" ht="15.75" hidden="1" customHeight="1" x14ac:dyDescent="0.35">
      <c r="A1853" s="1">
        <v>1852</v>
      </c>
      <c r="B1853" s="1">
        <v>358</v>
      </c>
      <c r="C1853" s="1">
        <v>8</v>
      </c>
      <c r="D1853" t="str">
        <f>VLOOKUP(B1853,Заказы!A:C,3,0)</f>
        <v>2023-06-07 15:24:00</v>
      </c>
      <c r="E1853" t="str">
        <f>VLOOKUP(C1853,Меню!A:E,4,0)</f>
        <v>Завтрак</v>
      </c>
      <c r="F1853">
        <f>VLOOKUP(C1853,Меню!A:E,5,0)</f>
        <v>180</v>
      </c>
    </row>
    <row r="1854" spans="1:6" ht="15.75" hidden="1" customHeight="1" x14ac:dyDescent="0.35">
      <c r="A1854" s="1">
        <v>1853</v>
      </c>
      <c r="B1854" s="1">
        <v>358</v>
      </c>
      <c r="C1854" s="1">
        <v>46</v>
      </c>
      <c r="D1854" t="str">
        <f>VLOOKUP(B1854,Заказы!A:C,3,0)</f>
        <v>2023-06-07 15:24:00</v>
      </c>
      <c r="E1854" t="str">
        <f>VLOOKUP(C1854,Меню!A:E,4,0)</f>
        <v>Суши</v>
      </c>
      <c r="F1854">
        <f>VLOOKUP(C1854,Меню!A:E,5,0)</f>
        <v>200</v>
      </c>
    </row>
    <row r="1855" spans="1:6" ht="15.75" hidden="1" customHeight="1" x14ac:dyDescent="0.35">
      <c r="A1855" s="1">
        <v>1854</v>
      </c>
      <c r="B1855" s="1">
        <v>359</v>
      </c>
      <c r="C1855" s="1">
        <v>47</v>
      </c>
      <c r="D1855" t="str">
        <f>VLOOKUP(B1855,Заказы!A:C,3,0)</f>
        <v>2023-06-07 15:40:00</v>
      </c>
      <c r="E1855" t="str">
        <f>VLOOKUP(C1855,Меню!A:E,4,0)</f>
        <v>Суши</v>
      </c>
      <c r="F1855">
        <f>VLOOKUP(C1855,Меню!A:E,5,0)</f>
        <v>200</v>
      </c>
    </row>
    <row r="1856" spans="1:6" ht="15.75" hidden="1" customHeight="1" x14ac:dyDescent="0.35">
      <c r="A1856" s="1">
        <v>1855</v>
      </c>
      <c r="B1856" s="1">
        <v>359</v>
      </c>
      <c r="C1856" s="1">
        <v>31</v>
      </c>
      <c r="D1856" t="str">
        <f>VLOOKUP(B1856,Заказы!A:C,3,0)</f>
        <v>2023-06-07 15:40:00</v>
      </c>
      <c r="E1856" t="str">
        <f>VLOOKUP(C1856,Меню!A:E,4,0)</f>
        <v>Десерт</v>
      </c>
      <c r="F1856">
        <f>VLOOKUP(C1856,Меню!A:E,5,0)</f>
        <v>150</v>
      </c>
    </row>
    <row r="1857" spans="1:6" ht="15.75" hidden="1" customHeight="1" x14ac:dyDescent="0.35">
      <c r="A1857" s="1">
        <v>1856</v>
      </c>
      <c r="B1857" s="1">
        <v>359</v>
      </c>
      <c r="C1857" s="1">
        <v>58</v>
      </c>
      <c r="D1857" t="str">
        <f>VLOOKUP(B1857,Заказы!A:C,3,0)</f>
        <v>2023-06-07 15:40:00</v>
      </c>
      <c r="E1857" t="str">
        <f>VLOOKUP(C1857,Меню!A:E,4,0)</f>
        <v>Суши</v>
      </c>
      <c r="F1857">
        <f>VLOOKUP(C1857,Меню!A:E,5,0)</f>
        <v>200</v>
      </c>
    </row>
    <row r="1858" spans="1:6" ht="15.75" hidden="1" customHeight="1" x14ac:dyDescent="0.35">
      <c r="A1858" s="1">
        <v>1857</v>
      </c>
      <c r="B1858" s="1">
        <v>359</v>
      </c>
      <c r="C1858" s="1">
        <v>33</v>
      </c>
      <c r="D1858" t="str">
        <f>VLOOKUP(B1858,Заказы!A:C,3,0)</f>
        <v>2023-06-07 15:40:00</v>
      </c>
      <c r="E1858" t="str">
        <f>VLOOKUP(C1858,Меню!A:E,4,0)</f>
        <v>Десерт</v>
      </c>
      <c r="F1858">
        <f>VLOOKUP(C1858,Меню!A:E,5,0)</f>
        <v>150</v>
      </c>
    </row>
    <row r="1859" spans="1:6" ht="15.75" hidden="1" customHeight="1" x14ac:dyDescent="0.35">
      <c r="A1859" s="1">
        <v>1858</v>
      </c>
      <c r="B1859" s="1">
        <v>359</v>
      </c>
      <c r="C1859" s="1">
        <v>47</v>
      </c>
      <c r="D1859" t="str">
        <f>VLOOKUP(B1859,Заказы!A:C,3,0)</f>
        <v>2023-06-07 15:40:00</v>
      </c>
      <c r="E1859" t="str">
        <f>VLOOKUP(C1859,Меню!A:E,4,0)</f>
        <v>Суши</v>
      </c>
      <c r="F1859">
        <f>VLOOKUP(C1859,Меню!A:E,5,0)</f>
        <v>200</v>
      </c>
    </row>
    <row r="1860" spans="1:6" ht="15.75" hidden="1" customHeight="1" x14ac:dyDescent="0.35">
      <c r="A1860" s="1">
        <v>1859</v>
      </c>
      <c r="B1860" s="1">
        <v>359</v>
      </c>
      <c r="C1860" s="1">
        <v>26</v>
      </c>
      <c r="D1860" t="str">
        <f>VLOOKUP(B1860,Заказы!A:C,3,0)</f>
        <v>2023-06-07 15:40:00</v>
      </c>
      <c r="E1860" t="str">
        <f>VLOOKUP(C1860,Меню!A:E,4,0)</f>
        <v>Салат</v>
      </c>
      <c r="F1860">
        <f>VLOOKUP(C1860,Меню!A:E,5,0)</f>
        <v>250</v>
      </c>
    </row>
    <row r="1861" spans="1:6" ht="15.75" hidden="1" customHeight="1" x14ac:dyDescent="0.35">
      <c r="A1861" s="1">
        <v>1860</v>
      </c>
      <c r="B1861" s="1">
        <v>360</v>
      </c>
      <c r="C1861" s="1">
        <v>3</v>
      </c>
      <c r="D1861" t="str">
        <f>VLOOKUP(B1861,Заказы!A:C,3,0)</f>
        <v>2023-06-07 16:43:00</v>
      </c>
      <c r="E1861" t="str">
        <f>VLOOKUP(C1861,Меню!A:E,4,0)</f>
        <v>Завтрак</v>
      </c>
      <c r="F1861">
        <f>VLOOKUP(C1861,Меню!A:E,5,0)</f>
        <v>150</v>
      </c>
    </row>
    <row r="1862" spans="1:6" ht="15.75" hidden="1" customHeight="1" x14ac:dyDescent="0.35">
      <c r="A1862" s="1">
        <v>1861</v>
      </c>
      <c r="B1862" s="1">
        <v>361</v>
      </c>
      <c r="C1862" s="1">
        <v>17</v>
      </c>
      <c r="D1862" t="str">
        <f>VLOOKUP(B1862,Заказы!A:C,3,0)</f>
        <v>2023-06-07 17:22:00</v>
      </c>
      <c r="E1862" t="str">
        <f>VLOOKUP(C1862,Меню!A:E,4,0)</f>
        <v>Первое</v>
      </c>
      <c r="F1862">
        <f>VLOOKUP(C1862,Меню!A:E,5,0)</f>
        <v>250</v>
      </c>
    </row>
    <row r="1863" spans="1:6" ht="15.75" hidden="1" customHeight="1" x14ac:dyDescent="0.35">
      <c r="A1863" s="1">
        <v>1862</v>
      </c>
      <c r="B1863" s="1">
        <v>361</v>
      </c>
      <c r="C1863" s="1">
        <v>29</v>
      </c>
      <c r="D1863" t="str">
        <f>VLOOKUP(B1863,Заказы!A:C,3,0)</f>
        <v>2023-06-07 17:22:00</v>
      </c>
      <c r="E1863" t="str">
        <f>VLOOKUP(C1863,Меню!A:E,4,0)</f>
        <v>Салат</v>
      </c>
      <c r="F1863">
        <f>VLOOKUP(C1863,Меню!A:E,5,0)</f>
        <v>250</v>
      </c>
    </row>
    <row r="1864" spans="1:6" ht="15.75" hidden="1" customHeight="1" x14ac:dyDescent="0.35">
      <c r="A1864" s="1">
        <v>1863</v>
      </c>
      <c r="B1864" s="1">
        <v>361</v>
      </c>
      <c r="C1864" s="1">
        <v>32</v>
      </c>
      <c r="D1864" t="str">
        <f>VLOOKUP(B1864,Заказы!A:C,3,0)</f>
        <v>2023-06-07 17:22:00</v>
      </c>
      <c r="E1864" t="str">
        <f>VLOOKUP(C1864,Меню!A:E,4,0)</f>
        <v>Десерт</v>
      </c>
      <c r="F1864">
        <f>VLOOKUP(C1864,Меню!A:E,5,0)</f>
        <v>150</v>
      </c>
    </row>
    <row r="1865" spans="1:6" ht="15.75" hidden="1" customHeight="1" x14ac:dyDescent="0.35">
      <c r="A1865" s="1">
        <v>1864</v>
      </c>
      <c r="B1865" s="1">
        <v>361</v>
      </c>
      <c r="C1865" s="1">
        <v>38</v>
      </c>
      <c r="D1865" t="str">
        <f>VLOOKUP(B1865,Заказы!A:C,3,0)</f>
        <v>2023-06-07 17:22:00</v>
      </c>
      <c r="E1865" t="str">
        <f>VLOOKUP(C1865,Меню!A:E,4,0)</f>
        <v>Десерт</v>
      </c>
      <c r="F1865">
        <f>VLOOKUP(C1865,Меню!A:E,5,0)</f>
        <v>150</v>
      </c>
    </row>
    <row r="1866" spans="1:6" ht="15.75" hidden="1" customHeight="1" x14ac:dyDescent="0.35">
      <c r="A1866" s="1">
        <v>1865</v>
      </c>
      <c r="B1866" s="1">
        <v>362</v>
      </c>
      <c r="C1866" s="1">
        <v>45</v>
      </c>
      <c r="D1866" t="str">
        <f>VLOOKUP(B1866,Заказы!A:C,3,0)</f>
        <v>2023-06-07 20:01:00</v>
      </c>
      <c r="E1866" t="str">
        <f>VLOOKUP(C1866,Меню!A:E,4,0)</f>
        <v>Суши</v>
      </c>
      <c r="F1866">
        <f>VLOOKUP(C1866,Меню!A:E,5,0)</f>
        <v>200</v>
      </c>
    </row>
    <row r="1867" spans="1:6" ht="15.75" hidden="1" customHeight="1" x14ac:dyDescent="0.35">
      <c r="A1867" s="1">
        <v>1866</v>
      </c>
      <c r="B1867" s="1">
        <v>362</v>
      </c>
      <c r="C1867" s="1">
        <v>40</v>
      </c>
      <c r="D1867" t="str">
        <f>VLOOKUP(B1867,Заказы!A:C,3,0)</f>
        <v>2023-06-07 20:01:00</v>
      </c>
      <c r="E1867" t="str">
        <f>VLOOKUP(C1867,Меню!A:E,4,0)</f>
        <v>Десерт</v>
      </c>
      <c r="F1867">
        <f>VLOOKUP(C1867,Меню!A:E,5,0)</f>
        <v>150</v>
      </c>
    </row>
    <row r="1868" spans="1:6" ht="15.75" hidden="1" customHeight="1" x14ac:dyDescent="0.35">
      <c r="A1868" s="1">
        <v>1867</v>
      </c>
      <c r="B1868" s="1">
        <v>362</v>
      </c>
      <c r="C1868" s="1">
        <v>23</v>
      </c>
      <c r="D1868" t="str">
        <f>VLOOKUP(B1868,Заказы!A:C,3,0)</f>
        <v>2023-06-07 20:01:00</v>
      </c>
      <c r="E1868" t="str">
        <f>VLOOKUP(C1868,Меню!A:E,4,0)</f>
        <v>Салат</v>
      </c>
      <c r="F1868">
        <f>VLOOKUP(C1868,Меню!A:E,5,0)</f>
        <v>250</v>
      </c>
    </row>
    <row r="1869" spans="1:6" ht="15.75" hidden="1" customHeight="1" x14ac:dyDescent="0.35">
      <c r="A1869" s="1">
        <v>1868</v>
      </c>
      <c r="B1869" s="1">
        <v>362</v>
      </c>
      <c r="C1869" s="1">
        <v>32</v>
      </c>
      <c r="D1869" t="str">
        <f>VLOOKUP(B1869,Заказы!A:C,3,0)</f>
        <v>2023-06-07 20:01:00</v>
      </c>
      <c r="E1869" t="str">
        <f>VLOOKUP(C1869,Меню!A:E,4,0)</f>
        <v>Десерт</v>
      </c>
      <c r="F1869">
        <f>VLOOKUP(C1869,Меню!A:E,5,0)</f>
        <v>150</v>
      </c>
    </row>
    <row r="1870" spans="1:6" ht="15.75" hidden="1" customHeight="1" x14ac:dyDescent="0.35">
      <c r="A1870" s="1">
        <v>1869</v>
      </c>
      <c r="B1870" s="1">
        <v>362</v>
      </c>
      <c r="C1870" s="1">
        <v>59</v>
      </c>
      <c r="D1870" t="str">
        <f>VLOOKUP(B1870,Заказы!A:C,3,0)</f>
        <v>2023-06-07 20:01:00</v>
      </c>
      <c r="E1870" t="str">
        <f>VLOOKUP(C1870,Меню!A:E,4,0)</f>
        <v>Суши</v>
      </c>
      <c r="F1870">
        <f>VLOOKUP(C1870,Меню!A:E,5,0)</f>
        <v>300</v>
      </c>
    </row>
    <row r="1871" spans="1:6" ht="15.75" hidden="1" customHeight="1" x14ac:dyDescent="0.35">
      <c r="A1871" s="1">
        <v>1870</v>
      </c>
      <c r="B1871" s="1">
        <v>362</v>
      </c>
      <c r="C1871" s="1">
        <v>6</v>
      </c>
      <c r="D1871" t="str">
        <f>VLOOKUP(B1871,Заказы!A:C,3,0)</f>
        <v>2023-06-07 20:01:00</v>
      </c>
      <c r="E1871" t="str">
        <f>VLOOKUP(C1871,Меню!A:E,4,0)</f>
        <v>Завтрак</v>
      </c>
      <c r="F1871">
        <f>VLOOKUP(C1871,Меню!A:E,5,0)</f>
        <v>300</v>
      </c>
    </row>
    <row r="1872" spans="1:6" ht="15.75" hidden="1" customHeight="1" x14ac:dyDescent="0.35">
      <c r="A1872" s="1">
        <v>1871</v>
      </c>
      <c r="B1872" s="1">
        <v>362</v>
      </c>
      <c r="C1872" s="1">
        <v>47</v>
      </c>
      <c r="D1872" t="str">
        <f>VLOOKUP(B1872,Заказы!A:C,3,0)</f>
        <v>2023-06-07 20:01:00</v>
      </c>
      <c r="E1872" t="str">
        <f>VLOOKUP(C1872,Меню!A:E,4,0)</f>
        <v>Суши</v>
      </c>
      <c r="F1872">
        <f>VLOOKUP(C1872,Меню!A:E,5,0)</f>
        <v>200</v>
      </c>
    </row>
    <row r="1873" spans="1:6" ht="15.75" hidden="1" customHeight="1" x14ac:dyDescent="0.35">
      <c r="A1873" s="1">
        <v>1872</v>
      </c>
      <c r="B1873" s="1">
        <v>363</v>
      </c>
      <c r="C1873" s="1">
        <v>35</v>
      </c>
      <c r="D1873" t="str">
        <f>VLOOKUP(B1873,Заказы!A:C,3,0)</f>
        <v>2023-06-07 20:24:00</v>
      </c>
      <c r="E1873" t="str">
        <f>VLOOKUP(C1873,Меню!A:E,4,0)</f>
        <v>Десерт</v>
      </c>
      <c r="F1873">
        <f>VLOOKUP(C1873,Меню!A:E,5,0)</f>
        <v>150</v>
      </c>
    </row>
    <row r="1874" spans="1:6" ht="15.75" hidden="1" customHeight="1" x14ac:dyDescent="0.35">
      <c r="A1874" s="1">
        <v>1873</v>
      </c>
      <c r="B1874" s="1">
        <v>363</v>
      </c>
      <c r="C1874" s="1">
        <v>46</v>
      </c>
      <c r="D1874" t="str">
        <f>VLOOKUP(B1874,Заказы!A:C,3,0)</f>
        <v>2023-06-07 20:24:00</v>
      </c>
      <c r="E1874" t="str">
        <f>VLOOKUP(C1874,Меню!A:E,4,0)</f>
        <v>Суши</v>
      </c>
      <c r="F1874">
        <f>VLOOKUP(C1874,Меню!A:E,5,0)</f>
        <v>200</v>
      </c>
    </row>
    <row r="1875" spans="1:6" ht="15.75" hidden="1" customHeight="1" x14ac:dyDescent="0.35">
      <c r="A1875" s="1">
        <v>1874</v>
      </c>
      <c r="B1875" s="1">
        <v>363</v>
      </c>
      <c r="C1875" s="1">
        <v>39</v>
      </c>
      <c r="D1875" t="str">
        <f>VLOOKUP(B1875,Заказы!A:C,3,0)</f>
        <v>2023-06-07 20:24:00</v>
      </c>
      <c r="E1875" t="str">
        <f>VLOOKUP(C1875,Меню!A:E,4,0)</f>
        <v>Десерт</v>
      </c>
      <c r="F1875">
        <f>VLOOKUP(C1875,Меню!A:E,5,0)</f>
        <v>150</v>
      </c>
    </row>
    <row r="1876" spans="1:6" ht="15.75" hidden="1" customHeight="1" x14ac:dyDescent="0.35">
      <c r="A1876" s="1">
        <v>1875</v>
      </c>
      <c r="B1876" s="1">
        <v>363</v>
      </c>
      <c r="C1876" s="1">
        <v>33</v>
      </c>
      <c r="D1876" t="str">
        <f>VLOOKUP(B1876,Заказы!A:C,3,0)</f>
        <v>2023-06-07 20:24:00</v>
      </c>
      <c r="E1876" t="str">
        <f>VLOOKUP(C1876,Меню!A:E,4,0)</f>
        <v>Десерт</v>
      </c>
      <c r="F1876">
        <f>VLOOKUP(C1876,Меню!A:E,5,0)</f>
        <v>150</v>
      </c>
    </row>
    <row r="1877" spans="1:6" ht="15.75" hidden="1" customHeight="1" x14ac:dyDescent="0.35">
      <c r="A1877" s="1">
        <v>1876</v>
      </c>
      <c r="B1877" s="1">
        <v>363</v>
      </c>
      <c r="C1877" s="1">
        <v>47</v>
      </c>
      <c r="D1877" t="str">
        <f>VLOOKUP(B1877,Заказы!A:C,3,0)</f>
        <v>2023-06-07 20:24:00</v>
      </c>
      <c r="E1877" t="str">
        <f>VLOOKUP(C1877,Меню!A:E,4,0)</f>
        <v>Суши</v>
      </c>
      <c r="F1877">
        <f>VLOOKUP(C1877,Меню!A:E,5,0)</f>
        <v>200</v>
      </c>
    </row>
    <row r="1878" spans="1:6" ht="15.75" hidden="1" customHeight="1" x14ac:dyDescent="0.35">
      <c r="A1878" s="1">
        <v>1877</v>
      </c>
      <c r="B1878" s="1">
        <v>363</v>
      </c>
      <c r="C1878" s="1">
        <v>15</v>
      </c>
      <c r="D1878" t="str">
        <f>VLOOKUP(B1878,Заказы!A:C,3,0)</f>
        <v>2023-06-07 20:24:00</v>
      </c>
      <c r="E1878" t="str">
        <f>VLOOKUP(C1878,Меню!A:E,4,0)</f>
        <v>Первое</v>
      </c>
      <c r="F1878">
        <f>VLOOKUP(C1878,Меню!A:E,5,0)</f>
        <v>250</v>
      </c>
    </row>
    <row r="1879" spans="1:6" ht="15.75" hidden="1" customHeight="1" x14ac:dyDescent="0.35">
      <c r="A1879" s="1">
        <v>1878</v>
      </c>
      <c r="B1879" s="1">
        <v>363</v>
      </c>
      <c r="C1879" s="1">
        <v>33</v>
      </c>
      <c r="D1879" t="str">
        <f>VLOOKUP(B1879,Заказы!A:C,3,0)</f>
        <v>2023-06-07 20:24:00</v>
      </c>
      <c r="E1879" t="str">
        <f>VLOOKUP(C1879,Меню!A:E,4,0)</f>
        <v>Десерт</v>
      </c>
      <c r="F1879">
        <f>VLOOKUP(C1879,Меню!A:E,5,0)</f>
        <v>150</v>
      </c>
    </row>
    <row r="1880" spans="1:6" ht="15.75" hidden="1" customHeight="1" x14ac:dyDescent="0.35">
      <c r="A1880" s="1">
        <v>1879</v>
      </c>
      <c r="B1880" s="1">
        <v>364</v>
      </c>
      <c r="C1880" s="1">
        <v>38</v>
      </c>
      <c r="D1880" t="str">
        <f>VLOOKUP(B1880,Заказы!A:C,3,0)</f>
        <v>2023-06-08 20:08:00</v>
      </c>
      <c r="E1880" t="str">
        <f>VLOOKUP(C1880,Меню!A:E,4,0)</f>
        <v>Десерт</v>
      </c>
      <c r="F1880">
        <f>VLOOKUP(C1880,Меню!A:E,5,0)</f>
        <v>150</v>
      </c>
    </row>
    <row r="1881" spans="1:6" ht="15.75" hidden="1" customHeight="1" x14ac:dyDescent="0.35">
      <c r="A1881" s="1">
        <v>1880</v>
      </c>
      <c r="B1881" s="1">
        <v>364</v>
      </c>
      <c r="C1881" s="1">
        <v>41</v>
      </c>
      <c r="D1881" t="str">
        <f>VLOOKUP(B1881,Заказы!A:C,3,0)</f>
        <v>2023-06-08 20:08:00</v>
      </c>
      <c r="E1881" t="str">
        <f>VLOOKUP(C1881,Меню!A:E,4,0)</f>
        <v>Суши</v>
      </c>
      <c r="F1881">
        <f>VLOOKUP(C1881,Меню!A:E,5,0)</f>
        <v>220</v>
      </c>
    </row>
    <row r="1882" spans="1:6" ht="15.75" hidden="1" customHeight="1" x14ac:dyDescent="0.35">
      <c r="A1882" s="1">
        <v>1881</v>
      </c>
      <c r="B1882" s="1">
        <v>364</v>
      </c>
      <c r="C1882" s="1">
        <v>42</v>
      </c>
      <c r="D1882" t="str">
        <f>VLOOKUP(B1882,Заказы!A:C,3,0)</f>
        <v>2023-06-08 20:08:00</v>
      </c>
      <c r="E1882" t="str">
        <f>VLOOKUP(C1882,Меню!A:E,4,0)</f>
        <v>Суши</v>
      </c>
      <c r="F1882">
        <f>VLOOKUP(C1882,Меню!A:E,5,0)</f>
        <v>250</v>
      </c>
    </row>
    <row r="1883" spans="1:6" ht="15.75" hidden="1" customHeight="1" x14ac:dyDescent="0.35">
      <c r="A1883" s="1">
        <v>1882</v>
      </c>
      <c r="B1883" s="1">
        <v>364</v>
      </c>
      <c r="C1883" s="1">
        <v>35</v>
      </c>
      <c r="D1883" t="str">
        <f>VLOOKUP(B1883,Заказы!A:C,3,0)</f>
        <v>2023-06-08 20:08:00</v>
      </c>
      <c r="E1883" t="str">
        <f>VLOOKUP(C1883,Меню!A:E,4,0)</f>
        <v>Десерт</v>
      </c>
      <c r="F1883">
        <f>VLOOKUP(C1883,Меню!A:E,5,0)</f>
        <v>150</v>
      </c>
    </row>
    <row r="1884" spans="1:6" ht="15.75" hidden="1" customHeight="1" x14ac:dyDescent="0.35">
      <c r="A1884" s="1">
        <v>1883</v>
      </c>
      <c r="B1884" s="1">
        <v>365</v>
      </c>
      <c r="C1884" s="1">
        <v>4</v>
      </c>
      <c r="D1884" t="str">
        <f>VLOOKUP(B1884,Заказы!A:C,3,0)</f>
        <v>2023-06-08 22:08:00</v>
      </c>
      <c r="E1884" t="str">
        <f>VLOOKUP(C1884,Меню!A:E,4,0)</f>
        <v>Завтрак</v>
      </c>
      <c r="F1884">
        <f>VLOOKUP(C1884,Меню!A:E,5,0)</f>
        <v>180</v>
      </c>
    </row>
    <row r="1885" spans="1:6" ht="15.75" hidden="1" customHeight="1" x14ac:dyDescent="0.35">
      <c r="A1885" s="1">
        <v>1884</v>
      </c>
      <c r="B1885" s="1">
        <v>365</v>
      </c>
      <c r="C1885" s="1">
        <v>22</v>
      </c>
      <c r="D1885" t="str">
        <f>VLOOKUP(B1885,Заказы!A:C,3,0)</f>
        <v>2023-06-08 22:08:00</v>
      </c>
      <c r="E1885" t="str">
        <f>VLOOKUP(C1885,Меню!A:E,4,0)</f>
        <v>Салат</v>
      </c>
      <c r="F1885">
        <f>VLOOKUP(C1885,Меню!A:E,5,0)</f>
        <v>250</v>
      </c>
    </row>
    <row r="1886" spans="1:6" ht="15.75" hidden="1" customHeight="1" x14ac:dyDescent="0.35">
      <c r="A1886" s="1">
        <v>1885</v>
      </c>
      <c r="B1886" s="1">
        <v>365</v>
      </c>
      <c r="C1886" s="1">
        <v>33</v>
      </c>
      <c r="D1886" t="str">
        <f>VLOOKUP(B1886,Заказы!A:C,3,0)</f>
        <v>2023-06-08 22:08:00</v>
      </c>
      <c r="E1886" t="str">
        <f>VLOOKUP(C1886,Меню!A:E,4,0)</f>
        <v>Десерт</v>
      </c>
      <c r="F1886">
        <f>VLOOKUP(C1886,Меню!A:E,5,0)</f>
        <v>150</v>
      </c>
    </row>
    <row r="1887" spans="1:6" ht="15.75" hidden="1" customHeight="1" x14ac:dyDescent="0.35">
      <c r="A1887" s="1">
        <v>1886</v>
      </c>
      <c r="B1887" s="1">
        <v>365</v>
      </c>
      <c r="C1887" s="1">
        <v>2</v>
      </c>
      <c r="D1887" t="str">
        <f>VLOOKUP(B1887,Заказы!A:C,3,0)</f>
        <v>2023-06-08 22:08:00</v>
      </c>
      <c r="E1887" t="str">
        <f>VLOOKUP(C1887,Меню!A:E,4,0)</f>
        <v>Завтрак</v>
      </c>
      <c r="F1887">
        <f>VLOOKUP(C1887,Меню!A:E,5,0)</f>
        <v>250</v>
      </c>
    </row>
    <row r="1888" spans="1:6" ht="15.75" hidden="1" customHeight="1" x14ac:dyDescent="0.35">
      <c r="A1888" s="1">
        <v>1887</v>
      </c>
      <c r="B1888" s="1">
        <v>365</v>
      </c>
      <c r="C1888" s="1">
        <v>5</v>
      </c>
      <c r="D1888" t="str">
        <f>VLOOKUP(B1888,Заказы!A:C,3,0)</f>
        <v>2023-06-08 22:08:00</v>
      </c>
      <c r="E1888" t="str">
        <f>VLOOKUP(C1888,Меню!A:E,4,0)</f>
        <v>Завтрак</v>
      </c>
      <c r="F1888">
        <f>VLOOKUP(C1888,Меню!A:E,5,0)</f>
        <v>220</v>
      </c>
    </row>
    <row r="1889" spans="1:6" ht="15.75" hidden="1" customHeight="1" x14ac:dyDescent="0.35">
      <c r="A1889" s="1">
        <v>1888</v>
      </c>
      <c r="B1889" s="1">
        <v>365</v>
      </c>
      <c r="C1889" s="1">
        <v>60</v>
      </c>
      <c r="D1889" t="str">
        <f>VLOOKUP(B1889,Заказы!A:C,3,0)</f>
        <v>2023-06-08 22:08:00</v>
      </c>
      <c r="E1889" t="str">
        <f>VLOOKUP(C1889,Меню!A:E,4,0)</f>
        <v>Суши</v>
      </c>
      <c r="F1889">
        <f>VLOOKUP(C1889,Меню!A:E,5,0)</f>
        <v>250</v>
      </c>
    </row>
    <row r="1890" spans="1:6" ht="15.75" hidden="1" customHeight="1" x14ac:dyDescent="0.35">
      <c r="A1890" s="1">
        <v>1889</v>
      </c>
      <c r="B1890" s="1">
        <v>366</v>
      </c>
      <c r="C1890" s="1">
        <v>41</v>
      </c>
      <c r="D1890" t="str">
        <f>VLOOKUP(B1890,Заказы!A:C,3,0)</f>
        <v>2023-06-09 16:12:00</v>
      </c>
      <c r="E1890" t="str">
        <f>VLOOKUP(C1890,Меню!A:E,4,0)</f>
        <v>Суши</v>
      </c>
      <c r="F1890">
        <f>VLOOKUP(C1890,Меню!A:E,5,0)</f>
        <v>220</v>
      </c>
    </row>
    <row r="1891" spans="1:6" ht="15.75" hidden="1" customHeight="1" x14ac:dyDescent="0.35">
      <c r="A1891" s="1">
        <v>1890</v>
      </c>
      <c r="B1891" s="1">
        <v>366</v>
      </c>
      <c r="C1891" s="1">
        <v>41</v>
      </c>
      <c r="D1891" t="str">
        <f>VLOOKUP(B1891,Заказы!A:C,3,0)</f>
        <v>2023-06-09 16:12:00</v>
      </c>
      <c r="E1891" t="str">
        <f>VLOOKUP(C1891,Меню!A:E,4,0)</f>
        <v>Суши</v>
      </c>
      <c r="F1891">
        <f>VLOOKUP(C1891,Меню!A:E,5,0)</f>
        <v>220</v>
      </c>
    </row>
    <row r="1892" spans="1:6" ht="15.75" hidden="1" customHeight="1" x14ac:dyDescent="0.35">
      <c r="A1892" s="1">
        <v>1891</v>
      </c>
      <c r="B1892" s="1">
        <v>366</v>
      </c>
      <c r="C1892" s="1">
        <v>8</v>
      </c>
      <c r="D1892" t="str">
        <f>VLOOKUP(B1892,Заказы!A:C,3,0)</f>
        <v>2023-06-09 16:12:00</v>
      </c>
      <c r="E1892" t="str">
        <f>VLOOKUP(C1892,Меню!A:E,4,0)</f>
        <v>Завтрак</v>
      </c>
      <c r="F1892">
        <f>VLOOKUP(C1892,Меню!A:E,5,0)</f>
        <v>180</v>
      </c>
    </row>
    <row r="1893" spans="1:6" ht="15.75" hidden="1" customHeight="1" x14ac:dyDescent="0.35">
      <c r="A1893" s="1">
        <v>1892</v>
      </c>
      <c r="B1893" s="1">
        <v>367</v>
      </c>
      <c r="C1893" s="1">
        <v>50</v>
      </c>
      <c r="D1893" t="str">
        <f>VLOOKUP(B1893,Заказы!A:C,3,0)</f>
        <v>2023-06-09 16:46:00</v>
      </c>
      <c r="E1893" t="str">
        <f>VLOOKUP(C1893,Меню!A:E,4,0)</f>
        <v>Суши</v>
      </c>
      <c r="F1893">
        <f>VLOOKUP(C1893,Меню!A:E,5,0)</f>
        <v>200</v>
      </c>
    </row>
    <row r="1894" spans="1:6" ht="15.75" hidden="1" customHeight="1" x14ac:dyDescent="0.35">
      <c r="A1894" s="1">
        <v>1893</v>
      </c>
      <c r="B1894" s="1">
        <v>367</v>
      </c>
      <c r="C1894" s="1">
        <v>58</v>
      </c>
      <c r="D1894" t="str">
        <f>VLOOKUP(B1894,Заказы!A:C,3,0)</f>
        <v>2023-06-09 16:46:00</v>
      </c>
      <c r="E1894" t="str">
        <f>VLOOKUP(C1894,Меню!A:E,4,0)</f>
        <v>Суши</v>
      </c>
      <c r="F1894">
        <f>VLOOKUP(C1894,Меню!A:E,5,0)</f>
        <v>200</v>
      </c>
    </row>
    <row r="1895" spans="1:6" ht="15.75" hidden="1" customHeight="1" x14ac:dyDescent="0.35">
      <c r="A1895" s="1">
        <v>1894</v>
      </c>
      <c r="B1895" s="1">
        <v>367</v>
      </c>
      <c r="C1895" s="1">
        <v>36</v>
      </c>
      <c r="D1895" t="str">
        <f>VLOOKUP(B1895,Заказы!A:C,3,0)</f>
        <v>2023-06-09 16:46:00</v>
      </c>
      <c r="E1895" t="str">
        <f>VLOOKUP(C1895,Меню!A:E,4,0)</f>
        <v>Десерт</v>
      </c>
      <c r="F1895">
        <f>VLOOKUP(C1895,Меню!A:E,5,0)</f>
        <v>150</v>
      </c>
    </row>
    <row r="1896" spans="1:6" ht="15.75" hidden="1" customHeight="1" x14ac:dyDescent="0.35">
      <c r="A1896" s="1">
        <v>1895</v>
      </c>
      <c r="B1896" s="1">
        <v>368</v>
      </c>
      <c r="C1896" s="1">
        <v>47</v>
      </c>
      <c r="D1896" t="str">
        <f>VLOOKUP(B1896,Заказы!A:C,3,0)</f>
        <v>2023-06-10 15:07:00</v>
      </c>
      <c r="E1896" t="str">
        <f>VLOOKUP(C1896,Меню!A:E,4,0)</f>
        <v>Суши</v>
      </c>
      <c r="F1896">
        <f>VLOOKUP(C1896,Меню!A:E,5,0)</f>
        <v>200</v>
      </c>
    </row>
    <row r="1897" spans="1:6" ht="15.75" hidden="1" customHeight="1" x14ac:dyDescent="0.35">
      <c r="A1897" s="1">
        <v>1896</v>
      </c>
      <c r="B1897" s="1">
        <v>368</v>
      </c>
      <c r="C1897" s="1">
        <v>60</v>
      </c>
      <c r="D1897" t="str">
        <f>VLOOKUP(B1897,Заказы!A:C,3,0)</f>
        <v>2023-06-10 15:07:00</v>
      </c>
      <c r="E1897" t="str">
        <f>VLOOKUP(C1897,Меню!A:E,4,0)</f>
        <v>Суши</v>
      </c>
      <c r="F1897">
        <f>VLOOKUP(C1897,Меню!A:E,5,0)</f>
        <v>250</v>
      </c>
    </row>
    <row r="1898" spans="1:6" ht="15.75" hidden="1" customHeight="1" x14ac:dyDescent="0.35">
      <c r="A1898" s="1">
        <v>1897</v>
      </c>
      <c r="B1898" s="1">
        <v>368</v>
      </c>
      <c r="C1898" s="1">
        <v>15</v>
      </c>
      <c r="D1898" t="str">
        <f>VLOOKUP(B1898,Заказы!A:C,3,0)</f>
        <v>2023-06-10 15:07:00</v>
      </c>
      <c r="E1898" t="str">
        <f>VLOOKUP(C1898,Меню!A:E,4,0)</f>
        <v>Первое</v>
      </c>
      <c r="F1898">
        <f>VLOOKUP(C1898,Меню!A:E,5,0)</f>
        <v>250</v>
      </c>
    </row>
    <row r="1899" spans="1:6" ht="15.75" hidden="1" customHeight="1" x14ac:dyDescent="0.35">
      <c r="A1899" s="1">
        <v>1898</v>
      </c>
      <c r="B1899" s="1">
        <v>369</v>
      </c>
      <c r="C1899" s="1">
        <v>10</v>
      </c>
      <c r="D1899" t="str">
        <f>VLOOKUP(B1899,Заказы!A:C,3,0)</f>
        <v>2023-06-10 18:49:00</v>
      </c>
      <c r="E1899" t="str">
        <f>VLOOKUP(C1899,Меню!A:E,4,0)</f>
        <v>Завтрак</v>
      </c>
      <c r="F1899">
        <f>VLOOKUP(C1899,Меню!A:E,5,0)</f>
        <v>200</v>
      </c>
    </row>
    <row r="1900" spans="1:6" ht="15.75" hidden="1" customHeight="1" x14ac:dyDescent="0.35">
      <c r="A1900" s="1">
        <v>1899</v>
      </c>
      <c r="B1900" s="1">
        <v>369</v>
      </c>
      <c r="C1900" s="1">
        <v>38</v>
      </c>
      <c r="D1900" t="str">
        <f>VLOOKUP(B1900,Заказы!A:C,3,0)</f>
        <v>2023-06-10 18:49:00</v>
      </c>
      <c r="E1900" t="str">
        <f>VLOOKUP(C1900,Меню!A:E,4,0)</f>
        <v>Десерт</v>
      </c>
      <c r="F1900">
        <f>VLOOKUP(C1900,Меню!A:E,5,0)</f>
        <v>150</v>
      </c>
    </row>
    <row r="1901" spans="1:6" ht="15.75" hidden="1" customHeight="1" x14ac:dyDescent="0.35">
      <c r="A1901" s="1">
        <v>1900</v>
      </c>
      <c r="B1901" s="1">
        <v>369</v>
      </c>
      <c r="C1901" s="1">
        <v>2</v>
      </c>
      <c r="D1901" t="str">
        <f>VLOOKUP(B1901,Заказы!A:C,3,0)</f>
        <v>2023-06-10 18:49:00</v>
      </c>
      <c r="E1901" t="str">
        <f>VLOOKUP(C1901,Меню!A:E,4,0)</f>
        <v>Завтрак</v>
      </c>
      <c r="F1901">
        <f>VLOOKUP(C1901,Меню!A:E,5,0)</f>
        <v>250</v>
      </c>
    </row>
    <row r="1902" spans="1:6" ht="15.75" hidden="1" customHeight="1" x14ac:dyDescent="0.35">
      <c r="A1902" s="1">
        <v>1901</v>
      </c>
      <c r="B1902" s="1">
        <v>369</v>
      </c>
      <c r="C1902" s="1">
        <v>60</v>
      </c>
      <c r="D1902" t="str">
        <f>VLOOKUP(B1902,Заказы!A:C,3,0)</f>
        <v>2023-06-10 18:49:00</v>
      </c>
      <c r="E1902" t="str">
        <f>VLOOKUP(C1902,Меню!A:E,4,0)</f>
        <v>Суши</v>
      </c>
      <c r="F1902">
        <f>VLOOKUP(C1902,Меню!A:E,5,0)</f>
        <v>250</v>
      </c>
    </row>
    <row r="1903" spans="1:6" ht="15.75" hidden="1" customHeight="1" x14ac:dyDescent="0.35">
      <c r="A1903" s="1">
        <v>1902</v>
      </c>
      <c r="B1903" s="1">
        <v>369</v>
      </c>
      <c r="C1903" s="1">
        <v>43</v>
      </c>
      <c r="D1903" t="str">
        <f>VLOOKUP(B1903,Заказы!A:C,3,0)</f>
        <v>2023-06-10 18:49:00</v>
      </c>
      <c r="E1903" t="str">
        <f>VLOOKUP(C1903,Меню!A:E,4,0)</f>
        <v>Суши</v>
      </c>
      <c r="F1903">
        <f>VLOOKUP(C1903,Меню!A:E,5,0)</f>
        <v>250</v>
      </c>
    </row>
    <row r="1904" spans="1:6" ht="15.75" hidden="1" customHeight="1" x14ac:dyDescent="0.35">
      <c r="A1904" s="1">
        <v>1903</v>
      </c>
      <c r="B1904" s="1">
        <v>369</v>
      </c>
      <c r="C1904" s="1">
        <v>11</v>
      </c>
      <c r="D1904" t="str">
        <f>VLOOKUP(B1904,Заказы!A:C,3,0)</f>
        <v>2023-06-10 18:49:00</v>
      </c>
      <c r="E1904" t="str">
        <f>VLOOKUP(C1904,Меню!A:E,4,0)</f>
        <v>Первое</v>
      </c>
      <c r="F1904">
        <f>VLOOKUP(C1904,Меню!A:E,5,0)</f>
        <v>300</v>
      </c>
    </row>
    <row r="1905" spans="1:6" ht="15.75" hidden="1" customHeight="1" x14ac:dyDescent="0.35">
      <c r="A1905" s="1">
        <v>1904</v>
      </c>
      <c r="B1905" s="1">
        <v>370</v>
      </c>
      <c r="C1905" s="1">
        <v>13</v>
      </c>
      <c r="D1905" t="str">
        <f>VLOOKUP(B1905,Заказы!A:C,3,0)</f>
        <v>2023-06-10 20:28:00</v>
      </c>
      <c r="E1905" t="str">
        <f>VLOOKUP(C1905,Меню!A:E,4,0)</f>
        <v>Первое</v>
      </c>
      <c r="F1905">
        <f>VLOOKUP(C1905,Меню!A:E,5,0)</f>
        <v>280</v>
      </c>
    </row>
    <row r="1906" spans="1:6" ht="15.75" hidden="1" customHeight="1" x14ac:dyDescent="0.35">
      <c r="A1906" s="1">
        <v>1905</v>
      </c>
      <c r="B1906" s="1">
        <v>370</v>
      </c>
      <c r="C1906" s="1">
        <v>60</v>
      </c>
      <c r="D1906" t="str">
        <f>VLOOKUP(B1906,Заказы!A:C,3,0)</f>
        <v>2023-06-10 20:28:00</v>
      </c>
      <c r="E1906" t="str">
        <f>VLOOKUP(C1906,Меню!A:E,4,0)</f>
        <v>Суши</v>
      </c>
      <c r="F1906">
        <f>VLOOKUP(C1906,Меню!A:E,5,0)</f>
        <v>250</v>
      </c>
    </row>
    <row r="1907" spans="1:6" ht="15.75" hidden="1" customHeight="1" x14ac:dyDescent="0.35">
      <c r="A1907" s="1">
        <v>1906</v>
      </c>
      <c r="B1907" s="1">
        <v>370</v>
      </c>
      <c r="C1907" s="1">
        <v>43</v>
      </c>
      <c r="D1907" t="str">
        <f>VLOOKUP(B1907,Заказы!A:C,3,0)</f>
        <v>2023-06-10 20:28:00</v>
      </c>
      <c r="E1907" t="str">
        <f>VLOOKUP(C1907,Меню!A:E,4,0)</f>
        <v>Суши</v>
      </c>
      <c r="F1907">
        <f>VLOOKUP(C1907,Меню!A:E,5,0)</f>
        <v>250</v>
      </c>
    </row>
    <row r="1908" spans="1:6" ht="15.75" hidden="1" customHeight="1" x14ac:dyDescent="0.35">
      <c r="A1908" s="1">
        <v>1907</v>
      </c>
      <c r="B1908" s="1">
        <v>370</v>
      </c>
      <c r="C1908" s="1">
        <v>49</v>
      </c>
      <c r="D1908" t="str">
        <f>VLOOKUP(B1908,Заказы!A:C,3,0)</f>
        <v>2023-06-10 20:28:00</v>
      </c>
      <c r="E1908" t="str">
        <f>VLOOKUP(C1908,Меню!A:E,4,0)</f>
        <v>Суши</v>
      </c>
      <c r="F1908">
        <f>VLOOKUP(C1908,Меню!A:E,5,0)</f>
        <v>200</v>
      </c>
    </row>
    <row r="1909" spans="1:6" ht="15.75" hidden="1" customHeight="1" x14ac:dyDescent="0.35">
      <c r="A1909" s="1">
        <v>1908</v>
      </c>
      <c r="B1909" s="1">
        <v>370</v>
      </c>
      <c r="C1909" s="1">
        <v>11</v>
      </c>
      <c r="D1909" t="str">
        <f>VLOOKUP(B1909,Заказы!A:C,3,0)</f>
        <v>2023-06-10 20:28:00</v>
      </c>
      <c r="E1909" t="str">
        <f>VLOOKUP(C1909,Меню!A:E,4,0)</f>
        <v>Первое</v>
      </c>
      <c r="F1909">
        <f>VLOOKUP(C1909,Меню!A:E,5,0)</f>
        <v>300</v>
      </c>
    </row>
    <row r="1910" spans="1:6" ht="15.75" hidden="1" customHeight="1" x14ac:dyDescent="0.35">
      <c r="A1910" s="1">
        <v>1909</v>
      </c>
      <c r="B1910" s="1">
        <v>371</v>
      </c>
      <c r="C1910" s="1">
        <v>55</v>
      </c>
      <c r="D1910" t="str">
        <f>VLOOKUP(B1910,Заказы!A:C,3,0)</f>
        <v>2023-06-10 21:33:00</v>
      </c>
      <c r="E1910" t="str">
        <f>VLOOKUP(C1910,Меню!A:E,4,0)</f>
        <v>Суши</v>
      </c>
      <c r="F1910">
        <f>VLOOKUP(C1910,Меню!A:E,5,0)</f>
        <v>100</v>
      </c>
    </row>
    <row r="1911" spans="1:6" ht="15.75" hidden="1" customHeight="1" x14ac:dyDescent="0.35">
      <c r="A1911" s="1">
        <v>1910</v>
      </c>
      <c r="B1911" s="1">
        <v>371</v>
      </c>
      <c r="C1911" s="1">
        <v>22</v>
      </c>
      <c r="D1911" t="str">
        <f>VLOOKUP(B1911,Заказы!A:C,3,0)</f>
        <v>2023-06-10 21:33:00</v>
      </c>
      <c r="E1911" t="str">
        <f>VLOOKUP(C1911,Меню!A:E,4,0)</f>
        <v>Салат</v>
      </c>
      <c r="F1911">
        <f>VLOOKUP(C1911,Меню!A:E,5,0)</f>
        <v>250</v>
      </c>
    </row>
    <row r="1912" spans="1:6" ht="15.75" hidden="1" customHeight="1" x14ac:dyDescent="0.35">
      <c r="A1912" s="1">
        <v>1911</v>
      </c>
      <c r="B1912" s="1">
        <v>371</v>
      </c>
      <c r="C1912" s="1">
        <v>8</v>
      </c>
      <c r="D1912" t="str">
        <f>VLOOKUP(B1912,Заказы!A:C,3,0)</f>
        <v>2023-06-10 21:33:00</v>
      </c>
      <c r="E1912" t="str">
        <f>VLOOKUP(C1912,Меню!A:E,4,0)</f>
        <v>Завтрак</v>
      </c>
      <c r="F1912">
        <f>VLOOKUP(C1912,Меню!A:E,5,0)</f>
        <v>180</v>
      </c>
    </row>
    <row r="1913" spans="1:6" ht="15.75" hidden="1" customHeight="1" x14ac:dyDescent="0.35">
      <c r="A1913" s="1">
        <v>1912</v>
      </c>
      <c r="B1913" s="1">
        <v>371</v>
      </c>
      <c r="C1913" s="1">
        <v>3</v>
      </c>
      <c r="D1913" t="str">
        <f>VLOOKUP(B1913,Заказы!A:C,3,0)</f>
        <v>2023-06-10 21:33:00</v>
      </c>
      <c r="E1913" t="str">
        <f>VLOOKUP(C1913,Меню!A:E,4,0)</f>
        <v>Завтрак</v>
      </c>
      <c r="F1913">
        <f>VLOOKUP(C1913,Меню!A:E,5,0)</f>
        <v>150</v>
      </c>
    </row>
    <row r="1914" spans="1:6" ht="15.75" hidden="1" customHeight="1" x14ac:dyDescent="0.35">
      <c r="A1914" s="1">
        <v>1913</v>
      </c>
      <c r="B1914" s="1">
        <v>371</v>
      </c>
      <c r="C1914" s="1">
        <v>56</v>
      </c>
      <c r="D1914" t="str">
        <f>VLOOKUP(B1914,Заказы!A:C,3,0)</f>
        <v>2023-06-10 21:33:00</v>
      </c>
      <c r="E1914" t="str">
        <f>VLOOKUP(C1914,Меню!A:E,4,0)</f>
        <v>Суши</v>
      </c>
      <c r="F1914">
        <f>VLOOKUP(C1914,Меню!A:E,5,0)</f>
        <v>200</v>
      </c>
    </row>
    <row r="1915" spans="1:6" ht="15.75" hidden="1" customHeight="1" x14ac:dyDescent="0.35">
      <c r="A1915" s="1">
        <v>1914</v>
      </c>
      <c r="B1915" s="1">
        <v>371</v>
      </c>
      <c r="C1915" s="1">
        <v>26</v>
      </c>
      <c r="D1915" t="str">
        <f>VLOOKUP(B1915,Заказы!A:C,3,0)</f>
        <v>2023-06-10 21:33:00</v>
      </c>
      <c r="E1915" t="str">
        <f>VLOOKUP(C1915,Меню!A:E,4,0)</f>
        <v>Салат</v>
      </c>
      <c r="F1915">
        <f>VLOOKUP(C1915,Меню!A:E,5,0)</f>
        <v>250</v>
      </c>
    </row>
    <row r="1916" spans="1:6" ht="15.75" hidden="1" customHeight="1" x14ac:dyDescent="0.35">
      <c r="A1916" s="1">
        <v>1915</v>
      </c>
      <c r="B1916" s="1">
        <v>372</v>
      </c>
      <c r="C1916" s="1">
        <v>60</v>
      </c>
      <c r="D1916" t="str">
        <f>VLOOKUP(B1916,Заказы!A:C,3,0)</f>
        <v>2023-06-10 21:42:00</v>
      </c>
      <c r="E1916" t="str">
        <f>VLOOKUP(C1916,Меню!A:E,4,0)</f>
        <v>Суши</v>
      </c>
      <c r="F1916">
        <f>VLOOKUP(C1916,Меню!A:E,5,0)</f>
        <v>250</v>
      </c>
    </row>
    <row r="1917" spans="1:6" ht="15.75" hidden="1" customHeight="1" x14ac:dyDescent="0.35">
      <c r="A1917" s="1">
        <v>1916</v>
      </c>
      <c r="B1917" s="1">
        <v>372</v>
      </c>
      <c r="C1917" s="1">
        <v>57</v>
      </c>
      <c r="D1917" t="str">
        <f>VLOOKUP(B1917,Заказы!A:C,3,0)</f>
        <v>2023-06-10 21:42:00</v>
      </c>
      <c r="E1917" t="str">
        <f>VLOOKUP(C1917,Меню!A:E,4,0)</f>
        <v>Суши</v>
      </c>
      <c r="F1917">
        <f>VLOOKUP(C1917,Меню!A:E,5,0)</f>
        <v>200</v>
      </c>
    </row>
    <row r="1918" spans="1:6" ht="15.75" hidden="1" customHeight="1" x14ac:dyDescent="0.35">
      <c r="A1918" s="1">
        <v>1917</v>
      </c>
      <c r="B1918" s="1">
        <v>372</v>
      </c>
      <c r="C1918" s="1">
        <v>23</v>
      </c>
      <c r="D1918" t="str">
        <f>VLOOKUP(B1918,Заказы!A:C,3,0)</f>
        <v>2023-06-10 21:42:00</v>
      </c>
      <c r="E1918" t="str">
        <f>VLOOKUP(C1918,Меню!A:E,4,0)</f>
        <v>Салат</v>
      </c>
      <c r="F1918">
        <f>VLOOKUP(C1918,Меню!A:E,5,0)</f>
        <v>250</v>
      </c>
    </row>
    <row r="1919" spans="1:6" ht="15.75" hidden="1" customHeight="1" x14ac:dyDescent="0.35">
      <c r="A1919" s="1">
        <v>1918</v>
      </c>
      <c r="B1919" s="1">
        <v>372</v>
      </c>
      <c r="C1919" s="1">
        <v>32</v>
      </c>
      <c r="D1919" t="str">
        <f>VLOOKUP(B1919,Заказы!A:C,3,0)</f>
        <v>2023-06-10 21:42:00</v>
      </c>
      <c r="E1919" t="str">
        <f>VLOOKUP(C1919,Меню!A:E,4,0)</f>
        <v>Десерт</v>
      </c>
      <c r="F1919">
        <f>VLOOKUP(C1919,Меню!A:E,5,0)</f>
        <v>150</v>
      </c>
    </row>
    <row r="1920" spans="1:6" ht="15.75" hidden="1" customHeight="1" x14ac:dyDescent="0.35">
      <c r="A1920" s="1">
        <v>1919</v>
      </c>
      <c r="B1920" s="1">
        <v>372</v>
      </c>
      <c r="C1920" s="1">
        <v>50</v>
      </c>
      <c r="D1920" t="str">
        <f>VLOOKUP(B1920,Заказы!A:C,3,0)</f>
        <v>2023-06-10 21:42:00</v>
      </c>
      <c r="E1920" t="str">
        <f>VLOOKUP(C1920,Меню!A:E,4,0)</f>
        <v>Суши</v>
      </c>
      <c r="F1920">
        <f>VLOOKUP(C1920,Меню!A:E,5,0)</f>
        <v>200</v>
      </c>
    </row>
    <row r="1921" spans="1:6" ht="15.75" hidden="1" customHeight="1" x14ac:dyDescent="0.35">
      <c r="A1921" s="1">
        <v>1920</v>
      </c>
      <c r="B1921" s="1">
        <v>372</v>
      </c>
      <c r="C1921" s="1">
        <v>37</v>
      </c>
      <c r="D1921" t="str">
        <f>VLOOKUP(B1921,Заказы!A:C,3,0)</f>
        <v>2023-06-10 21:42:00</v>
      </c>
      <c r="E1921" t="str">
        <f>VLOOKUP(C1921,Меню!A:E,4,0)</f>
        <v>Десерт</v>
      </c>
      <c r="F1921">
        <f>VLOOKUP(C1921,Меню!A:E,5,0)</f>
        <v>100</v>
      </c>
    </row>
    <row r="1922" spans="1:6" ht="15.75" hidden="1" customHeight="1" x14ac:dyDescent="0.35">
      <c r="A1922" s="1">
        <v>1921</v>
      </c>
      <c r="B1922" s="1">
        <v>372</v>
      </c>
      <c r="C1922" s="1">
        <v>57</v>
      </c>
      <c r="D1922" t="str">
        <f>VLOOKUP(B1922,Заказы!A:C,3,0)</f>
        <v>2023-06-10 21:42:00</v>
      </c>
      <c r="E1922" t="str">
        <f>VLOOKUP(C1922,Меню!A:E,4,0)</f>
        <v>Суши</v>
      </c>
      <c r="F1922">
        <f>VLOOKUP(C1922,Меню!A:E,5,0)</f>
        <v>200</v>
      </c>
    </row>
    <row r="1923" spans="1:6" ht="15.75" hidden="1" customHeight="1" x14ac:dyDescent="0.35">
      <c r="A1923" s="1">
        <v>1922</v>
      </c>
      <c r="B1923" s="1">
        <v>372</v>
      </c>
      <c r="C1923" s="1">
        <v>43</v>
      </c>
      <c r="D1923" t="str">
        <f>VLOOKUP(B1923,Заказы!A:C,3,0)</f>
        <v>2023-06-10 21:42:00</v>
      </c>
      <c r="E1923" t="str">
        <f>VLOOKUP(C1923,Меню!A:E,4,0)</f>
        <v>Суши</v>
      </c>
      <c r="F1923">
        <f>VLOOKUP(C1923,Меню!A:E,5,0)</f>
        <v>250</v>
      </c>
    </row>
    <row r="1924" spans="1:6" ht="15.75" hidden="1" customHeight="1" x14ac:dyDescent="0.35">
      <c r="A1924" s="1">
        <v>1923</v>
      </c>
      <c r="B1924" s="1">
        <v>372</v>
      </c>
      <c r="C1924" s="1">
        <v>56</v>
      </c>
      <c r="D1924" t="str">
        <f>VLOOKUP(B1924,Заказы!A:C,3,0)</f>
        <v>2023-06-10 21:42:00</v>
      </c>
      <c r="E1924" t="str">
        <f>VLOOKUP(C1924,Меню!A:E,4,0)</f>
        <v>Суши</v>
      </c>
      <c r="F1924">
        <f>VLOOKUP(C1924,Меню!A:E,5,0)</f>
        <v>200</v>
      </c>
    </row>
    <row r="1925" spans="1:6" ht="15.75" hidden="1" customHeight="1" x14ac:dyDescent="0.35">
      <c r="A1925" s="1">
        <v>1924</v>
      </c>
      <c r="B1925" s="1">
        <v>372</v>
      </c>
      <c r="C1925" s="1">
        <v>52</v>
      </c>
      <c r="D1925" t="str">
        <f>VLOOKUP(B1925,Заказы!A:C,3,0)</f>
        <v>2023-06-10 21:42:00</v>
      </c>
      <c r="E1925" t="str">
        <f>VLOOKUP(C1925,Меню!A:E,4,0)</f>
        <v>Суши</v>
      </c>
      <c r="F1925">
        <f>VLOOKUP(C1925,Меню!A:E,5,0)</f>
        <v>100</v>
      </c>
    </row>
    <row r="1926" spans="1:6" ht="15.75" hidden="1" customHeight="1" x14ac:dyDescent="0.35">
      <c r="A1926" s="1">
        <v>1925</v>
      </c>
      <c r="B1926" s="1">
        <v>373</v>
      </c>
      <c r="C1926" s="1">
        <v>52</v>
      </c>
      <c r="D1926" t="str">
        <f>VLOOKUP(B1926,Заказы!A:C,3,0)</f>
        <v>2023-06-11 17:13:00</v>
      </c>
      <c r="E1926" t="str">
        <f>VLOOKUP(C1926,Меню!A:E,4,0)</f>
        <v>Суши</v>
      </c>
      <c r="F1926">
        <f>VLOOKUP(C1926,Меню!A:E,5,0)</f>
        <v>100</v>
      </c>
    </row>
    <row r="1927" spans="1:6" ht="15.75" hidden="1" customHeight="1" x14ac:dyDescent="0.35">
      <c r="A1927" s="1">
        <v>1926</v>
      </c>
      <c r="B1927" s="1">
        <v>373</v>
      </c>
      <c r="C1927" s="1">
        <v>3</v>
      </c>
      <c r="D1927" t="str">
        <f>VLOOKUP(B1927,Заказы!A:C,3,0)</f>
        <v>2023-06-11 17:13:00</v>
      </c>
      <c r="E1927" t="str">
        <f>VLOOKUP(C1927,Меню!A:E,4,0)</f>
        <v>Завтрак</v>
      </c>
      <c r="F1927">
        <f>VLOOKUP(C1927,Меню!A:E,5,0)</f>
        <v>150</v>
      </c>
    </row>
    <row r="1928" spans="1:6" ht="15.75" hidden="1" customHeight="1" x14ac:dyDescent="0.35">
      <c r="A1928" s="1">
        <v>1927</v>
      </c>
      <c r="B1928" s="1">
        <v>373</v>
      </c>
      <c r="C1928" s="1">
        <v>60</v>
      </c>
      <c r="D1928" t="str">
        <f>VLOOKUP(B1928,Заказы!A:C,3,0)</f>
        <v>2023-06-11 17:13:00</v>
      </c>
      <c r="E1928" t="str">
        <f>VLOOKUP(C1928,Меню!A:E,4,0)</f>
        <v>Суши</v>
      </c>
      <c r="F1928">
        <f>VLOOKUP(C1928,Меню!A:E,5,0)</f>
        <v>250</v>
      </c>
    </row>
    <row r="1929" spans="1:6" ht="15.75" hidden="1" customHeight="1" x14ac:dyDescent="0.35">
      <c r="A1929" s="1">
        <v>1928</v>
      </c>
      <c r="B1929" s="1">
        <v>373</v>
      </c>
      <c r="C1929" s="1">
        <v>16</v>
      </c>
      <c r="D1929" t="str">
        <f>VLOOKUP(B1929,Заказы!A:C,3,0)</f>
        <v>2023-06-11 17:13:00</v>
      </c>
      <c r="E1929" t="str">
        <f>VLOOKUP(C1929,Меню!A:E,4,0)</f>
        <v>Первое</v>
      </c>
      <c r="F1929">
        <f>VLOOKUP(C1929,Меню!A:E,5,0)</f>
        <v>250</v>
      </c>
    </row>
    <row r="1930" spans="1:6" ht="15.75" hidden="1" customHeight="1" x14ac:dyDescent="0.35">
      <c r="A1930" s="1">
        <v>1929</v>
      </c>
      <c r="B1930" s="1">
        <v>373</v>
      </c>
      <c r="C1930" s="1">
        <v>18</v>
      </c>
      <c r="D1930" t="str">
        <f>VLOOKUP(B1930,Заказы!A:C,3,0)</f>
        <v>2023-06-11 17:13:00</v>
      </c>
      <c r="E1930" t="str">
        <f>VLOOKUP(C1930,Меню!A:E,4,0)</f>
        <v>Первое</v>
      </c>
      <c r="F1930">
        <f>VLOOKUP(C1930,Меню!A:E,5,0)</f>
        <v>300</v>
      </c>
    </row>
    <row r="1931" spans="1:6" ht="15.75" hidden="1" customHeight="1" x14ac:dyDescent="0.35">
      <c r="A1931" s="1">
        <v>1930</v>
      </c>
      <c r="B1931" s="1">
        <v>373</v>
      </c>
      <c r="C1931" s="1">
        <v>43</v>
      </c>
      <c r="D1931" t="str">
        <f>VLOOKUP(B1931,Заказы!A:C,3,0)</f>
        <v>2023-06-11 17:13:00</v>
      </c>
      <c r="E1931" t="str">
        <f>VLOOKUP(C1931,Меню!A:E,4,0)</f>
        <v>Суши</v>
      </c>
      <c r="F1931">
        <f>VLOOKUP(C1931,Меню!A:E,5,0)</f>
        <v>250</v>
      </c>
    </row>
    <row r="1932" spans="1:6" ht="15.75" hidden="1" customHeight="1" x14ac:dyDescent="0.35">
      <c r="A1932" s="1">
        <v>1931</v>
      </c>
      <c r="B1932" s="1">
        <v>373</v>
      </c>
      <c r="C1932" s="1">
        <v>49</v>
      </c>
      <c r="D1932" t="str">
        <f>VLOOKUP(B1932,Заказы!A:C,3,0)</f>
        <v>2023-06-11 17:13:00</v>
      </c>
      <c r="E1932" t="str">
        <f>VLOOKUP(C1932,Меню!A:E,4,0)</f>
        <v>Суши</v>
      </c>
      <c r="F1932">
        <f>VLOOKUP(C1932,Меню!A:E,5,0)</f>
        <v>200</v>
      </c>
    </row>
    <row r="1933" spans="1:6" ht="15.75" hidden="1" customHeight="1" x14ac:dyDescent="0.35">
      <c r="A1933" s="1">
        <v>1932</v>
      </c>
      <c r="B1933" s="1">
        <v>374</v>
      </c>
      <c r="C1933" s="1">
        <v>5</v>
      </c>
      <c r="D1933" t="str">
        <f>VLOOKUP(B1933,Заказы!A:C,3,0)</f>
        <v>2023-06-11 21:40:00</v>
      </c>
      <c r="E1933" t="str">
        <f>VLOOKUP(C1933,Меню!A:E,4,0)</f>
        <v>Завтрак</v>
      </c>
      <c r="F1933">
        <f>VLOOKUP(C1933,Меню!A:E,5,0)</f>
        <v>220</v>
      </c>
    </row>
    <row r="1934" spans="1:6" ht="15.75" hidden="1" customHeight="1" x14ac:dyDescent="0.35">
      <c r="A1934" s="1">
        <v>1933</v>
      </c>
      <c r="B1934" s="1">
        <v>374</v>
      </c>
      <c r="C1934" s="1">
        <v>49</v>
      </c>
      <c r="D1934" t="str">
        <f>VLOOKUP(B1934,Заказы!A:C,3,0)</f>
        <v>2023-06-11 21:40:00</v>
      </c>
      <c r="E1934" t="str">
        <f>VLOOKUP(C1934,Меню!A:E,4,0)</f>
        <v>Суши</v>
      </c>
      <c r="F1934">
        <f>VLOOKUP(C1934,Меню!A:E,5,0)</f>
        <v>200</v>
      </c>
    </row>
    <row r="1935" spans="1:6" ht="15.75" hidden="1" customHeight="1" x14ac:dyDescent="0.35">
      <c r="A1935" s="1">
        <v>1934</v>
      </c>
      <c r="B1935" s="1">
        <v>374</v>
      </c>
      <c r="C1935" s="1">
        <v>1</v>
      </c>
      <c r="D1935" t="str">
        <f>VLOOKUP(B1935,Заказы!A:C,3,0)</f>
        <v>2023-06-11 21:40:00</v>
      </c>
      <c r="E1935" t="str">
        <f>VLOOKUP(C1935,Меню!A:E,4,0)</f>
        <v>Завтрак</v>
      </c>
      <c r="F1935">
        <f>VLOOKUP(C1935,Меню!A:E,5,0)</f>
        <v>200</v>
      </c>
    </row>
    <row r="1936" spans="1:6" ht="15.75" hidden="1" customHeight="1" x14ac:dyDescent="0.35">
      <c r="A1936" s="1">
        <v>1935</v>
      </c>
      <c r="B1936" s="1">
        <v>374</v>
      </c>
      <c r="C1936" s="1">
        <v>29</v>
      </c>
      <c r="D1936" t="str">
        <f>VLOOKUP(B1936,Заказы!A:C,3,0)</f>
        <v>2023-06-11 21:40:00</v>
      </c>
      <c r="E1936" t="str">
        <f>VLOOKUP(C1936,Меню!A:E,4,0)</f>
        <v>Салат</v>
      </c>
      <c r="F1936">
        <f>VLOOKUP(C1936,Меню!A:E,5,0)</f>
        <v>250</v>
      </c>
    </row>
    <row r="1937" spans="1:6" ht="15.75" hidden="1" customHeight="1" x14ac:dyDescent="0.35">
      <c r="A1937" s="1">
        <v>1936</v>
      </c>
      <c r="B1937" s="1">
        <v>374</v>
      </c>
      <c r="C1937" s="1">
        <v>36</v>
      </c>
      <c r="D1937" t="str">
        <f>VLOOKUP(B1937,Заказы!A:C,3,0)</f>
        <v>2023-06-11 21:40:00</v>
      </c>
      <c r="E1937" t="str">
        <f>VLOOKUP(C1937,Меню!A:E,4,0)</f>
        <v>Десерт</v>
      </c>
      <c r="F1937">
        <f>VLOOKUP(C1937,Меню!A:E,5,0)</f>
        <v>150</v>
      </c>
    </row>
    <row r="1938" spans="1:6" ht="15.75" hidden="1" customHeight="1" x14ac:dyDescent="0.35">
      <c r="A1938" s="1">
        <v>1937</v>
      </c>
      <c r="B1938" s="1">
        <v>375</v>
      </c>
      <c r="C1938" s="1">
        <v>24</v>
      </c>
      <c r="D1938" t="str">
        <f>VLOOKUP(B1938,Заказы!A:C,3,0)</f>
        <v>2023-06-11 22:11:00</v>
      </c>
      <c r="E1938" t="str">
        <f>VLOOKUP(C1938,Меню!A:E,4,0)</f>
        <v>Салат</v>
      </c>
      <c r="F1938">
        <f>VLOOKUP(C1938,Меню!A:E,5,0)</f>
        <v>250</v>
      </c>
    </row>
    <row r="1939" spans="1:6" ht="15.75" hidden="1" customHeight="1" x14ac:dyDescent="0.35">
      <c r="A1939" s="1">
        <v>1938</v>
      </c>
      <c r="B1939" s="1">
        <v>375</v>
      </c>
      <c r="C1939" s="1">
        <v>31</v>
      </c>
      <c r="D1939" t="str">
        <f>VLOOKUP(B1939,Заказы!A:C,3,0)</f>
        <v>2023-06-11 22:11:00</v>
      </c>
      <c r="E1939" t="str">
        <f>VLOOKUP(C1939,Меню!A:E,4,0)</f>
        <v>Десерт</v>
      </c>
      <c r="F1939">
        <f>VLOOKUP(C1939,Меню!A:E,5,0)</f>
        <v>150</v>
      </c>
    </row>
    <row r="1940" spans="1:6" ht="15.75" hidden="1" customHeight="1" x14ac:dyDescent="0.35">
      <c r="A1940" s="1">
        <v>1939</v>
      </c>
      <c r="B1940" s="1">
        <v>375</v>
      </c>
      <c r="C1940" s="1">
        <v>35</v>
      </c>
      <c r="D1940" t="str">
        <f>VLOOKUP(B1940,Заказы!A:C,3,0)</f>
        <v>2023-06-11 22:11:00</v>
      </c>
      <c r="E1940" t="str">
        <f>VLOOKUP(C1940,Меню!A:E,4,0)</f>
        <v>Десерт</v>
      </c>
      <c r="F1940">
        <f>VLOOKUP(C1940,Меню!A:E,5,0)</f>
        <v>150</v>
      </c>
    </row>
    <row r="1941" spans="1:6" ht="15.75" hidden="1" customHeight="1" x14ac:dyDescent="0.35">
      <c r="A1941" s="1">
        <v>1940</v>
      </c>
      <c r="B1941" s="1">
        <v>376</v>
      </c>
      <c r="C1941" s="1">
        <v>37</v>
      </c>
      <c r="D1941" t="str">
        <f>VLOOKUP(B1941,Заказы!A:C,3,0)</f>
        <v>2023-06-11 22:49:00</v>
      </c>
      <c r="E1941" t="str">
        <f>VLOOKUP(C1941,Меню!A:E,4,0)</f>
        <v>Десерт</v>
      </c>
      <c r="F1941">
        <f>VLOOKUP(C1941,Меню!A:E,5,0)</f>
        <v>100</v>
      </c>
    </row>
    <row r="1942" spans="1:6" ht="15.75" hidden="1" customHeight="1" x14ac:dyDescent="0.35">
      <c r="A1942" s="1">
        <v>1941</v>
      </c>
      <c r="B1942" s="1">
        <v>376</v>
      </c>
      <c r="C1942" s="1">
        <v>5</v>
      </c>
      <c r="D1942" t="str">
        <f>VLOOKUP(B1942,Заказы!A:C,3,0)</f>
        <v>2023-06-11 22:49:00</v>
      </c>
      <c r="E1942" t="str">
        <f>VLOOKUP(C1942,Меню!A:E,4,0)</f>
        <v>Завтрак</v>
      </c>
      <c r="F1942">
        <f>VLOOKUP(C1942,Меню!A:E,5,0)</f>
        <v>220</v>
      </c>
    </row>
    <row r="1943" spans="1:6" ht="15.75" hidden="1" customHeight="1" x14ac:dyDescent="0.35">
      <c r="A1943" s="1">
        <v>1942</v>
      </c>
      <c r="B1943" s="1">
        <v>376</v>
      </c>
      <c r="C1943" s="1">
        <v>9</v>
      </c>
      <c r="D1943" t="str">
        <f>VLOOKUP(B1943,Заказы!A:C,3,0)</f>
        <v>2023-06-11 22:49:00</v>
      </c>
      <c r="E1943" t="str">
        <f>VLOOKUP(C1943,Меню!A:E,4,0)</f>
        <v>Завтрак</v>
      </c>
      <c r="F1943">
        <f>VLOOKUP(C1943,Меню!A:E,5,0)</f>
        <v>220</v>
      </c>
    </row>
    <row r="1944" spans="1:6" ht="15.75" hidden="1" customHeight="1" x14ac:dyDescent="0.35">
      <c r="A1944" s="1">
        <v>1943</v>
      </c>
      <c r="B1944" s="1">
        <v>376</v>
      </c>
      <c r="C1944" s="1">
        <v>8</v>
      </c>
      <c r="D1944" t="str">
        <f>VLOOKUP(B1944,Заказы!A:C,3,0)</f>
        <v>2023-06-11 22:49:00</v>
      </c>
      <c r="E1944" t="str">
        <f>VLOOKUP(C1944,Меню!A:E,4,0)</f>
        <v>Завтрак</v>
      </c>
      <c r="F1944">
        <f>VLOOKUP(C1944,Меню!A:E,5,0)</f>
        <v>180</v>
      </c>
    </row>
    <row r="1945" spans="1:6" ht="15.75" hidden="1" customHeight="1" x14ac:dyDescent="0.35">
      <c r="A1945" s="1">
        <v>1944</v>
      </c>
      <c r="B1945" s="1">
        <v>376</v>
      </c>
      <c r="C1945" s="1">
        <v>3</v>
      </c>
      <c r="D1945" t="str">
        <f>VLOOKUP(B1945,Заказы!A:C,3,0)</f>
        <v>2023-06-11 22:49:00</v>
      </c>
      <c r="E1945" t="str">
        <f>VLOOKUP(C1945,Меню!A:E,4,0)</f>
        <v>Завтрак</v>
      </c>
      <c r="F1945">
        <f>VLOOKUP(C1945,Меню!A:E,5,0)</f>
        <v>150</v>
      </c>
    </row>
    <row r="1946" spans="1:6" ht="15.75" hidden="1" customHeight="1" x14ac:dyDescent="0.35">
      <c r="A1946" s="1">
        <v>1945</v>
      </c>
      <c r="B1946" s="1">
        <v>376</v>
      </c>
      <c r="C1946" s="1">
        <v>35</v>
      </c>
      <c r="D1946" t="str">
        <f>VLOOKUP(B1946,Заказы!A:C,3,0)</f>
        <v>2023-06-11 22:49:00</v>
      </c>
      <c r="E1946" t="str">
        <f>VLOOKUP(C1946,Меню!A:E,4,0)</f>
        <v>Десерт</v>
      </c>
      <c r="F1946">
        <f>VLOOKUP(C1946,Меню!A:E,5,0)</f>
        <v>150</v>
      </c>
    </row>
    <row r="1947" spans="1:6" ht="15.75" hidden="1" customHeight="1" x14ac:dyDescent="0.35">
      <c r="A1947" s="1">
        <v>1946</v>
      </c>
      <c r="B1947" s="1">
        <v>377</v>
      </c>
      <c r="C1947" s="1">
        <v>59</v>
      </c>
      <c r="D1947" t="str">
        <f>VLOOKUP(B1947,Заказы!A:C,3,0)</f>
        <v>2023-06-12 18:15:00</v>
      </c>
      <c r="E1947" t="str">
        <f>VLOOKUP(C1947,Меню!A:E,4,0)</f>
        <v>Суши</v>
      </c>
      <c r="F1947">
        <f>VLOOKUP(C1947,Меню!A:E,5,0)</f>
        <v>300</v>
      </c>
    </row>
    <row r="1948" spans="1:6" ht="15.75" hidden="1" customHeight="1" x14ac:dyDescent="0.35">
      <c r="A1948" s="1">
        <v>1947</v>
      </c>
      <c r="B1948" s="1">
        <v>377</v>
      </c>
      <c r="C1948" s="1">
        <v>18</v>
      </c>
      <c r="D1948" t="str">
        <f>VLOOKUP(B1948,Заказы!A:C,3,0)</f>
        <v>2023-06-12 18:15:00</v>
      </c>
      <c r="E1948" t="str">
        <f>VLOOKUP(C1948,Меню!A:E,4,0)</f>
        <v>Первое</v>
      </c>
      <c r="F1948">
        <f>VLOOKUP(C1948,Меню!A:E,5,0)</f>
        <v>300</v>
      </c>
    </row>
    <row r="1949" spans="1:6" ht="15.75" hidden="1" customHeight="1" x14ac:dyDescent="0.35">
      <c r="A1949" s="1">
        <v>1948</v>
      </c>
      <c r="B1949" s="1">
        <v>377</v>
      </c>
      <c r="C1949" s="1">
        <v>11</v>
      </c>
      <c r="D1949" t="str">
        <f>VLOOKUP(B1949,Заказы!A:C,3,0)</f>
        <v>2023-06-12 18:15:00</v>
      </c>
      <c r="E1949" t="str">
        <f>VLOOKUP(C1949,Меню!A:E,4,0)</f>
        <v>Первое</v>
      </c>
      <c r="F1949">
        <f>VLOOKUP(C1949,Меню!A:E,5,0)</f>
        <v>300</v>
      </c>
    </row>
    <row r="1950" spans="1:6" ht="15.75" hidden="1" customHeight="1" x14ac:dyDescent="0.35">
      <c r="A1950" s="1">
        <v>1949</v>
      </c>
      <c r="B1950" s="1">
        <v>377</v>
      </c>
      <c r="C1950" s="1">
        <v>7</v>
      </c>
      <c r="D1950" t="str">
        <f>VLOOKUP(B1950,Заказы!A:C,3,0)</f>
        <v>2023-06-12 18:15:00</v>
      </c>
      <c r="E1950" t="str">
        <f>VLOOKUP(C1950,Меню!A:E,4,0)</f>
        <v>Завтрак</v>
      </c>
      <c r="F1950">
        <f>VLOOKUP(C1950,Меню!A:E,5,0)</f>
        <v>200</v>
      </c>
    </row>
    <row r="1951" spans="1:6" ht="15.75" hidden="1" customHeight="1" x14ac:dyDescent="0.35">
      <c r="A1951" s="1">
        <v>1950</v>
      </c>
      <c r="B1951" s="1">
        <v>377</v>
      </c>
      <c r="C1951" s="1">
        <v>14</v>
      </c>
      <c r="D1951" t="str">
        <f>VLOOKUP(B1951,Заказы!A:C,3,0)</f>
        <v>2023-06-12 18:15:00</v>
      </c>
      <c r="E1951" t="str">
        <f>VLOOKUP(C1951,Меню!A:E,4,0)</f>
        <v>Первое</v>
      </c>
      <c r="F1951">
        <f>VLOOKUP(C1951,Меню!A:E,5,0)</f>
        <v>350</v>
      </c>
    </row>
    <row r="1952" spans="1:6" ht="15.75" hidden="1" customHeight="1" x14ac:dyDescent="0.35">
      <c r="A1952" s="1">
        <v>1951</v>
      </c>
      <c r="B1952" s="1">
        <v>377</v>
      </c>
      <c r="C1952" s="1">
        <v>22</v>
      </c>
      <c r="D1952" t="str">
        <f>VLOOKUP(B1952,Заказы!A:C,3,0)</f>
        <v>2023-06-12 18:15:00</v>
      </c>
      <c r="E1952" t="str">
        <f>VLOOKUP(C1952,Меню!A:E,4,0)</f>
        <v>Салат</v>
      </c>
      <c r="F1952">
        <f>VLOOKUP(C1952,Меню!A:E,5,0)</f>
        <v>250</v>
      </c>
    </row>
    <row r="1953" spans="1:6" ht="15.75" hidden="1" customHeight="1" x14ac:dyDescent="0.35">
      <c r="A1953" s="1">
        <v>1952</v>
      </c>
      <c r="B1953" s="1">
        <v>377</v>
      </c>
      <c r="C1953" s="1">
        <v>7</v>
      </c>
      <c r="D1953" t="str">
        <f>VLOOKUP(B1953,Заказы!A:C,3,0)</f>
        <v>2023-06-12 18:15:00</v>
      </c>
      <c r="E1953" t="str">
        <f>VLOOKUP(C1953,Меню!A:E,4,0)</f>
        <v>Завтрак</v>
      </c>
      <c r="F1953">
        <f>VLOOKUP(C1953,Меню!A:E,5,0)</f>
        <v>200</v>
      </c>
    </row>
    <row r="1954" spans="1:6" ht="15.75" hidden="1" customHeight="1" x14ac:dyDescent="0.35">
      <c r="A1954" s="1">
        <v>1953</v>
      </c>
      <c r="B1954" s="1">
        <v>377</v>
      </c>
      <c r="C1954" s="1">
        <v>41</v>
      </c>
      <c r="D1954" t="str">
        <f>VLOOKUP(B1954,Заказы!A:C,3,0)</f>
        <v>2023-06-12 18:15:00</v>
      </c>
      <c r="E1954" t="str">
        <f>VLOOKUP(C1954,Меню!A:E,4,0)</f>
        <v>Суши</v>
      </c>
      <c r="F1954">
        <f>VLOOKUP(C1954,Меню!A:E,5,0)</f>
        <v>220</v>
      </c>
    </row>
    <row r="1955" spans="1:6" ht="15.75" hidden="1" customHeight="1" x14ac:dyDescent="0.35">
      <c r="A1955" s="1">
        <v>1954</v>
      </c>
      <c r="B1955" s="1">
        <v>377</v>
      </c>
      <c r="C1955" s="1">
        <v>17</v>
      </c>
      <c r="D1955" t="str">
        <f>VLOOKUP(B1955,Заказы!A:C,3,0)</f>
        <v>2023-06-12 18:15:00</v>
      </c>
      <c r="E1955" t="str">
        <f>VLOOKUP(C1955,Меню!A:E,4,0)</f>
        <v>Первое</v>
      </c>
      <c r="F1955">
        <f>VLOOKUP(C1955,Меню!A:E,5,0)</f>
        <v>250</v>
      </c>
    </row>
    <row r="1956" spans="1:6" ht="15.75" hidden="1" customHeight="1" x14ac:dyDescent="0.35">
      <c r="A1956" s="1">
        <v>1955</v>
      </c>
      <c r="B1956" s="1">
        <v>378</v>
      </c>
      <c r="C1956" s="1">
        <v>43</v>
      </c>
      <c r="D1956" t="str">
        <f>VLOOKUP(B1956,Заказы!A:C,3,0)</f>
        <v>2023-06-13 16:07:00</v>
      </c>
      <c r="E1956" t="str">
        <f>VLOOKUP(C1956,Меню!A:E,4,0)</f>
        <v>Суши</v>
      </c>
      <c r="F1956">
        <f>VLOOKUP(C1956,Меню!A:E,5,0)</f>
        <v>250</v>
      </c>
    </row>
    <row r="1957" spans="1:6" ht="15.75" hidden="1" customHeight="1" x14ac:dyDescent="0.35">
      <c r="A1957" s="1">
        <v>1956</v>
      </c>
      <c r="B1957" s="1">
        <v>378</v>
      </c>
      <c r="C1957" s="1">
        <v>35</v>
      </c>
      <c r="D1957" t="str">
        <f>VLOOKUP(B1957,Заказы!A:C,3,0)</f>
        <v>2023-06-13 16:07:00</v>
      </c>
      <c r="E1957" t="str">
        <f>VLOOKUP(C1957,Меню!A:E,4,0)</f>
        <v>Десерт</v>
      </c>
      <c r="F1957">
        <f>VLOOKUP(C1957,Меню!A:E,5,0)</f>
        <v>150</v>
      </c>
    </row>
    <row r="1958" spans="1:6" ht="15.75" hidden="1" customHeight="1" x14ac:dyDescent="0.35">
      <c r="A1958" s="1">
        <v>1957</v>
      </c>
      <c r="B1958" s="1">
        <v>378</v>
      </c>
      <c r="C1958" s="1">
        <v>21</v>
      </c>
      <c r="D1958" t="str">
        <f>VLOOKUP(B1958,Заказы!A:C,3,0)</f>
        <v>2023-06-13 16:07:00</v>
      </c>
      <c r="E1958" t="str">
        <f>VLOOKUP(C1958,Меню!A:E,4,0)</f>
        <v>Салат</v>
      </c>
      <c r="F1958">
        <f>VLOOKUP(C1958,Меню!A:E,5,0)</f>
        <v>250</v>
      </c>
    </row>
    <row r="1959" spans="1:6" ht="15.75" hidden="1" customHeight="1" x14ac:dyDescent="0.35">
      <c r="A1959" s="1">
        <v>1958</v>
      </c>
      <c r="B1959" s="1">
        <v>378</v>
      </c>
      <c r="C1959" s="1">
        <v>48</v>
      </c>
      <c r="D1959" t="str">
        <f>VLOOKUP(B1959,Заказы!A:C,3,0)</f>
        <v>2023-06-13 16:07:00</v>
      </c>
      <c r="E1959" t="str">
        <f>VLOOKUP(C1959,Меню!A:E,4,0)</f>
        <v>Суши</v>
      </c>
      <c r="F1959">
        <f>VLOOKUP(C1959,Меню!A:E,5,0)</f>
        <v>200</v>
      </c>
    </row>
    <row r="1960" spans="1:6" ht="15.75" hidden="1" customHeight="1" x14ac:dyDescent="0.35">
      <c r="A1960" s="1">
        <v>1959</v>
      </c>
      <c r="B1960" s="1">
        <v>378</v>
      </c>
      <c r="C1960" s="1">
        <v>50</v>
      </c>
      <c r="D1960" t="str">
        <f>VLOOKUP(B1960,Заказы!A:C,3,0)</f>
        <v>2023-06-13 16:07:00</v>
      </c>
      <c r="E1960" t="str">
        <f>VLOOKUP(C1960,Меню!A:E,4,0)</f>
        <v>Суши</v>
      </c>
      <c r="F1960">
        <f>VLOOKUP(C1960,Меню!A:E,5,0)</f>
        <v>200</v>
      </c>
    </row>
    <row r="1961" spans="1:6" ht="15.75" hidden="1" customHeight="1" x14ac:dyDescent="0.35">
      <c r="A1961" s="1">
        <v>1960</v>
      </c>
      <c r="B1961" s="1">
        <v>378</v>
      </c>
      <c r="C1961" s="1">
        <v>36</v>
      </c>
      <c r="D1961" t="str">
        <f>VLOOKUP(B1961,Заказы!A:C,3,0)</f>
        <v>2023-06-13 16:07:00</v>
      </c>
      <c r="E1961" t="str">
        <f>VLOOKUP(C1961,Меню!A:E,4,0)</f>
        <v>Десерт</v>
      </c>
      <c r="F1961">
        <f>VLOOKUP(C1961,Меню!A:E,5,0)</f>
        <v>150</v>
      </c>
    </row>
    <row r="1962" spans="1:6" ht="15.75" hidden="1" customHeight="1" x14ac:dyDescent="0.35">
      <c r="A1962" s="1">
        <v>1961</v>
      </c>
      <c r="B1962" s="1">
        <v>378</v>
      </c>
      <c r="C1962" s="1">
        <v>49</v>
      </c>
      <c r="D1962" t="str">
        <f>VLOOKUP(B1962,Заказы!A:C,3,0)</f>
        <v>2023-06-13 16:07:00</v>
      </c>
      <c r="E1962" t="str">
        <f>VLOOKUP(C1962,Меню!A:E,4,0)</f>
        <v>Суши</v>
      </c>
      <c r="F1962">
        <f>VLOOKUP(C1962,Меню!A:E,5,0)</f>
        <v>200</v>
      </c>
    </row>
    <row r="1963" spans="1:6" ht="15.75" hidden="1" customHeight="1" x14ac:dyDescent="0.35">
      <c r="A1963" s="1">
        <v>1962</v>
      </c>
      <c r="B1963" s="1">
        <v>378</v>
      </c>
      <c r="C1963" s="1">
        <v>20</v>
      </c>
      <c r="D1963" t="str">
        <f>VLOOKUP(B1963,Заказы!A:C,3,0)</f>
        <v>2023-06-13 16:07:00</v>
      </c>
      <c r="E1963" t="str">
        <f>VLOOKUP(C1963,Меню!A:E,4,0)</f>
        <v>Первое</v>
      </c>
      <c r="F1963">
        <f>VLOOKUP(C1963,Меню!A:E,5,0)</f>
        <v>250</v>
      </c>
    </row>
    <row r="1964" spans="1:6" ht="15.75" hidden="1" customHeight="1" x14ac:dyDescent="0.35">
      <c r="A1964" s="1">
        <v>1963</v>
      </c>
      <c r="B1964" s="1">
        <v>379</v>
      </c>
      <c r="C1964" s="1">
        <v>37</v>
      </c>
      <c r="D1964" t="str">
        <f>VLOOKUP(B1964,Заказы!A:C,3,0)</f>
        <v>2023-06-13 16:13:00</v>
      </c>
      <c r="E1964" t="str">
        <f>VLOOKUP(C1964,Меню!A:E,4,0)</f>
        <v>Десерт</v>
      </c>
      <c r="F1964">
        <f>VLOOKUP(C1964,Меню!A:E,5,0)</f>
        <v>100</v>
      </c>
    </row>
    <row r="1965" spans="1:6" ht="15.75" hidden="1" customHeight="1" x14ac:dyDescent="0.35">
      <c r="A1965" s="1">
        <v>1964</v>
      </c>
      <c r="B1965" s="1">
        <v>379</v>
      </c>
      <c r="C1965" s="1">
        <v>7</v>
      </c>
      <c r="D1965" t="str">
        <f>VLOOKUP(B1965,Заказы!A:C,3,0)</f>
        <v>2023-06-13 16:13:00</v>
      </c>
      <c r="E1965" t="str">
        <f>VLOOKUP(C1965,Меню!A:E,4,0)</f>
        <v>Завтрак</v>
      </c>
      <c r="F1965">
        <f>VLOOKUP(C1965,Меню!A:E,5,0)</f>
        <v>200</v>
      </c>
    </row>
    <row r="1966" spans="1:6" ht="15.75" hidden="1" customHeight="1" x14ac:dyDescent="0.35">
      <c r="A1966" s="1">
        <v>1965</v>
      </c>
      <c r="B1966" s="1">
        <v>379</v>
      </c>
      <c r="C1966" s="1">
        <v>1</v>
      </c>
      <c r="D1966" t="str">
        <f>VLOOKUP(B1966,Заказы!A:C,3,0)</f>
        <v>2023-06-13 16:13:00</v>
      </c>
      <c r="E1966" t="str">
        <f>VLOOKUP(C1966,Меню!A:E,4,0)</f>
        <v>Завтрак</v>
      </c>
      <c r="F1966">
        <f>VLOOKUP(C1966,Меню!A:E,5,0)</f>
        <v>200</v>
      </c>
    </row>
    <row r="1967" spans="1:6" ht="15.75" hidden="1" customHeight="1" x14ac:dyDescent="0.35">
      <c r="A1967" s="1">
        <v>1966</v>
      </c>
      <c r="B1967" s="1">
        <v>379</v>
      </c>
      <c r="C1967" s="1">
        <v>56</v>
      </c>
      <c r="D1967" t="str">
        <f>VLOOKUP(B1967,Заказы!A:C,3,0)</f>
        <v>2023-06-13 16:13:00</v>
      </c>
      <c r="E1967" t="str">
        <f>VLOOKUP(C1967,Меню!A:E,4,0)</f>
        <v>Суши</v>
      </c>
      <c r="F1967">
        <f>VLOOKUP(C1967,Меню!A:E,5,0)</f>
        <v>200</v>
      </c>
    </row>
    <row r="1968" spans="1:6" ht="15.75" hidden="1" customHeight="1" x14ac:dyDescent="0.35">
      <c r="A1968" s="1">
        <v>1967</v>
      </c>
      <c r="B1968" s="1">
        <v>379</v>
      </c>
      <c r="C1968" s="1">
        <v>34</v>
      </c>
      <c r="D1968" t="str">
        <f>VLOOKUP(B1968,Заказы!A:C,3,0)</f>
        <v>2023-06-13 16:13:00</v>
      </c>
      <c r="E1968" t="str">
        <f>VLOOKUP(C1968,Меню!A:E,4,0)</f>
        <v>Десерт</v>
      </c>
      <c r="F1968">
        <f>VLOOKUP(C1968,Меню!A:E,5,0)</f>
        <v>150</v>
      </c>
    </row>
    <row r="1969" spans="1:6" ht="15.75" hidden="1" customHeight="1" x14ac:dyDescent="0.35">
      <c r="A1969" s="1">
        <v>1968</v>
      </c>
      <c r="B1969" s="1">
        <v>379</v>
      </c>
      <c r="C1969" s="1">
        <v>56</v>
      </c>
      <c r="D1969" t="str">
        <f>VLOOKUP(B1969,Заказы!A:C,3,0)</f>
        <v>2023-06-13 16:13:00</v>
      </c>
      <c r="E1969" t="str">
        <f>VLOOKUP(C1969,Меню!A:E,4,0)</f>
        <v>Суши</v>
      </c>
      <c r="F1969">
        <f>VLOOKUP(C1969,Меню!A:E,5,0)</f>
        <v>200</v>
      </c>
    </row>
    <row r="1970" spans="1:6" ht="15.75" hidden="1" customHeight="1" x14ac:dyDescent="0.35">
      <c r="A1970" s="1">
        <v>1969</v>
      </c>
      <c r="B1970" s="1">
        <v>380</v>
      </c>
      <c r="C1970" s="1">
        <v>10</v>
      </c>
      <c r="D1970" t="str">
        <f>VLOOKUP(B1970,Заказы!A:C,3,0)</f>
        <v>2023-06-13 16:47:00</v>
      </c>
      <c r="E1970" t="str">
        <f>VLOOKUP(C1970,Меню!A:E,4,0)</f>
        <v>Завтрак</v>
      </c>
      <c r="F1970">
        <f>VLOOKUP(C1970,Меню!A:E,5,0)</f>
        <v>200</v>
      </c>
    </row>
    <row r="1971" spans="1:6" ht="15.75" hidden="1" customHeight="1" x14ac:dyDescent="0.35">
      <c r="A1971" s="1">
        <v>1970</v>
      </c>
      <c r="B1971" s="1">
        <v>380</v>
      </c>
      <c r="C1971" s="1">
        <v>7</v>
      </c>
      <c r="D1971" t="str">
        <f>VLOOKUP(B1971,Заказы!A:C,3,0)</f>
        <v>2023-06-13 16:47:00</v>
      </c>
      <c r="E1971" t="str">
        <f>VLOOKUP(C1971,Меню!A:E,4,0)</f>
        <v>Завтрак</v>
      </c>
      <c r="F1971">
        <f>VLOOKUP(C1971,Меню!A:E,5,0)</f>
        <v>200</v>
      </c>
    </row>
    <row r="1972" spans="1:6" ht="15.75" hidden="1" customHeight="1" x14ac:dyDescent="0.35">
      <c r="A1972" s="1">
        <v>1971</v>
      </c>
      <c r="B1972" s="1">
        <v>380</v>
      </c>
      <c r="C1972" s="1">
        <v>54</v>
      </c>
      <c r="D1972" t="str">
        <f>VLOOKUP(B1972,Заказы!A:C,3,0)</f>
        <v>2023-06-13 16:47:00</v>
      </c>
      <c r="E1972" t="str">
        <f>VLOOKUP(C1972,Меню!A:E,4,0)</f>
        <v>Суши</v>
      </c>
      <c r="F1972">
        <f>VLOOKUP(C1972,Меню!A:E,5,0)</f>
        <v>100</v>
      </c>
    </row>
    <row r="1973" spans="1:6" ht="15.75" hidden="1" customHeight="1" x14ac:dyDescent="0.35">
      <c r="A1973" s="1">
        <v>1972</v>
      </c>
      <c r="B1973" s="1">
        <v>380</v>
      </c>
      <c r="C1973" s="1">
        <v>48</v>
      </c>
      <c r="D1973" t="str">
        <f>VLOOKUP(B1973,Заказы!A:C,3,0)</f>
        <v>2023-06-13 16:47:00</v>
      </c>
      <c r="E1973" t="str">
        <f>VLOOKUP(C1973,Меню!A:E,4,0)</f>
        <v>Суши</v>
      </c>
      <c r="F1973">
        <f>VLOOKUP(C1973,Меню!A:E,5,0)</f>
        <v>200</v>
      </c>
    </row>
    <row r="1974" spans="1:6" ht="15.75" hidden="1" customHeight="1" x14ac:dyDescent="0.35">
      <c r="A1974" s="1">
        <v>1973</v>
      </c>
      <c r="B1974" s="1">
        <v>380</v>
      </c>
      <c r="C1974" s="1">
        <v>3</v>
      </c>
      <c r="D1974" t="str">
        <f>VLOOKUP(B1974,Заказы!A:C,3,0)</f>
        <v>2023-06-13 16:47:00</v>
      </c>
      <c r="E1974" t="str">
        <f>VLOOKUP(C1974,Меню!A:E,4,0)</f>
        <v>Завтрак</v>
      </c>
      <c r="F1974">
        <f>VLOOKUP(C1974,Меню!A:E,5,0)</f>
        <v>150</v>
      </c>
    </row>
    <row r="1975" spans="1:6" ht="15.75" hidden="1" customHeight="1" x14ac:dyDescent="0.35">
      <c r="A1975" s="1">
        <v>1974</v>
      </c>
      <c r="B1975" s="1">
        <v>381</v>
      </c>
      <c r="C1975" s="1">
        <v>40</v>
      </c>
      <c r="D1975" t="str">
        <f>VLOOKUP(B1975,Заказы!A:C,3,0)</f>
        <v>2023-06-13 19:47:00</v>
      </c>
      <c r="E1975" t="str">
        <f>VLOOKUP(C1975,Меню!A:E,4,0)</f>
        <v>Десерт</v>
      </c>
      <c r="F1975">
        <f>VLOOKUP(C1975,Меню!A:E,5,0)</f>
        <v>150</v>
      </c>
    </row>
    <row r="1976" spans="1:6" ht="15.75" hidden="1" customHeight="1" x14ac:dyDescent="0.35">
      <c r="A1976" s="1">
        <v>1975</v>
      </c>
      <c r="B1976" s="1">
        <v>381</v>
      </c>
      <c r="C1976" s="1">
        <v>44</v>
      </c>
      <c r="D1976" t="str">
        <f>VLOOKUP(B1976,Заказы!A:C,3,0)</f>
        <v>2023-06-13 19:47:00</v>
      </c>
      <c r="E1976" t="str">
        <f>VLOOKUP(C1976,Меню!A:E,4,0)</f>
        <v>Суши</v>
      </c>
      <c r="F1976">
        <f>VLOOKUP(C1976,Меню!A:E,5,0)</f>
        <v>250</v>
      </c>
    </row>
    <row r="1977" spans="1:6" ht="15.75" hidden="1" customHeight="1" x14ac:dyDescent="0.35">
      <c r="A1977" s="1">
        <v>1976</v>
      </c>
      <c r="B1977" s="1">
        <v>381</v>
      </c>
      <c r="C1977" s="1">
        <v>39</v>
      </c>
      <c r="D1977" t="str">
        <f>VLOOKUP(B1977,Заказы!A:C,3,0)</f>
        <v>2023-06-13 19:47:00</v>
      </c>
      <c r="E1977" t="str">
        <f>VLOOKUP(C1977,Меню!A:E,4,0)</f>
        <v>Десерт</v>
      </c>
      <c r="F1977">
        <f>VLOOKUP(C1977,Меню!A:E,5,0)</f>
        <v>150</v>
      </c>
    </row>
    <row r="1978" spans="1:6" ht="15.75" hidden="1" customHeight="1" x14ac:dyDescent="0.35">
      <c r="A1978" s="1">
        <v>1977</v>
      </c>
      <c r="B1978" s="1">
        <v>381</v>
      </c>
      <c r="C1978" s="1">
        <v>16</v>
      </c>
      <c r="D1978" t="str">
        <f>VLOOKUP(B1978,Заказы!A:C,3,0)</f>
        <v>2023-06-13 19:47:00</v>
      </c>
      <c r="E1978" t="str">
        <f>VLOOKUP(C1978,Меню!A:E,4,0)</f>
        <v>Первое</v>
      </c>
      <c r="F1978">
        <f>VLOOKUP(C1978,Меню!A:E,5,0)</f>
        <v>250</v>
      </c>
    </row>
    <row r="1979" spans="1:6" ht="15.75" hidden="1" customHeight="1" x14ac:dyDescent="0.35">
      <c r="A1979" s="1">
        <v>1978</v>
      </c>
      <c r="B1979" s="1">
        <v>381</v>
      </c>
      <c r="C1979" s="1">
        <v>44</v>
      </c>
      <c r="D1979" t="str">
        <f>VLOOKUP(B1979,Заказы!A:C,3,0)</f>
        <v>2023-06-13 19:47:00</v>
      </c>
      <c r="E1979" t="str">
        <f>VLOOKUP(C1979,Меню!A:E,4,0)</f>
        <v>Суши</v>
      </c>
      <c r="F1979">
        <f>VLOOKUP(C1979,Меню!A:E,5,0)</f>
        <v>250</v>
      </c>
    </row>
    <row r="1980" spans="1:6" ht="15.75" hidden="1" customHeight="1" x14ac:dyDescent="0.35">
      <c r="A1980" s="1">
        <v>1979</v>
      </c>
      <c r="B1980" s="1">
        <v>381</v>
      </c>
      <c r="C1980" s="1">
        <v>32</v>
      </c>
      <c r="D1980" t="str">
        <f>VLOOKUP(B1980,Заказы!A:C,3,0)</f>
        <v>2023-06-13 19:47:00</v>
      </c>
      <c r="E1980" t="str">
        <f>VLOOKUP(C1980,Меню!A:E,4,0)</f>
        <v>Десерт</v>
      </c>
      <c r="F1980">
        <f>VLOOKUP(C1980,Меню!A:E,5,0)</f>
        <v>150</v>
      </c>
    </row>
    <row r="1981" spans="1:6" ht="15.75" hidden="1" customHeight="1" x14ac:dyDescent="0.35">
      <c r="A1981" s="1">
        <v>1980</v>
      </c>
      <c r="B1981" s="1">
        <v>381</v>
      </c>
      <c r="C1981" s="1">
        <v>21</v>
      </c>
      <c r="D1981" t="str">
        <f>VLOOKUP(B1981,Заказы!A:C,3,0)</f>
        <v>2023-06-13 19:47:00</v>
      </c>
      <c r="E1981" t="str">
        <f>VLOOKUP(C1981,Меню!A:E,4,0)</f>
        <v>Салат</v>
      </c>
      <c r="F1981">
        <f>VLOOKUP(C1981,Меню!A:E,5,0)</f>
        <v>250</v>
      </c>
    </row>
    <row r="1982" spans="1:6" ht="15.75" hidden="1" customHeight="1" x14ac:dyDescent="0.35">
      <c r="A1982" s="1">
        <v>1981</v>
      </c>
      <c r="B1982" s="1">
        <v>381</v>
      </c>
      <c r="C1982" s="1">
        <v>9</v>
      </c>
      <c r="D1982" t="str">
        <f>VLOOKUP(B1982,Заказы!A:C,3,0)</f>
        <v>2023-06-13 19:47:00</v>
      </c>
      <c r="E1982" t="str">
        <f>VLOOKUP(C1982,Меню!A:E,4,0)</f>
        <v>Завтрак</v>
      </c>
      <c r="F1982">
        <f>VLOOKUP(C1982,Меню!A:E,5,0)</f>
        <v>220</v>
      </c>
    </row>
    <row r="1983" spans="1:6" ht="15.75" hidden="1" customHeight="1" x14ac:dyDescent="0.35">
      <c r="A1983" s="1">
        <v>1982</v>
      </c>
      <c r="B1983" s="1">
        <v>382</v>
      </c>
      <c r="C1983" s="1">
        <v>8</v>
      </c>
      <c r="D1983" t="str">
        <f>VLOOKUP(B1983,Заказы!A:C,3,0)</f>
        <v>2023-06-13 20:05:00</v>
      </c>
      <c r="E1983" t="str">
        <f>VLOOKUP(C1983,Меню!A:E,4,0)</f>
        <v>Завтрак</v>
      </c>
      <c r="F1983">
        <f>VLOOKUP(C1983,Меню!A:E,5,0)</f>
        <v>180</v>
      </c>
    </row>
    <row r="1984" spans="1:6" ht="15.75" hidden="1" customHeight="1" x14ac:dyDescent="0.35">
      <c r="A1984" s="1">
        <v>1983</v>
      </c>
      <c r="B1984" s="1">
        <v>382</v>
      </c>
      <c r="C1984" s="1">
        <v>25</v>
      </c>
      <c r="D1984" t="str">
        <f>VLOOKUP(B1984,Заказы!A:C,3,0)</f>
        <v>2023-06-13 20:05:00</v>
      </c>
      <c r="E1984" t="str">
        <f>VLOOKUP(C1984,Меню!A:E,4,0)</f>
        <v>Салат</v>
      </c>
      <c r="F1984">
        <f>VLOOKUP(C1984,Меню!A:E,5,0)</f>
        <v>250</v>
      </c>
    </row>
    <row r="1985" spans="1:6" ht="15.75" hidden="1" customHeight="1" x14ac:dyDescent="0.35">
      <c r="A1985" s="1">
        <v>1984</v>
      </c>
      <c r="B1985" s="1">
        <v>382</v>
      </c>
      <c r="C1985" s="1">
        <v>17</v>
      </c>
      <c r="D1985" t="str">
        <f>VLOOKUP(B1985,Заказы!A:C,3,0)</f>
        <v>2023-06-13 20:05:00</v>
      </c>
      <c r="E1985" t="str">
        <f>VLOOKUP(C1985,Меню!A:E,4,0)</f>
        <v>Первое</v>
      </c>
      <c r="F1985">
        <f>VLOOKUP(C1985,Меню!A:E,5,0)</f>
        <v>250</v>
      </c>
    </row>
    <row r="1986" spans="1:6" ht="15.75" hidden="1" customHeight="1" x14ac:dyDescent="0.35">
      <c r="A1986" s="1">
        <v>1985</v>
      </c>
      <c r="B1986" s="1">
        <v>382</v>
      </c>
      <c r="C1986" s="1">
        <v>44</v>
      </c>
      <c r="D1986" t="str">
        <f>VLOOKUP(B1986,Заказы!A:C,3,0)</f>
        <v>2023-06-13 20:05:00</v>
      </c>
      <c r="E1986" t="str">
        <f>VLOOKUP(C1986,Меню!A:E,4,0)</f>
        <v>Суши</v>
      </c>
      <c r="F1986">
        <f>VLOOKUP(C1986,Меню!A:E,5,0)</f>
        <v>250</v>
      </c>
    </row>
    <row r="1987" spans="1:6" ht="15.75" hidden="1" customHeight="1" x14ac:dyDescent="0.35">
      <c r="A1987" s="1">
        <v>1986</v>
      </c>
      <c r="B1987" s="1">
        <v>382</v>
      </c>
      <c r="C1987" s="1">
        <v>13</v>
      </c>
      <c r="D1987" t="str">
        <f>VLOOKUP(B1987,Заказы!A:C,3,0)</f>
        <v>2023-06-13 20:05:00</v>
      </c>
      <c r="E1987" t="str">
        <f>VLOOKUP(C1987,Меню!A:E,4,0)</f>
        <v>Первое</v>
      </c>
      <c r="F1987">
        <f>VLOOKUP(C1987,Меню!A:E,5,0)</f>
        <v>280</v>
      </c>
    </row>
    <row r="1988" spans="1:6" ht="15.75" hidden="1" customHeight="1" x14ac:dyDescent="0.35">
      <c r="A1988" s="1">
        <v>1987</v>
      </c>
      <c r="B1988" s="1">
        <v>382</v>
      </c>
      <c r="C1988" s="1">
        <v>24</v>
      </c>
      <c r="D1988" t="str">
        <f>VLOOKUP(B1988,Заказы!A:C,3,0)</f>
        <v>2023-06-13 20:05:00</v>
      </c>
      <c r="E1988" t="str">
        <f>VLOOKUP(C1988,Меню!A:E,4,0)</f>
        <v>Салат</v>
      </c>
      <c r="F1988">
        <f>VLOOKUP(C1988,Меню!A:E,5,0)</f>
        <v>250</v>
      </c>
    </row>
    <row r="1989" spans="1:6" ht="15.75" hidden="1" customHeight="1" x14ac:dyDescent="0.35">
      <c r="A1989" s="1">
        <v>1988</v>
      </c>
      <c r="B1989" s="1">
        <v>382</v>
      </c>
      <c r="C1989" s="1">
        <v>22</v>
      </c>
      <c r="D1989" t="str">
        <f>VLOOKUP(B1989,Заказы!A:C,3,0)</f>
        <v>2023-06-13 20:05:00</v>
      </c>
      <c r="E1989" t="str">
        <f>VLOOKUP(C1989,Меню!A:E,4,0)</f>
        <v>Салат</v>
      </c>
      <c r="F1989">
        <f>VLOOKUP(C1989,Меню!A:E,5,0)</f>
        <v>250</v>
      </c>
    </row>
    <row r="1990" spans="1:6" ht="15.75" hidden="1" customHeight="1" x14ac:dyDescent="0.35">
      <c r="A1990" s="1">
        <v>1989</v>
      </c>
      <c r="B1990" s="1">
        <v>382</v>
      </c>
      <c r="C1990" s="1">
        <v>28</v>
      </c>
      <c r="D1990" t="str">
        <f>VLOOKUP(B1990,Заказы!A:C,3,0)</f>
        <v>2023-06-13 20:05:00</v>
      </c>
      <c r="E1990" t="str">
        <f>VLOOKUP(C1990,Меню!A:E,4,0)</f>
        <v>Салат</v>
      </c>
      <c r="F1990">
        <f>VLOOKUP(C1990,Меню!A:E,5,0)</f>
        <v>250</v>
      </c>
    </row>
    <row r="1991" spans="1:6" ht="15.75" hidden="1" customHeight="1" x14ac:dyDescent="0.35">
      <c r="A1991" s="1">
        <v>1990</v>
      </c>
      <c r="B1991" s="1">
        <v>382</v>
      </c>
      <c r="C1991" s="1">
        <v>37</v>
      </c>
      <c r="D1991" t="str">
        <f>VLOOKUP(B1991,Заказы!A:C,3,0)</f>
        <v>2023-06-13 20:05:00</v>
      </c>
      <c r="E1991" t="str">
        <f>VLOOKUP(C1991,Меню!A:E,4,0)</f>
        <v>Десерт</v>
      </c>
      <c r="F1991">
        <f>VLOOKUP(C1991,Меню!A:E,5,0)</f>
        <v>100</v>
      </c>
    </row>
    <row r="1992" spans="1:6" ht="15.75" hidden="1" customHeight="1" x14ac:dyDescent="0.35">
      <c r="A1992" s="1">
        <v>1991</v>
      </c>
      <c r="B1992" s="1">
        <v>383</v>
      </c>
      <c r="C1992" s="1">
        <v>39</v>
      </c>
      <c r="D1992" t="str">
        <f>VLOOKUP(B1992,Заказы!A:C,3,0)</f>
        <v>2023-06-13 21:18:00</v>
      </c>
      <c r="E1992" t="str">
        <f>VLOOKUP(C1992,Меню!A:E,4,0)</f>
        <v>Десерт</v>
      </c>
      <c r="F1992">
        <f>VLOOKUP(C1992,Меню!A:E,5,0)</f>
        <v>150</v>
      </c>
    </row>
    <row r="1993" spans="1:6" ht="15.75" hidden="1" customHeight="1" x14ac:dyDescent="0.35">
      <c r="A1993" s="1">
        <v>1992</v>
      </c>
      <c r="B1993" s="1">
        <v>383</v>
      </c>
      <c r="C1993" s="1">
        <v>54</v>
      </c>
      <c r="D1993" t="str">
        <f>VLOOKUP(B1993,Заказы!A:C,3,0)</f>
        <v>2023-06-13 21:18:00</v>
      </c>
      <c r="E1993" t="str">
        <f>VLOOKUP(C1993,Меню!A:E,4,0)</f>
        <v>Суши</v>
      </c>
      <c r="F1993">
        <f>VLOOKUP(C1993,Меню!A:E,5,0)</f>
        <v>100</v>
      </c>
    </row>
    <row r="1994" spans="1:6" ht="15.75" hidden="1" customHeight="1" x14ac:dyDescent="0.35">
      <c r="A1994" s="1">
        <v>1993</v>
      </c>
      <c r="B1994" s="1">
        <v>383</v>
      </c>
      <c r="C1994" s="1">
        <v>46</v>
      </c>
      <c r="D1994" t="str">
        <f>VLOOKUP(B1994,Заказы!A:C,3,0)</f>
        <v>2023-06-13 21:18:00</v>
      </c>
      <c r="E1994" t="str">
        <f>VLOOKUP(C1994,Меню!A:E,4,0)</f>
        <v>Суши</v>
      </c>
      <c r="F1994">
        <f>VLOOKUP(C1994,Меню!A:E,5,0)</f>
        <v>200</v>
      </c>
    </row>
    <row r="1995" spans="1:6" ht="15.75" hidden="1" customHeight="1" x14ac:dyDescent="0.35">
      <c r="A1995" s="1">
        <v>1994</v>
      </c>
      <c r="B1995" s="1">
        <v>383</v>
      </c>
      <c r="C1995" s="1">
        <v>58</v>
      </c>
      <c r="D1995" t="str">
        <f>VLOOKUP(B1995,Заказы!A:C,3,0)</f>
        <v>2023-06-13 21:18:00</v>
      </c>
      <c r="E1995" t="str">
        <f>VLOOKUP(C1995,Меню!A:E,4,0)</f>
        <v>Суши</v>
      </c>
      <c r="F1995">
        <f>VLOOKUP(C1995,Меню!A:E,5,0)</f>
        <v>200</v>
      </c>
    </row>
    <row r="1996" spans="1:6" ht="15.75" hidden="1" customHeight="1" x14ac:dyDescent="0.35">
      <c r="A1996" s="1">
        <v>1995</v>
      </c>
      <c r="B1996" s="1">
        <v>384</v>
      </c>
      <c r="C1996" s="1">
        <v>54</v>
      </c>
      <c r="D1996" t="str">
        <f>VLOOKUP(B1996,Заказы!A:C,3,0)</f>
        <v>2023-06-13 21:28:00</v>
      </c>
      <c r="E1996" t="str">
        <f>VLOOKUP(C1996,Меню!A:E,4,0)</f>
        <v>Суши</v>
      </c>
      <c r="F1996">
        <f>VLOOKUP(C1996,Меню!A:E,5,0)</f>
        <v>100</v>
      </c>
    </row>
    <row r="1997" spans="1:6" ht="15.75" hidden="1" customHeight="1" x14ac:dyDescent="0.35">
      <c r="A1997" s="1">
        <v>1996</v>
      </c>
      <c r="B1997" s="1">
        <v>384</v>
      </c>
      <c r="C1997" s="1">
        <v>2</v>
      </c>
      <c r="D1997" t="str">
        <f>VLOOKUP(B1997,Заказы!A:C,3,0)</f>
        <v>2023-06-13 21:28:00</v>
      </c>
      <c r="E1997" t="str">
        <f>VLOOKUP(C1997,Меню!A:E,4,0)</f>
        <v>Завтрак</v>
      </c>
      <c r="F1997">
        <f>VLOOKUP(C1997,Меню!A:E,5,0)</f>
        <v>250</v>
      </c>
    </row>
    <row r="1998" spans="1:6" ht="15.75" hidden="1" customHeight="1" x14ac:dyDescent="0.35">
      <c r="A1998" s="1">
        <v>1997</v>
      </c>
      <c r="B1998" s="1">
        <v>384</v>
      </c>
      <c r="C1998" s="1">
        <v>49</v>
      </c>
      <c r="D1998" t="str">
        <f>VLOOKUP(B1998,Заказы!A:C,3,0)</f>
        <v>2023-06-13 21:28:00</v>
      </c>
      <c r="E1998" t="str">
        <f>VLOOKUP(C1998,Меню!A:E,4,0)</f>
        <v>Суши</v>
      </c>
      <c r="F1998">
        <f>VLOOKUP(C1998,Меню!A:E,5,0)</f>
        <v>200</v>
      </c>
    </row>
    <row r="1999" spans="1:6" ht="15.75" hidden="1" customHeight="1" x14ac:dyDescent="0.35">
      <c r="A1999" s="1">
        <v>1998</v>
      </c>
      <c r="B1999" s="1">
        <v>384</v>
      </c>
      <c r="C1999" s="1">
        <v>33</v>
      </c>
      <c r="D1999" t="str">
        <f>VLOOKUP(B1999,Заказы!A:C,3,0)</f>
        <v>2023-06-13 21:28:00</v>
      </c>
      <c r="E1999" t="str">
        <f>VLOOKUP(C1999,Меню!A:E,4,0)</f>
        <v>Десерт</v>
      </c>
      <c r="F1999">
        <f>VLOOKUP(C1999,Меню!A:E,5,0)</f>
        <v>150</v>
      </c>
    </row>
    <row r="2000" spans="1:6" ht="15.75" hidden="1" customHeight="1" x14ac:dyDescent="0.35">
      <c r="A2000" s="1">
        <v>1999</v>
      </c>
      <c r="B2000" s="1">
        <v>384</v>
      </c>
      <c r="C2000" s="1">
        <v>56</v>
      </c>
      <c r="D2000" t="str">
        <f>VLOOKUP(B2000,Заказы!A:C,3,0)</f>
        <v>2023-06-13 21:28:00</v>
      </c>
      <c r="E2000" t="str">
        <f>VLOOKUP(C2000,Меню!A:E,4,0)</f>
        <v>Суши</v>
      </c>
      <c r="F2000">
        <f>VLOOKUP(C2000,Меню!A:E,5,0)</f>
        <v>200</v>
      </c>
    </row>
    <row r="2001" spans="1:6" ht="15.75" hidden="1" customHeight="1" x14ac:dyDescent="0.35">
      <c r="A2001" s="1">
        <v>2000</v>
      </c>
      <c r="B2001" s="1">
        <v>384</v>
      </c>
      <c r="C2001" s="1">
        <v>40</v>
      </c>
      <c r="D2001" t="str">
        <f>VLOOKUP(B2001,Заказы!A:C,3,0)</f>
        <v>2023-06-13 21:28:00</v>
      </c>
      <c r="E2001" t="str">
        <f>VLOOKUP(C2001,Меню!A:E,4,0)</f>
        <v>Десерт</v>
      </c>
      <c r="F2001">
        <f>VLOOKUP(C2001,Меню!A:E,5,0)</f>
        <v>150</v>
      </c>
    </row>
    <row r="2002" spans="1:6" ht="15.75" hidden="1" customHeight="1" x14ac:dyDescent="0.35">
      <c r="A2002" s="1">
        <v>2001</v>
      </c>
      <c r="B2002" s="1">
        <v>384</v>
      </c>
      <c r="C2002" s="1">
        <v>16</v>
      </c>
      <c r="D2002" t="str">
        <f>VLOOKUP(B2002,Заказы!A:C,3,0)</f>
        <v>2023-06-13 21:28:00</v>
      </c>
      <c r="E2002" t="str">
        <f>VLOOKUP(C2002,Меню!A:E,4,0)</f>
        <v>Первое</v>
      </c>
      <c r="F2002">
        <f>VLOOKUP(C2002,Меню!A:E,5,0)</f>
        <v>250</v>
      </c>
    </row>
    <row r="2003" spans="1:6" ht="15.75" hidden="1" customHeight="1" x14ac:dyDescent="0.35">
      <c r="A2003" s="1">
        <v>2002</v>
      </c>
      <c r="B2003" s="1">
        <v>384</v>
      </c>
      <c r="C2003" s="1">
        <v>23</v>
      </c>
      <c r="D2003" t="str">
        <f>VLOOKUP(B2003,Заказы!A:C,3,0)</f>
        <v>2023-06-13 21:28:00</v>
      </c>
      <c r="E2003" t="str">
        <f>VLOOKUP(C2003,Меню!A:E,4,0)</f>
        <v>Салат</v>
      </c>
      <c r="F2003">
        <f>VLOOKUP(C2003,Меню!A:E,5,0)</f>
        <v>250</v>
      </c>
    </row>
    <row r="2004" spans="1:6" ht="15.75" hidden="1" customHeight="1" x14ac:dyDescent="0.35">
      <c r="A2004" s="1">
        <v>2003</v>
      </c>
      <c r="B2004" s="1">
        <v>385</v>
      </c>
      <c r="C2004" s="1">
        <v>59</v>
      </c>
      <c r="D2004" t="str">
        <f>VLOOKUP(B2004,Заказы!A:C,3,0)</f>
        <v>2023-06-13 22:57:00</v>
      </c>
      <c r="E2004" t="str">
        <f>VLOOKUP(C2004,Меню!A:E,4,0)</f>
        <v>Суши</v>
      </c>
      <c r="F2004">
        <f>VLOOKUP(C2004,Меню!A:E,5,0)</f>
        <v>300</v>
      </c>
    </row>
    <row r="2005" spans="1:6" ht="15.75" hidden="1" customHeight="1" x14ac:dyDescent="0.35">
      <c r="A2005" s="1">
        <v>2004</v>
      </c>
      <c r="B2005" s="1">
        <v>385</v>
      </c>
      <c r="C2005" s="1">
        <v>5</v>
      </c>
      <c r="D2005" t="str">
        <f>VLOOKUP(B2005,Заказы!A:C,3,0)</f>
        <v>2023-06-13 22:57:00</v>
      </c>
      <c r="E2005" t="str">
        <f>VLOOKUP(C2005,Меню!A:E,4,0)</f>
        <v>Завтрак</v>
      </c>
      <c r="F2005">
        <f>VLOOKUP(C2005,Меню!A:E,5,0)</f>
        <v>220</v>
      </c>
    </row>
    <row r="2006" spans="1:6" ht="15.75" hidden="1" customHeight="1" x14ac:dyDescent="0.35">
      <c r="A2006" s="1">
        <v>2005</v>
      </c>
      <c r="B2006" s="1">
        <v>385</v>
      </c>
      <c r="C2006" s="1">
        <v>44</v>
      </c>
      <c r="D2006" t="str">
        <f>VLOOKUP(B2006,Заказы!A:C,3,0)</f>
        <v>2023-06-13 22:57:00</v>
      </c>
      <c r="E2006" t="str">
        <f>VLOOKUP(C2006,Меню!A:E,4,0)</f>
        <v>Суши</v>
      </c>
      <c r="F2006">
        <f>VLOOKUP(C2006,Меню!A:E,5,0)</f>
        <v>250</v>
      </c>
    </row>
    <row r="2007" spans="1:6" ht="15.75" hidden="1" customHeight="1" x14ac:dyDescent="0.35">
      <c r="A2007" s="1">
        <v>2006</v>
      </c>
      <c r="B2007" s="1">
        <v>385</v>
      </c>
      <c r="C2007" s="1">
        <v>29</v>
      </c>
      <c r="D2007" t="str">
        <f>VLOOKUP(B2007,Заказы!A:C,3,0)</f>
        <v>2023-06-13 22:57:00</v>
      </c>
      <c r="E2007" t="str">
        <f>VLOOKUP(C2007,Меню!A:E,4,0)</f>
        <v>Салат</v>
      </c>
      <c r="F2007">
        <f>VLOOKUP(C2007,Меню!A:E,5,0)</f>
        <v>250</v>
      </c>
    </row>
    <row r="2008" spans="1:6" ht="15.75" hidden="1" customHeight="1" x14ac:dyDescent="0.35">
      <c r="A2008" s="1">
        <v>2007</v>
      </c>
      <c r="B2008" s="1">
        <v>385</v>
      </c>
      <c r="C2008" s="1">
        <v>3</v>
      </c>
      <c r="D2008" t="str">
        <f>VLOOKUP(B2008,Заказы!A:C,3,0)</f>
        <v>2023-06-13 22:57:00</v>
      </c>
      <c r="E2008" t="str">
        <f>VLOOKUP(C2008,Меню!A:E,4,0)</f>
        <v>Завтрак</v>
      </c>
      <c r="F2008">
        <f>VLOOKUP(C2008,Меню!A:E,5,0)</f>
        <v>150</v>
      </c>
    </row>
    <row r="2009" spans="1:6" ht="15.75" hidden="1" customHeight="1" x14ac:dyDescent="0.35">
      <c r="A2009" s="1">
        <v>2008</v>
      </c>
      <c r="B2009" s="1">
        <v>385</v>
      </c>
      <c r="C2009" s="1">
        <v>55</v>
      </c>
      <c r="D2009" t="str">
        <f>VLOOKUP(B2009,Заказы!A:C,3,0)</f>
        <v>2023-06-13 22:57:00</v>
      </c>
      <c r="E2009" t="str">
        <f>VLOOKUP(C2009,Меню!A:E,4,0)</f>
        <v>Суши</v>
      </c>
      <c r="F2009">
        <f>VLOOKUP(C2009,Меню!A:E,5,0)</f>
        <v>100</v>
      </c>
    </row>
    <row r="2010" spans="1:6" ht="15.75" hidden="1" customHeight="1" x14ac:dyDescent="0.35">
      <c r="A2010" s="1">
        <v>2009</v>
      </c>
      <c r="B2010" s="1">
        <v>386</v>
      </c>
      <c r="C2010" s="1">
        <v>25</v>
      </c>
      <c r="D2010" t="str">
        <f>VLOOKUP(B2010,Заказы!A:C,3,0)</f>
        <v>2023-06-14 16:03:00</v>
      </c>
      <c r="E2010" t="str">
        <f>VLOOKUP(C2010,Меню!A:E,4,0)</f>
        <v>Салат</v>
      </c>
      <c r="F2010">
        <f>VLOOKUP(C2010,Меню!A:E,5,0)</f>
        <v>250</v>
      </c>
    </row>
    <row r="2011" spans="1:6" ht="15.75" hidden="1" customHeight="1" x14ac:dyDescent="0.35">
      <c r="A2011" s="1">
        <v>2010</v>
      </c>
      <c r="B2011" s="1">
        <v>386</v>
      </c>
      <c r="C2011" s="1">
        <v>40</v>
      </c>
      <c r="D2011" t="str">
        <f>VLOOKUP(B2011,Заказы!A:C,3,0)</f>
        <v>2023-06-14 16:03:00</v>
      </c>
      <c r="E2011" t="str">
        <f>VLOOKUP(C2011,Меню!A:E,4,0)</f>
        <v>Десерт</v>
      </c>
      <c r="F2011">
        <f>VLOOKUP(C2011,Меню!A:E,5,0)</f>
        <v>150</v>
      </c>
    </row>
    <row r="2012" spans="1:6" ht="15.75" hidden="1" customHeight="1" x14ac:dyDescent="0.35">
      <c r="A2012" s="1">
        <v>2011</v>
      </c>
      <c r="B2012" s="1">
        <v>386</v>
      </c>
      <c r="C2012" s="1">
        <v>53</v>
      </c>
      <c r="D2012" t="str">
        <f>VLOOKUP(B2012,Заказы!A:C,3,0)</f>
        <v>2023-06-14 16:03:00</v>
      </c>
      <c r="E2012" t="str">
        <f>VLOOKUP(C2012,Меню!A:E,4,0)</f>
        <v>Суши</v>
      </c>
      <c r="F2012">
        <f>VLOOKUP(C2012,Меню!A:E,5,0)</f>
        <v>100</v>
      </c>
    </row>
    <row r="2013" spans="1:6" ht="15.75" hidden="1" customHeight="1" x14ac:dyDescent="0.35">
      <c r="A2013" s="1">
        <v>2012</v>
      </c>
      <c r="B2013" s="1">
        <v>386</v>
      </c>
      <c r="C2013" s="1">
        <v>57</v>
      </c>
      <c r="D2013" t="str">
        <f>VLOOKUP(B2013,Заказы!A:C,3,0)</f>
        <v>2023-06-14 16:03:00</v>
      </c>
      <c r="E2013" t="str">
        <f>VLOOKUP(C2013,Меню!A:E,4,0)</f>
        <v>Суши</v>
      </c>
      <c r="F2013">
        <f>VLOOKUP(C2013,Меню!A:E,5,0)</f>
        <v>200</v>
      </c>
    </row>
    <row r="2014" spans="1:6" ht="15.75" hidden="1" customHeight="1" x14ac:dyDescent="0.35">
      <c r="A2014" s="1">
        <v>2013</v>
      </c>
      <c r="B2014" s="1">
        <v>386</v>
      </c>
      <c r="C2014" s="1">
        <v>41</v>
      </c>
      <c r="D2014" t="str">
        <f>VLOOKUP(B2014,Заказы!A:C,3,0)</f>
        <v>2023-06-14 16:03:00</v>
      </c>
      <c r="E2014" t="str">
        <f>VLOOKUP(C2014,Меню!A:E,4,0)</f>
        <v>Суши</v>
      </c>
      <c r="F2014">
        <f>VLOOKUP(C2014,Меню!A:E,5,0)</f>
        <v>220</v>
      </c>
    </row>
    <row r="2015" spans="1:6" ht="15.75" hidden="1" customHeight="1" x14ac:dyDescent="0.35">
      <c r="A2015" s="1">
        <v>2014</v>
      </c>
      <c r="B2015" s="1">
        <v>386</v>
      </c>
      <c r="C2015" s="1">
        <v>7</v>
      </c>
      <c r="D2015" t="str">
        <f>VLOOKUP(B2015,Заказы!A:C,3,0)</f>
        <v>2023-06-14 16:03:00</v>
      </c>
      <c r="E2015" t="str">
        <f>VLOOKUP(C2015,Меню!A:E,4,0)</f>
        <v>Завтрак</v>
      </c>
      <c r="F2015">
        <f>VLOOKUP(C2015,Меню!A:E,5,0)</f>
        <v>200</v>
      </c>
    </row>
    <row r="2016" spans="1:6" ht="15.75" hidden="1" customHeight="1" x14ac:dyDescent="0.35">
      <c r="A2016" s="1">
        <v>2015</v>
      </c>
      <c r="B2016" s="1">
        <v>386</v>
      </c>
      <c r="C2016" s="1">
        <v>12</v>
      </c>
      <c r="D2016" t="str">
        <f>VLOOKUP(B2016,Заказы!A:C,3,0)</f>
        <v>2023-06-14 16:03:00</v>
      </c>
      <c r="E2016" t="str">
        <f>VLOOKUP(C2016,Меню!A:E,4,0)</f>
        <v>Первое</v>
      </c>
      <c r="F2016">
        <f>VLOOKUP(C2016,Меню!A:E,5,0)</f>
        <v>300</v>
      </c>
    </row>
    <row r="2017" spans="1:6" ht="15.75" hidden="1" customHeight="1" x14ac:dyDescent="0.35">
      <c r="A2017" s="1">
        <v>2016</v>
      </c>
      <c r="B2017" s="1">
        <v>387</v>
      </c>
      <c r="C2017" s="1">
        <v>37</v>
      </c>
      <c r="D2017" t="str">
        <f>VLOOKUP(B2017,Заказы!A:C,3,0)</f>
        <v>2023-06-14 17:12:00</v>
      </c>
      <c r="E2017" t="str">
        <f>VLOOKUP(C2017,Меню!A:E,4,0)</f>
        <v>Десерт</v>
      </c>
      <c r="F2017">
        <f>VLOOKUP(C2017,Меню!A:E,5,0)</f>
        <v>100</v>
      </c>
    </row>
    <row r="2018" spans="1:6" ht="15.75" hidden="1" customHeight="1" x14ac:dyDescent="0.35">
      <c r="A2018" s="1">
        <v>2017</v>
      </c>
      <c r="B2018" s="1">
        <v>387</v>
      </c>
      <c r="C2018" s="1">
        <v>39</v>
      </c>
      <c r="D2018" t="str">
        <f>VLOOKUP(B2018,Заказы!A:C,3,0)</f>
        <v>2023-06-14 17:12:00</v>
      </c>
      <c r="E2018" t="str">
        <f>VLOOKUP(C2018,Меню!A:E,4,0)</f>
        <v>Десерт</v>
      </c>
      <c r="F2018">
        <f>VLOOKUP(C2018,Меню!A:E,5,0)</f>
        <v>150</v>
      </c>
    </row>
    <row r="2019" spans="1:6" ht="15.75" hidden="1" customHeight="1" x14ac:dyDescent="0.35">
      <c r="A2019" s="1">
        <v>2018</v>
      </c>
      <c r="B2019" s="1">
        <v>387</v>
      </c>
      <c r="C2019" s="1">
        <v>39</v>
      </c>
      <c r="D2019" t="str">
        <f>VLOOKUP(B2019,Заказы!A:C,3,0)</f>
        <v>2023-06-14 17:12:00</v>
      </c>
      <c r="E2019" t="str">
        <f>VLOOKUP(C2019,Меню!A:E,4,0)</f>
        <v>Десерт</v>
      </c>
      <c r="F2019">
        <f>VLOOKUP(C2019,Меню!A:E,5,0)</f>
        <v>150</v>
      </c>
    </row>
    <row r="2020" spans="1:6" ht="15.75" hidden="1" customHeight="1" x14ac:dyDescent="0.35">
      <c r="A2020" s="1">
        <v>2019</v>
      </c>
      <c r="B2020" s="1">
        <v>388</v>
      </c>
      <c r="C2020" s="1">
        <v>35</v>
      </c>
      <c r="D2020" t="str">
        <f>VLOOKUP(B2020,Заказы!A:C,3,0)</f>
        <v>2023-06-14 18:40:00</v>
      </c>
      <c r="E2020" t="str">
        <f>VLOOKUP(C2020,Меню!A:E,4,0)</f>
        <v>Десерт</v>
      </c>
      <c r="F2020">
        <f>VLOOKUP(C2020,Меню!A:E,5,0)</f>
        <v>150</v>
      </c>
    </row>
    <row r="2021" spans="1:6" ht="15.75" hidden="1" customHeight="1" x14ac:dyDescent="0.35">
      <c r="A2021" s="1">
        <v>2020</v>
      </c>
      <c r="B2021" s="1">
        <v>388</v>
      </c>
      <c r="C2021" s="1">
        <v>29</v>
      </c>
      <c r="D2021" t="str">
        <f>VLOOKUP(B2021,Заказы!A:C,3,0)</f>
        <v>2023-06-14 18:40:00</v>
      </c>
      <c r="E2021" t="str">
        <f>VLOOKUP(C2021,Меню!A:E,4,0)</f>
        <v>Салат</v>
      </c>
      <c r="F2021">
        <f>VLOOKUP(C2021,Меню!A:E,5,0)</f>
        <v>250</v>
      </c>
    </row>
    <row r="2022" spans="1:6" ht="15.75" hidden="1" customHeight="1" x14ac:dyDescent="0.35">
      <c r="A2022" s="1">
        <v>2021</v>
      </c>
      <c r="B2022" s="1">
        <v>388</v>
      </c>
      <c r="C2022" s="1">
        <v>39</v>
      </c>
      <c r="D2022" t="str">
        <f>VLOOKUP(B2022,Заказы!A:C,3,0)</f>
        <v>2023-06-14 18:40:00</v>
      </c>
      <c r="E2022" t="str">
        <f>VLOOKUP(C2022,Меню!A:E,4,0)</f>
        <v>Десерт</v>
      </c>
      <c r="F2022">
        <f>VLOOKUP(C2022,Меню!A:E,5,0)</f>
        <v>150</v>
      </c>
    </row>
    <row r="2023" spans="1:6" ht="15.75" hidden="1" customHeight="1" x14ac:dyDescent="0.35">
      <c r="A2023" s="1">
        <v>2022</v>
      </c>
      <c r="B2023" s="1">
        <v>388</v>
      </c>
      <c r="C2023" s="1">
        <v>19</v>
      </c>
      <c r="D2023" t="str">
        <f>VLOOKUP(B2023,Заказы!A:C,3,0)</f>
        <v>2023-06-14 18:40:00</v>
      </c>
      <c r="E2023" t="str">
        <f>VLOOKUP(C2023,Меню!A:E,4,0)</f>
        <v>Первое</v>
      </c>
      <c r="F2023">
        <f>VLOOKUP(C2023,Меню!A:E,5,0)</f>
        <v>300</v>
      </c>
    </row>
    <row r="2024" spans="1:6" ht="15.75" hidden="1" customHeight="1" x14ac:dyDescent="0.35">
      <c r="A2024" s="1">
        <v>2023</v>
      </c>
      <c r="B2024" s="1">
        <v>388</v>
      </c>
      <c r="C2024" s="1">
        <v>48</v>
      </c>
      <c r="D2024" t="str">
        <f>VLOOKUP(B2024,Заказы!A:C,3,0)</f>
        <v>2023-06-14 18:40:00</v>
      </c>
      <c r="E2024" t="str">
        <f>VLOOKUP(C2024,Меню!A:E,4,0)</f>
        <v>Суши</v>
      </c>
      <c r="F2024">
        <f>VLOOKUP(C2024,Меню!A:E,5,0)</f>
        <v>200</v>
      </c>
    </row>
    <row r="2025" spans="1:6" ht="15.75" hidden="1" customHeight="1" x14ac:dyDescent="0.35">
      <c r="A2025" s="1">
        <v>2024</v>
      </c>
      <c r="B2025" s="1">
        <v>389</v>
      </c>
      <c r="C2025" s="1">
        <v>5</v>
      </c>
      <c r="D2025" t="str">
        <f>VLOOKUP(B2025,Заказы!A:C,3,0)</f>
        <v>2023-06-14 21:00:00</v>
      </c>
      <c r="E2025" t="str">
        <f>VLOOKUP(C2025,Меню!A:E,4,0)</f>
        <v>Завтрак</v>
      </c>
      <c r="F2025">
        <f>VLOOKUP(C2025,Меню!A:E,5,0)</f>
        <v>220</v>
      </c>
    </row>
    <row r="2026" spans="1:6" ht="15.75" hidden="1" customHeight="1" x14ac:dyDescent="0.35">
      <c r="A2026" s="1">
        <v>2025</v>
      </c>
      <c r="B2026" s="1">
        <v>389</v>
      </c>
      <c r="C2026" s="1">
        <v>20</v>
      </c>
      <c r="D2026" t="str">
        <f>VLOOKUP(B2026,Заказы!A:C,3,0)</f>
        <v>2023-06-14 21:00:00</v>
      </c>
      <c r="E2026" t="str">
        <f>VLOOKUP(C2026,Меню!A:E,4,0)</f>
        <v>Первое</v>
      </c>
      <c r="F2026">
        <f>VLOOKUP(C2026,Меню!A:E,5,0)</f>
        <v>250</v>
      </c>
    </row>
    <row r="2027" spans="1:6" ht="15.75" hidden="1" customHeight="1" x14ac:dyDescent="0.35">
      <c r="A2027" s="1">
        <v>2026</v>
      </c>
      <c r="B2027" s="1">
        <v>389</v>
      </c>
      <c r="C2027" s="1">
        <v>59</v>
      </c>
      <c r="D2027" t="str">
        <f>VLOOKUP(B2027,Заказы!A:C,3,0)</f>
        <v>2023-06-14 21:00:00</v>
      </c>
      <c r="E2027" t="str">
        <f>VLOOKUP(C2027,Меню!A:E,4,0)</f>
        <v>Суши</v>
      </c>
      <c r="F2027">
        <f>VLOOKUP(C2027,Меню!A:E,5,0)</f>
        <v>300</v>
      </c>
    </row>
    <row r="2028" spans="1:6" ht="15.75" hidden="1" customHeight="1" x14ac:dyDescent="0.35">
      <c r="A2028" s="1">
        <v>2027</v>
      </c>
      <c r="B2028" s="1">
        <v>389</v>
      </c>
      <c r="C2028" s="1">
        <v>26</v>
      </c>
      <c r="D2028" t="str">
        <f>VLOOKUP(B2028,Заказы!A:C,3,0)</f>
        <v>2023-06-14 21:00:00</v>
      </c>
      <c r="E2028" t="str">
        <f>VLOOKUP(C2028,Меню!A:E,4,0)</f>
        <v>Салат</v>
      </c>
      <c r="F2028">
        <f>VLOOKUP(C2028,Меню!A:E,5,0)</f>
        <v>250</v>
      </c>
    </row>
    <row r="2029" spans="1:6" ht="15.75" hidden="1" customHeight="1" x14ac:dyDescent="0.35">
      <c r="A2029" s="1">
        <v>2028</v>
      </c>
      <c r="B2029" s="1">
        <v>389</v>
      </c>
      <c r="C2029" s="1">
        <v>16</v>
      </c>
      <c r="D2029" t="str">
        <f>VLOOKUP(B2029,Заказы!A:C,3,0)</f>
        <v>2023-06-14 21:00:00</v>
      </c>
      <c r="E2029" t="str">
        <f>VLOOKUP(C2029,Меню!A:E,4,0)</f>
        <v>Первое</v>
      </c>
      <c r="F2029">
        <f>VLOOKUP(C2029,Меню!A:E,5,0)</f>
        <v>250</v>
      </c>
    </row>
    <row r="2030" spans="1:6" ht="15.75" hidden="1" customHeight="1" x14ac:dyDescent="0.35">
      <c r="A2030" s="1">
        <v>2029</v>
      </c>
      <c r="B2030" s="1">
        <v>389</v>
      </c>
      <c r="C2030" s="1">
        <v>29</v>
      </c>
      <c r="D2030" t="str">
        <f>VLOOKUP(B2030,Заказы!A:C,3,0)</f>
        <v>2023-06-14 21:00:00</v>
      </c>
      <c r="E2030" t="str">
        <f>VLOOKUP(C2030,Меню!A:E,4,0)</f>
        <v>Салат</v>
      </c>
      <c r="F2030">
        <f>VLOOKUP(C2030,Меню!A:E,5,0)</f>
        <v>250</v>
      </c>
    </row>
    <row r="2031" spans="1:6" ht="15.75" hidden="1" customHeight="1" x14ac:dyDescent="0.35">
      <c r="A2031" s="1">
        <v>2030</v>
      </c>
      <c r="B2031" s="1">
        <v>389</v>
      </c>
      <c r="C2031" s="1">
        <v>44</v>
      </c>
      <c r="D2031" t="str">
        <f>VLOOKUP(B2031,Заказы!A:C,3,0)</f>
        <v>2023-06-14 21:00:00</v>
      </c>
      <c r="E2031" t="str">
        <f>VLOOKUP(C2031,Меню!A:E,4,0)</f>
        <v>Суши</v>
      </c>
      <c r="F2031">
        <f>VLOOKUP(C2031,Меню!A:E,5,0)</f>
        <v>250</v>
      </c>
    </row>
    <row r="2032" spans="1:6" ht="15.75" hidden="1" customHeight="1" x14ac:dyDescent="0.35">
      <c r="A2032" s="1">
        <v>2031</v>
      </c>
      <c r="B2032" s="1">
        <v>389</v>
      </c>
      <c r="C2032" s="1">
        <v>32</v>
      </c>
      <c r="D2032" t="str">
        <f>VLOOKUP(B2032,Заказы!A:C,3,0)</f>
        <v>2023-06-14 21:00:00</v>
      </c>
      <c r="E2032" t="str">
        <f>VLOOKUP(C2032,Меню!A:E,4,0)</f>
        <v>Десерт</v>
      </c>
      <c r="F2032">
        <f>VLOOKUP(C2032,Меню!A:E,5,0)</f>
        <v>150</v>
      </c>
    </row>
    <row r="2033" spans="1:6" ht="15.75" hidden="1" customHeight="1" x14ac:dyDescent="0.35">
      <c r="A2033" s="1">
        <v>2032</v>
      </c>
      <c r="B2033" s="1">
        <v>390</v>
      </c>
      <c r="C2033" s="1">
        <v>54</v>
      </c>
      <c r="D2033" t="str">
        <f>VLOOKUP(B2033,Заказы!A:C,3,0)</f>
        <v>2023-06-14 21:14:00</v>
      </c>
      <c r="E2033" t="str">
        <f>VLOOKUP(C2033,Меню!A:E,4,0)</f>
        <v>Суши</v>
      </c>
      <c r="F2033">
        <f>VLOOKUP(C2033,Меню!A:E,5,0)</f>
        <v>100</v>
      </c>
    </row>
    <row r="2034" spans="1:6" ht="15.75" hidden="1" customHeight="1" x14ac:dyDescent="0.35">
      <c r="A2034" s="1">
        <v>2033</v>
      </c>
      <c r="B2034" s="1">
        <v>390</v>
      </c>
      <c r="C2034" s="1">
        <v>6</v>
      </c>
      <c r="D2034" t="str">
        <f>VLOOKUP(B2034,Заказы!A:C,3,0)</f>
        <v>2023-06-14 21:14:00</v>
      </c>
      <c r="E2034" t="str">
        <f>VLOOKUP(C2034,Меню!A:E,4,0)</f>
        <v>Завтрак</v>
      </c>
      <c r="F2034">
        <f>VLOOKUP(C2034,Меню!A:E,5,0)</f>
        <v>300</v>
      </c>
    </row>
    <row r="2035" spans="1:6" ht="15.75" hidden="1" customHeight="1" x14ac:dyDescent="0.35">
      <c r="A2035" s="1">
        <v>2034</v>
      </c>
      <c r="B2035" s="1">
        <v>390</v>
      </c>
      <c r="C2035" s="1">
        <v>53</v>
      </c>
      <c r="D2035" t="str">
        <f>VLOOKUP(B2035,Заказы!A:C,3,0)</f>
        <v>2023-06-14 21:14:00</v>
      </c>
      <c r="E2035" t="str">
        <f>VLOOKUP(C2035,Меню!A:E,4,0)</f>
        <v>Суши</v>
      </c>
      <c r="F2035">
        <f>VLOOKUP(C2035,Меню!A:E,5,0)</f>
        <v>100</v>
      </c>
    </row>
    <row r="2036" spans="1:6" ht="15.75" hidden="1" customHeight="1" x14ac:dyDescent="0.35">
      <c r="A2036" s="1">
        <v>2035</v>
      </c>
      <c r="B2036" s="1">
        <v>390</v>
      </c>
      <c r="C2036" s="1">
        <v>55</v>
      </c>
      <c r="D2036" t="str">
        <f>VLOOKUP(B2036,Заказы!A:C,3,0)</f>
        <v>2023-06-14 21:14:00</v>
      </c>
      <c r="E2036" t="str">
        <f>VLOOKUP(C2036,Меню!A:E,4,0)</f>
        <v>Суши</v>
      </c>
      <c r="F2036">
        <f>VLOOKUP(C2036,Меню!A:E,5,0)</f>
        <v>100</v>
      </c>
    </row>
    <row r="2037" spans="1:6" ht="15.75" hidden="1" customHeight="1" x14ac:dyDescent="0.35">
      <c r="A2037" s="1">
        <v>2036</v>
      </c>
      <c r="B2037" s="1">
        <v>391</v>
      </c>
      <c r="C2037" s="1">
        <v>47</v>
      </c>
      <c r="D2037" t="str">
        <f>VLOOKUP(B2037,Заказы!A:C,3,0)</f>
        <v>2023-06-15 17:57:00</v>
      </c>
      <c r="E2037" t="str">
        <f>VLOOKUP(C2037,Меню!A:E,4,0)</f>
        <v>Суши</v>
      </c>
      <c r="F2037">
        <f>VLOOKUP(C2037,Меню!A:E,5,0)</f>
        <v>200</v>
      </c>
    </row>
    <row r="2038" spans="1:6" ht="15.75" hidden="1" customHeight="1" x14ac:dyDescent="0.35">
      <c r="A2038" s="1">
        <v>2037</v>
      </c>
      <c r="B2038" s="1">
        <v>391</v>
      </c>
      <c r="C2038" s="1">
        <v>24</v>
      </c>
      <c r="D2038" t="str">
        <f>VLOOKUP(B2038,Заказы!A:C,3,0)</f>
        <v>2023-06-15 17:57:00</v>
      </c>
      <c r="E2038" t="str">
        <f>VLOOKUP(C2038,Меню!A:E,4,0)</f>
        <v>Салат</v>
      </c>
      <c r="F2038">
        <f>VLOOKUP(C2038,Меню!A:E,5,0)</f>
        <v>250</v>
      </c>
    </row>
    <row r="2039" spans="1:6" ht="15.75" hidden="1" customHeight="1" x14ac:dyDescent="0.35">
      <c r="A2039" s="1">
        <v>2038</v>
      </c>
      <c r="B2039" s="1">
        <v>391</v>
      </c>
      <c r="C2039" s="1">
        <v>58</v>
      </c>
      <c r="D2039" t="str">
        <f>VLOOKUP(B2039,Заказы!A:C,3,0)</f>
        <v>2023-06-15 17:57:00</v>
      </c>
      <c r="E2039" t="str">
        <f>VLOOKUP(C2039,Меню!A:E,4,0)</f>
        <v>Суши</v>
      </c>
      <c r="F2039">
        <f>VLOOKUP(C2039,Меню!A:E,5,0)</f>
        <v>200</v>
      </c>
    </row>
    <row r="2040" spans="1:6" ht="15.75" hidden="1" customHeight="1" x14ac:dyDescent="0.35">
      <c r="A2040" s="1">
        <v>2039</v>
      </c>
      <c r="B2040" s="1">
        <v>392</v>
      </c>
      <c r="C2040" s="1">
        <v>60</v>
      </c>
      <c r="D2040" t="str">
        <f>VLOOKUP(B2040,Заказы!A:C,3,0)</f>
        <v>2023-06-15 21:25:00</v>
      </c>
      <c r="E2040" t="str">
        <f>VLOOKUP(C2040,Меню!A:E,4,0)</f>
        <v>Суши</v>
      </c>
      <c r="F2040">
        <f>VLOOKUP(C2040,Меню!A:E,5,0)</f>
        <v>250</v>
      </c>
    </row>
    <row r="2041" spans="1:6" ht="15.75" hidden="1" customHeight="1" x14ac:dyDescent="0.35">
      <c r="A2041" s="1">
        <v>2040</v>
      </c>
      <c r="B2041" s="1">
        <v>392</v>
      </c>
      <c r="C2041" s="1">
        <v>25</v>
      </c>
      <c r="D2041" t="str">
        <f>VLOOKUP(B2041,Заказы!A:C,3,0)</f>
        <v>2023-06-15 21:25:00</v>
      </c>
      <c r="E2041" t="str">
        <f>VLOOKUP(C2041,Меню!A:E,4,0)</f>
        <v>Салат</v>
      </c>
      <c r="F2041">
        <f>VLOOKUP(C2041,Меню!A:E,5,0)</f>
        <v>250</v>
      </c>
    </row>
    <row r="2042" spans="1:6" ht="15.75" hidden="1" customHeight="1" x14ac:dyDescent="0.35">
      <c r="A2042" s="1">
        <v>2041</v>
      </c>
      <c r="B2042" s="1">
        <v>392</v>
      </c>
      <c r="C2042" s="1">
        <v>38</v>
      </c>
      <c r="D2042" t="str">
        <f>VLOOKUP(B2042,Заказы!A:C,3,0)</f>
        <v>2023-06-15 21:25:00</v>
      </c>
      <c r="E2042" t="str">
        <f>VLOOKUP(C2042,Меню!A:E,4,0)</f>
        <v>Десерт</v>
      </c>
      <c r="F2042">
        <f>VLOOKUP(C2042,Меню!A:E,5,0)</f>
        <v>150</v>
      </c>
    </row>
    <row r="2043" spans="1:6" ht="15.75" hidden="1" customHeight="1" x14ac:dyDescent="0.35">
      <c r="A2043" s="1">
        <v>2042</v>
      </c>
      <c r="B2043" s="1">
        <v>392</v>
      </c>
      <c r="C2043" s="1">
        <v>16</v>
      </c>
      <c r="D2043" t="str">
        <f>VLOOKUP(B2043,Заказы!A:C,3,0)</f>
        <v>2023-06-15 21:25:00</v>
      </c>
      <c r="E2043" t="str">
        <f>VLOOKUP(C2043,Меню!A:E,4,0)</f>
        <v>Первое</v>
      </c>
      <c r="F2043">
        <f>VLOOKUP(C2043,Меню!A:E,5,0)</f>
        <v>250</v>
      </c>
    </row>
    <row r="2044" spans="1:6" ht="15.75" hidden="1" customHeight="1" x14ac:dyDescent="0.35">
      <c r="A2044" s="1">
        <v>2043</v>
      </c>
      <c r="B2044" s="1">
        <v>392</v>
      </c>
      <c r="C2044" s="1">
        <v>8</v>
      </c>
      <c r="D2044" t="str">
        <f>VLOOKUP(B2044,Заказы!A:C,3,0)</f>
        <v>2023-06-15 21:25:00</v>
      </c>
      <c r="E2044" t="str">
        <f>VLOOKUP(C2044,Меню!A:E,4,0)</f>
        <v>Завтрак</v>
      </c>
      <c r="F2044">
        <f>VLOOKUP(C2044,Меню!A:E,5,0)</f>
        <v>180</v>
      </c>
    </row>
    <row r="2045" spans="1:6" ht="15.75" hidden="1" customHeight="1" x14ac:dyDescent="0.35">
      <c r="A2045" s="1">
        <v>2044</v>
      </c>
      <c r="B2045" s="1">
        <v>393</v>
      </c>
      <c r="C2045" s="1">
        <v>17</v>
      </c>
      <c r="D2045" t="str">
        <f>VLOOKUP(B2045,Заказы!A:C,3,0)</f>
        <v>2023-06-16 18:55:00</v>
      </c>
      <c r="E2045" t="str">
        <f>VLOOKUP(C2045,Меню!A:E,4,0)</f>
        <v>Первое</v>
      </c>
      <c r="F2045">
        <f>VLOOKUP(C2045,Меню!A:E,5,0)</f>
        <v>250</v>
      </c>
    </row>
    <row r="2046" spans="1:6" ht="15.75" hidden="1" customHeight="1" x14ac:dyDescent="0.35">
      <c r="A2046" s="1">
        <v>2045</v>
      </c>
      <c r="B2046" s="1">
        <v>393</v>
      </c>
      <c r="C2046" s="1">
        <v>41</v>
      </c>
      <c r="D2046" t="str">
        <f>VLOOKUP(B2046,Заказы!A:C,3,0)</f>
        <v>2023-06-16 18:55:00</v>
      </c>
      <c r="E2046" t="str">
        <f>VLOOKUP(C2046,Меню!A:E,4,0)</f>
        <v>Суши</v>
      </c>
      <c r="F2046">
        <f>VLOOKUP(C2046,Меню!A:E,5,0)</f>
        <v>220</v>
      </c>
    </row>
    <row r="2047" spans="1:6" ht="15.75" hidden="1" customHeight="1" x14ac:dyDescent="0.35">
      <c r="A2047" s="1">
        <v>2046</v>
      </c>
      <c r="B2047" s="1">
        <v>393</v>
      </c>
      <c r="C2047" s="1">
        <v>20</v>
      </c>
      <c r="D2047" t="str">
        <f>VLOOKUP(B2047,Заказы!A:C,3,0)</f>
        <v>2023-06-16 18:55:00</v>
      </c>
      <c r="E2047" t="str">
        <f>VLOOKUP(C2047,Меню!A:E,4,0)</f>
        <v>Первое</v>
      </c>
      <c r="F2047">
        <f>VLOOKUP(C2047,Меню!A:E,5,0)</f>
        <v>250</v>
      </c>
    </row>
    <row r="2048" spans="1:6" ht="15.75" hidden="1" customHeight="1" x14ac:dyDescent="0.35">
      <c r="A2048" s="1">
        <v>2047</v>
      </c>
      <c r="B2048" s="1">
        <v>393</v>
      </c>
      <c r="C2048" s="1">
        <v>37</v>
      </c>
      <c r="D2048" t="str">
        <f>VLOOKUP(B2048,Заказы!A:C,3,0)</f>
        <v>2023-06-16 18:55:00</v>
      </c>
      <c r="E2048" t="str">
        <f>VLOOKUP(C2048,Меню!A:E,4,0)</f>
        <v>Десерт</v>
      </c>
      <c r="F2048">
        <f>VLOOKUP(C2048,Меню!A:E,5,0)</f>
        <v>100</v>
      </c>
    </row>
    <row r="2049" spans="1:6" ht="15.75" hidden="1" customHeight="1" x14ac:dyDescent="0.35">
      <c r="A2049" s="1">
        <v>2048</v>
      </c>
      <c r="B2049" s="1">
        <v>393</v>
      </c>
      <c r="C2049" s="1">
        <v>46</v>
      </c>
      <c r="D2049" t="str">
        <f>VLOOKUP(B2049,Заказы!A:C,3,0)</f>
        <v>2023-06-16 18:55:00</v>
      </c>
      <c r="E2049" t="str">
        <f>VLOOKUP(C2049,Меню!A:E,4,0)</f>
        <v>Суши</v>
      </c>
      <c r="F2049">
        <f>VLOOKUP(C2049,Меню!A:E,5,0)</f>
        <v>200</v>
      </c>
    </row>
    <row r="2050" spans="1:6" ht="15.75" hidden="1" customHeight="1" x14ac:dyDescent="0.35">
      <c r="A2050" s="1">
        <v>2049</v>
      </c>
      <c r="B2050" s="1">
        <v>393</v>
      </c>
      <c r="C2050" s="1">
        <v>45</v>
      </c>
      <c r="D2050" t="str">
        <f>VLOOKUP(B2050,Заказы!A:C,3,0)</f>
        <v>2023-06-16 18:55:00</v>
      </c>
      <c r="E2050" t="str">
        <f>VLOOKUP(C2050,Меню!A:E,4,0)</f>
        <v>Суши</v>
      </c>
      <c r="F2050">
        <f>VLOOKUP(C2050,Меню!A:E,5,0)</f>
        <v>200</v>
      </c>
    </row>
    <row r="2051" spans="1:6" ht="15.75" hidden="1" customHeight="1" x14ac:dyDescent="0.35">
      <c r="A2051" s="1">
        <v>2050</v>
      </c>
      <c r="B2051" s="1">
        <v>394</v>
      </c>
      <c r="C2051" s="1">
        <v>5</v>
      </c>
      <c r="D2051" t="str">
        <f>VLOOKUP(B2051,Заказы!A:C,3,0)</f>
        <v>2023-06-16 20:39:00</v>
      </c>
      <c r="E2051" t="str">
        <f>VLOOKUP(C2051,Меню!A:E,4,0)</f>
        <v>Завтрак</v>
      </c>
      <c r="F2051">
        <f>VLOOKUP(C2051,Меню!A:E,5,0)</f>
        <v>220</v>
      </c>
    </row>
    <row r="2052" spans="1:6" ht="15.75" hidden="1" customHeight="1" x14ac:dyDescent="0.35">
      <c r="A2052" s="1">
        <v>2051</v>
      </c>
      <c r="B2052" s="1">
        <v>394</v>
      </c>
      <c r="C2052" s="1">
        <v>36</v>
      </c>
      <c r="D2052" t="str">
        <f>VLOOKUP(B2052,Заказы!A:C,3,0)</f>
        <v>2023-06-16 20:39:00</v>
      </c>
      <c r="E2052" t="str">
        <f>VLOOKUP(C2052,Меню!A:E,4,0)</f>
        <v>Десерт</v>
      </c>
      <c r="F2052">
        <f>VLOOKUP(C2052,Меню!A:E,5,0)</f>
        <v>150</v>
      </c>
    </row>
    <row r="2053" spans="1:6" ht="15.75" hidden="1" customHeight="1" x14ac:dyDescent="0.35">
      <c r="A2053" s="1">
        <v>2052</v>
      </c>
      <c r="B2053" s="1">
        <v>394</v>
      </c>
      <c r="C2053" s="1">
        <v>53</v>
      </c>
      <c r="D2053" t="str">
        <f>VLOOKUP(B2053,Заказы!A:C,3,0)</f>
        <v>2023-06-16 20:39:00</v>
      </c>
      <c r="E2053" t="str">
        <f>VLOOKUP(C2053,Меню!A:E,4,0)</f>
        <v>Суши</v>
      </c>
      <c r="F2053">
        <f>VLOOKUP(C2053,Меню!A:E,5,0)</f>
        <v>100</v>
      </c>
    </row>
    <row r="2054" spans="1:6" ht="15.75" hidden="1" customHeight="1" x14ac:dyDescent="0.35">
      <c r="A2054" s="1">
        <v>2053</v>
      </c>
      <c r="B2054" s="1">
        <v>394</v>
      </c>
      <c r="C2054" s="1">
        <v>7</v>
      </c>
      <c r="D2054" t="str">
        <f>VLOOKUP(B2054,Заказы!A:C,3,0)</f>
        <v>2023-06-16 20:39:00</v>
      </c>
      <c r="E2054" t="str">
        <f>VLOOKUP(C2054,Меню!A:E,4,0)</f>
        <v>Завтрак</v>
      </c>
      <c r="F2054">
        <f>VLOOKUP(C2054,Меню!A:E,5,0)</f>
        <v>200</v>
      </c>
    </row>
    <row r="2055" spans="1:6" ht="15.75" hidden="1" customHeight="1" x14ac:dyDescent="0.35">
      <c r="A2055" s="1">
        <v>2054</v>
      </c>
      <c r="B2055" s="1">
        <v>394</v>
      </c>
      <c r="C2055" s="1">
        <v>56</v>
      </c>
      <c r="D2055" t="str">
        <f>VLOOKUP(B2055,Заказы!A:C,3,0)</f>
        <v>2023-06-16 20:39:00</v>
      </c>
      <c r="E2055" t="str">
        <f>VLOOKUP(C2055,Меню!A:E,4,0)</f>
        <v>Суши</v>
      </c>
      <c r="F2055">
        <f>VLOOKUP(C2055,Меню!A:E,5,0)</f>
        <v>200</v>
      </c>
    </row>
    <row r="2056" spans="1:6" ht="15.75" hidden="1" customHeight="1" x14ac:dyDescent="0.35">
      <c r="A2056" s="1">
        <v>2055</v>
      </c>
      <c r="B2056" s="1">
        <v>394</v>
      </c>
      <c r="C2056" s="1">
        <v>42</v>
      </c>
      <c r="D2056" t="str">
        <f>VLOOKUP(B2056,Заказы!A:C,3,0)</f>
        <v>2023-06-16 20:39:00</v>
      </c>
      <c r="E2056" t="str">
        <f>VLOOKUP(C2056,Меню!A:E,4,0)</f>
        <v>Суши</v>
      </c>
      <c r="F2056">
        <f>VLOOKUP(C2056,Меню!A:E,5,0)</f>
        <v>250</v>
      </c>
    </row>
    <row r="2057" spans="1:6" ht="15.75" hidden="1" customHeight="1" x14ac:dyDescent="0.35">
      <c r="A2057" s="1">
        <v>2056</v>
      </c>
      <c r="B2057" s="1">
        <v>395</v>
      </c>
      <c r="C2057" s="1">
        <v>15</v>
      </c>
      <c r="D2057" t="str">
        <f>VLOOKUP(B2057,Заказы!A:C,3,0)</f>
        <v>2023-06-16 20:57:00</v>
      </c>
      <c r="E2057" t="str">
        <f>VLOOKUP(C2057,Меню!A:E,4,0)</f>
        <v>Первое</v>
      </c>
      <c r="F2057">
        <f>VLOOKUP(C2057,Меню!A:E,5,0)</f>
        <v>250</v>
      </c>
    </row>
    <row r="2058" spans="1:6" ht="15.75" hidden="1" customHeight="1" x14ac:dyDescent="0.35">
      <c r="A2058" s="1">
        <v>2057</v>
      </c>
      <c r="B2058" s="1">
        <v>395</v>
      </c>
      <c r="C2058" s="1">
        <v>21</v>
      </c>
      <c r="D2058" t="str">
        <f>VLOOKUP(B2058,Заказы!A:C,3,0)</f>
        <v>2023-06-16 20:57:00</v>
      </c>
      <c r="E2058" t="str">
        <f>VLOOKUP(C2058,Меню!A:E,4,0)</f>
        <v>Салат</v>
      </c>
      <c r="F2058">
        <f>VLOOKUP(C2058,Меню!A:E,5,0)</f>
        <v>250</v>
      </c>
    </row>
    <row r="2059" spans="1:6" ht="15.75" hidden="1" customHeight="1" x14ac:dyDescent="0.35">
      <c r="A2059" s="1">
        <v>2058</v>
      </c>
      <c r="B2059" s="1">
        <v>395</v>
      </c>
      <c r="C2059" s="1">
        <v>41</v>
      </c>
      <c r="D2059" t="str">
        <f>VLOOKUP(B2059,Заказы!A:C,3,0)</f>
        <v>2023-06-16 20:57:00</v>
      </c>
      <c r="E2059" t="str">
        <f>VLOOKUP(C2059,Меню!A:E,4,0)</f>
        <v>Суши</v>
      </c>
      <c r="F2059">
        <f>VLOOKUP(C2059,Меню!A:E,5,0)</f>
        <v>220</v>
      </c>
    </row>
    <row r="2060" spans="1:6" ht="15.75" hidden="1" customHeight="1" x14ac:dyDescent="0.35">
      <c r="A2060" s="1">
        <v>2059</v>
      </c>
      <c r="B2060" s="1">
        <v>395</v>
      </c>
      <c r="C2060" s="1">
        <v>26</v>
      </c>
      <c r="D2060" t="str">
        <f>VLOOKUP(B2060,Заказы!A:C,3,0)</f>
        <v>2023-06-16 20:57:00</v>
      </c>
      <c r="E2060" t="str">
        <f>VLOOKUP(C2060,Меню!A:E,4,0)</f>
        <v>Салат</v>
      </c>
      <c r="F2060">
        <f>VLOOKUP(C2060,Меню!A:E,5,0)</f>
        <v>250</v>
      </c>
    </row>
    <row r="2061" spans="1:6" ht="15.75" hidden="1" customHeight="1" x14ac:dyDescent="0.35">
      <c r="A2061" s="1">
        <v>2060</v>
      </c>
      <c r="B2061" s="1">
        <v>395</v>
      </c>
      <c r="C2061" s="1">
        <v>37</v>
      </c>
      <c r="D2061" t="str">
        <f>VLOOKUP(B2061,Заказы!A:C,3,0)</f>
        <v>2023-06-16 20:57:00</v>
      </c>
      <c r="E2061" t="str">
        <f>VLOOKUP(C2061,Меню!A:E,4,0)</f>
        <v>Десерт</v>
      </c>
      <c r="F2061">
        <f>VLOOKUP(C2061,Меню!A:E,5,0)</f>
        <v>100</v>
      </c>
    </row>
    <row r="2062" spans="1:6" ht="15.75" hidden="1" customHeight="1" x14ac:dyDescent="0.35">
      <c r="A2062" s="1">
        <v>2061</v>
      </c>
      <c r="B2062" s="1">
        <v>396</v>
      </c>
      <c r="C2062" s="1">
        <v>48</v>
      </c>
      <c r="D2062" t="str">
        <f>VLOOKUP(B2062,Заказы!A:C,3,0)</f>
        <v>2023-06-17 15:54:00</v>
      </c>
      <c r="E2062" t="str">
        <f>VLOOKUP(C2062,Меню!A:E,4,0)</f>
        <v>Суши</v>
      </c>
      <c r="F2062">
        <f>VLOOKUP(C2062,Меню!A:E,5,0)</f>
        <v>200</v>
      </c>
    </row>
    <row r="2063" spans="1:6" ht="15.75" hidden="1" customHeight="1" x14ac:dyDescent="0.35">
      <c r="A2063" s="1">
        <v>2062</v>
      </c>
      <c r="B2063" s="1">
        <v>396</v>
      </c>
      <c r="C2063" s="1">
        <v>22</v>
      </c>
      <c r="D2063" t="str">
        <f>VLOOKUP(B2063,Заказы!A:C,3,0)</f>
        <v>2023-06-17 15:54:00</v>
      </c>
      <c r="E2063" t="str">
        <f>VLOOKUP(C2063,Меню!A:E,4,0)</f>
        <v>Салат</v>
      </c>
      <c r="F2063">
        <f>VLOOKUP(C2063,Меню!A:E,5,0)</f>
        <v>250</v>
      </c>
    </row>
    <row r="2064" spans="1:6" ht="15.75" hidden="1" customHeight="1" x14ac:dyDescent="0.35">
      <c r="A2064" s="1">
        <v>2063</v>
      </c>
      <c r="B2064" s="1">
        <v>396</v>
      </c>
      <c r="C2064" s="1">
        <v>15</v>
      </c>
      <c r="D2064" t="str">
        <f>VLOOKUP(B2064,Заказы!A:C,3,0)</f>
        <v>2023-06-17 15:54:00</v>
      </c>
      <c r="E2064" t="str">
        <f>VLOOKUP(C2064,Меню!A:E,4,0)</f>
        <v>Первое</v>
      </c>
      <c r="F2064">
        <f>VLOOKUP(C2064,Меню!A:E,5,0)</f>
        <v>250</v>
      </c>
    </row>
    <row r="2065" spans="1:6" ht="15.75" hidden="1" customHeight="1" x14ac:dyDescent="0.35">
      <c r="A2065" s="1">
        <v>2064</v>
      </c>
      <c r="B2065" s="1">
        <v>396</v>
      </c>
      <c r="C2065" s="1">
        <v>39</v>
      </c>
      <c r="D2065" t="str">
        <f>VLOOKUP(B2065,Заказы!A:C,3,0)</f>
        <v>2023-06-17 15:54:00</v>
      </c>
      <c r="E2065" t="str">
        <f>VLOOKUP(C2065,Меню!A:E,4,0)</f>
        <v>Десерт</v>
      </c>
      <c r="F2065">
        <f>VLOOKUP(C2065,Меню!A:E,5,0)</f>
        <v>150</v>
      </c>
    </row>
    <row r="2066" spans="1:6" ht="15.75" hidden="1" customHeight="1" x14ac:dyDescent="0.35">
      <c r="A2066" s="1">
        <v>2065</v>
      </c>
      <c r="B2066" s="1">
        <v>396</v>
      </c>
      <c r="C2066" s="1">
        <v>3</v>
      </c>
      <c r="D2066" t="str">
        <f>VLOOKUP(B2066,Заказы!A:C,3,0)</f>
        <v>2023-06-17 15:54:00</v>
      </c>
      <c r="E2066" t="str">
        <f>VLOOKUP(C2066,Меню!A:E,4,0)</f>
        <v>Завтрак</v>
      </c>
      <c r="F2066">
        <f>VLOOKUP(C2066,Меню!A:E,5,0)</f>
        <v>150</v>
      </c>
    </row>
    <row r="2067" spans="1:6" ht="15.75" hidden="1" customHeight="1" x14ac:dyDescent="0.35">
      <c r="A2067" s="1">
        <v>2066</v>
      </c>
      <c r="B2067" s="1">
        <v>396</v>
      </c>
      <c r="C2067" s="1">
        <v>5</v>
      </c>
      <c r="D2067" t="str">
        <f>VLOOKUP(B2067,Заказы!A:C,3,0)</f>
        <v>2023-06-17 15:54:00</v>
      </c>
      <c r="E2067" t="str">
        <f>VLOOKUP(C2067,Меню!A:E,4,0)</f>
        <v>Завтрак</v>
      </c>
      <c r="F2067">
        <f>VLOOKUP(C2067,Меню!A:E,5,0)</f>
        <v>220</v>
      </c>
    </row>
    <row r="2068" spans="1:6" ht="15.75" hidden="1" customHeight="1" x14ac:dyDescent="0.35">
      <c r="A2068" s="1">
        <v>2067</v>
      </c>
      <c r="B2068" s="1">
        <v>397</v>
      </c>
      <c r="C2068" s="1">
        <v>52</v>
      </c>
      <c r="D2068" t="str">
        <f>VLOOKUP(B2068,Заказы!A:C,3,0)</f>
        <v>2023-06-17 15:59:00</v>
      </c>
      <c r="E2068" t="str">
        <f>VLOOKUP(C2068,Меню!A:E,4,0)</f>
        <v>Суши</v>
      </c>
      <c r="F2068">
        <f>VLOOKUP(C2068,Меню!A:E,5,0)</f>
        <v>100</v>
      </c>
    </row>
    <row r="2069" spans="1:6" ht="15.75" hidden="1" customHeight="1" x14ac:dyDescent="0.35">
      <c r="A2069" s="1">
        <v>2068</v>
      </c>
      <c r="B2069" s="1">
        <v>397</v>
      </c>
      <c r="C2069" s="1">
        <v>10</v>
      </c>
      <c r="D2069" t="str">
        <f>VLOOKUP(B2069,Заказы!A:C,3,0)</f>
        <v>2023-06-17 15:59:00</v>
      </c>
      <c r="E2069" t="str">
        <f>VLOOKUP(C2069,Меню!A:E,4,0)</f>
        <v>Завтрак</v>
      </c>
      <c r="F2069">
        <f>VLOOKUP(C2069,Меню!A:E,5,0)</f>
        <v>200</v>
      </c>
    </row>
    <row r="2070" spans="1:6" ht="15.75" hidden="1" customHeight="1" x14ac:dyDescent="0.35">
      <c r="A2070" s="1">
        <v>2069</v>
      </c>
      <c r="B2070" s="1">
        <v>397</v>
      </c>
      <c r="C2070" s="1">
        <v>3</v>
      </c>
      <c r="D2070" t="str">
        <f>VLOOKUP(B2070,Заказы!A:C,3,0)</f>
        <v>2023-06-17 15:59:00</v>
      </c>
      <c r="E2070" t="str">
        <f>VLOOKUP(C2070,Меню!A:E,4,0)</f>
        <v>Завтрак</v>
      </c>
      <c r="F2070">
        <f>VLOOKUP(C2070,Меню!A:E,5,0)</f>
        <v>150</v>
      </c>
    </row>
    <row r="2071" spans="1:6" ht="15.75" hidden="1" customHeight="1" x14ac:dyDescent="0.35">
      <c r="A2071" s="1">
        <v>2070</v>
      </c>
      <c r="B2071" s="1">
        <v>397</v>
      </c>
      <c r="C2071" s="1">
        <v>2</v>
      </c>
      <c r="D2071" t="str">
        <f>VLOOKUP(B2071,Заказы!A:C,3,0)</f>
        <v>2023-06-17 15:59:00</v>
      </c>
      <c r="E2071" t="str">
        <f>VLOOKUP(C2071,Меню!A:E,4,0)</f>
        <v>Завтрак</v>
      </c>
      <c r="F2071">
        <f>VLOOKUP(C2071,Меню!A:E,5,0)</f>
        <v>250</v>
      </c>
    </row>
    <row r="2072" spans="1:6" ht="15.75" hidden="1" customHeight="1" x14ac:dyDescent="0.35">
      <c r="A2072" s="1">
        <v>2071</v>
      </c>
      <c r="B2072" s="1">
        <v>397</v>
      </c>
      <c r="C2072" s="1">
        <v>7</v>
      </c>
      <c r="D2072" t="str">
        <f>VLOOKUP(B2072,Заказы!A:C,3,0)</f>
        <v>2023-06-17 15:59:00</v>
      </c>
      <c r="E2072" t="str">
        <f>VLOOKUP(C2072,Меню!A:E,4,0)</f>
        <v>Завтрак</v>
      </c>
      <c r="F2072">
        <f>VLOOKUP(C2072,Меню!A:E,5,0)</f>
        <v>200</v>
      </c>
    </row>
    <row r="2073" spans="1:6" ht="15.75" hidden="1" customHeight="1" x14ac:dyDescent="0.35">
      <c r="A2073" s="1">
        <v>2072</v>
      </c>
      <c r="B2073" s="1">
        <v>397</v>
      </c>
      <c r="C2073" s="1">
        <v>15</v>
      </c>
      <c r="D2073" t="str">
        <f>VLOOKUP(B2073,Заказы!A:C,3,0)</f>
        <v>2023-06-17 15:59:00</v>
      </c>
      <c r="E2073" t="str">
        <f>VLOOKUP(C2073,Меню!A:E,4,0)</f>
        <v>Первое</v>
      </c>
      <c r="F2073">
        <f>VLOOKUP(C2073,Меню!A:E,5,0)</f>
        <v>250</v>
      </c>
    </row>
    <row r="2074" spans="1:6" ht="15.75" hidden="1" customHeight="1" x14ac:dyDescent="0.35">
      <c r="A2074" s="1">
        <v>2073</v>
      </c>
      <c r="B2074" s="1">
        <v>398</v>
      </c>
      <c r="C2074" s="1">
        <v>46</v>
      </c>
      <c r="D2074" t="str">
        <f>VLOOKUP(B2074,Заказы!A:C,3,0)</f>
        <v>2023-06-17 16:41:00</v>
      </c>
      <c r="E2074" t="str">
        <f>VLOOKUP(C2074,Меню!A:E,4,0)</f>
        <v>Суши</v>
      </c>
      <c r="F2074">
        <f>VLOOKUP(C2074,Меню!A:E,5,0)</f>
        <v>200</v>
      </c>
    </row>
    <row r="2075" spans="1:6" ht="15.75" hidden="1" customHeight="1" x14ac:dyDescent="0.35">
      <c r="A2075" s="1">
        <v>2074</v>
      </c>
      <c r="B2075" s="1">
        <v>398</v>
      </c>
      <c r="C2075" s="1">
        <v>48</v>
      </c>
      <c r="D2075" t="str">
        <f>VLOOKUP(B2075,Заказы!A:C,3,0)</f>
        <v>2023-06-17 16:41:00</v>
      </c>
      <c r="E2075" t="str">
        <f>VLOOKUP(C2075,Меню!A:E,4,0)</f>
        <v>Суши</v>
      </c>
      <c r="F2075">
        <f>VLOOKUP(C2075,Меню!A:E,5,0)</f>
        <v>200</v>
      </c>
    </row>
    <row r="2076" spans="1:6" ht="15.75" hidden="1" customHeight="1" x14ac:dyDescent="0.35">
      <c r="A2076" s="1">
        <v>2075</v>
      </c>
      <c r="B2076" s="1">
        <v>398</v>
      </c>
      <c r="C2076" s="1">
        <v>11</v>
      </c>
      <c r="D2076" t="str">
        <f>VLOOKUP(B2076,Заказы!A:C,3,0)</f>
        <v>2023-06-17 16:41:00</v>
      </c>
      <c r="E2076" t="str">
        <f>VLOOKUP(C2076,Меню!A:E,4,0)</f>
        <v>Первое</v>
      </c>
      <c r="F2076">
        <f>VLOOKUP(C2076,Меню!A:E,5,0)</f>
        <v>300</v>
      </c>
    </row>
    <row r="2077" spans="1:6" ht="15.75" hidden="1" customHeight="1" x14ac:dyDescent="0.35">
      <c r="A2077" s="1">
        <v>2076</v>
      </c>
      <c r="B2077" s="1">
        <v>398</v>
      </c>
      <c r="C2077" s="1">
        <v>29</v>
      </c>
      <c r="D2077" t="str">
        <f>VLOOKUP(B2077,Заказы!A:C,3,0)</f>
        <v>2023-06-17 16:41:00</v>
      </c>
      <c r="E2077" t="str">
        <f>VLOOKUP(C2077,Меню!A:E,4,0)</f>
        <v>Салат</v>
      </c>
      <c r="F2077">
        <f>VLOOKUP(C2077,Меню!A:E,5,0)</f>
        <v>250</v>
      </c>
    </row>
    <row r="2078" spans="1:6" ht="15.75" hidden="1" customHeight="1" x14ac:dyDescent="0.35">
      <c r="A2078" s="1">
        <v>2077</v>
      </c>
      <c r="B2078" s="1">
        <v>399</v>
      </c>
      <c r="C2078" s="1">
        <v>1</v>
      </c>
      <c r="D2078" t="str">
        <f>VLOOKUP(B2078,Заказы!A:C,3,0)</f>
        <v>2023-06-17 20:59:00</v>
      </c>
      <c r="E2078" t="str">
        <f>VLOOKUP(C2078,Меню!A:E,4,0)</f>
        <v>Завтрак</v>
      </c>
      <c r="F2078">
        <f>VLOOKUP(C2078,Меню!A:E,5,0)</f>
        <v>200</v>
      </c>
    </row>
    <row r="2079" spans="1:6" ht="15.75" hidden="1" customHeight="1" x14ac:dyDescent="0.35">
      <c r="A2079" s="1">
        <v>2078</v>
      </c>
      <c r="B2079" s="1">
        <v>399</v>
      </c>
      <c r="C2079" s="1">
        <v>41</v>
      </c>
      <c r="D2079" t="str">
        <f>VLOOKUP(B2079,Заказы!A:C,3,0)</f>
        <v>2023-06-17 20:59:00</v>
      </c>
      <c r="E2079" t="str">
        <f>VLOOKUP(C2079,Меню!A:E,4,0)</f>
        <v>Суши</v>
      </c>
      <c r="F2079">
        <f>VLOOKUP(C2079,Меню!A:E,5,0)</f>
        <v>220</v>
      </c>
    </row>
    <row r="2080" spans="1:6" ht="15.75" hidden="1" customHeight="1" x14ac:dyDescent="0.35">
      <c r="A2080" s="1">
        <v>2079</v>
      </c>
      <c r="B2080" s="1">
        <v>399</v>
      </c>
      <c r="C2080" s="1">
        <v>44</v>
      </c>
      <c r="D2080" t="str">
        <f>VLOOKUP(B2080,Заказы!A:C,3,0)</f>
        <v>2023-06-17 20:59:00</v>
      </c>
      <c r="E2080" t="str">
        <f>VLOOKUP(C2080,Меню!A:E,4,0)</f>
        <v>Суши</v>
      </c>
      <c r="F2080">
        <f>VLOOKUP(C2080,Меню!A:E,5,0)</f>
        <v>250</v>
      </c>
    </row>
    <row r="2081" spans="1:6" ht="15.75" hidden="1" customHeight="1" x14ac:dyDescent="0.35">
      <c r="A2081" s="1">
        <v>2080</v>
      </c>
      <c r="B2081" s="1">
        <v>399</v>
      </c>
      <c r="C2081" s="1">
        <v>17</v>
      </c>
      <c r="D2081" t="str">
        <f>VLOOKUP(B2081,Заказы!A:C,3,0)</f>
        <v>2023-06-17 20:59:00</v>
      </c>
      <c r="E2081" t="str">
        <f>VLOOKUP(C2081,Меню!A:E,4,0)</f>
        <v>Первое</v>
      </c>
      <c r="F2081">
        <f>VLOOKUP(C2081,Меню!A:E,5,0)</f>
        <v>250</v>
      </c>
    </row>
    <row r="2082" spans="1:6" ht="15.75" hidden="1" customHeight="1" x14ac:dyDescent="0.35">
      <c r="A2082" s="1">
        <v>2081</v>
      </c>
      <c r="B2082" s="1">
        <v>399</v>
      </c>
      <c r="C2082" s="1">
        <v>2</v>
      </c>
      <c r="D2082" t="str">
        <f>VLOOKUP(B2082,Заказы!A:C,3,0)</f>
        <v>2023-06-17 20:59:00</v>
      </c>
      <c r="E2082" t="str">
        <f>VLOOKUP(C2082,Меню!A:E,4,0)</f>
        <v>Завтрак</v>
      </c>
      <c r="F2082">
        <f>VLOOKUP(C2082,Меню!A:E,5,0)</f>
        <v>250</v>
      </c>
    </row>
    <row r="2083" spans="1:6" ht="15.75" hidden="1" customHeight="1" x14ac:dyDescent="0.35">
      <c r="A2083" s="1">
        <v>2082</v>
      </c>
      <c r="B2083" s="1">
        <v>399</v>
      </c>
      <c r="C2083" s="1">
        <v>3</v>
      </c>
      <c r="D2083" t="str">
        <f>VLOOKUP(B2083,Заказы!A:C,3,0)</f>
        <v>2023-06-17 20:59:00</v>
      </c>
      <c r="E2083" t="str">
        <f>VLOOKUP(C2083,Меню!A:E,4,0)</f>
        <v>Завтрак</v>
      </c>
      <c r="F2083">
        <f>VLOOKUP(C2083,Меню!A:E,5,0)</f>
        <v>150</v>
      </c>
    </row>
    <row r="2084" spans="1:6" ht="15.75" hidden="1" customHeight="1" x14ac:dyDescent="0.35">
      <c r="A2084" s="1">
        <v>2083</v>
      </c>
      <c r="B2084" s="1">
        <v>399</v>
      </c>
      <c r="C2084" s="1">
        <v>32</v>
      </c>
      <c r="D2084" t="str">
        <f>VLOOKUP(B2084,Заказы!A:C,3,0)</f>
        <v>2023-06-17 20:59:00</v>
      </c>
      <c r="E2084" t="str">
        <f>VLOOKUP(C2084,Меню!A:E,4,0)</f>
        <v>Десерт</v>
      </c>
      <c r="F2084">
        <f>VLOOKUP(C2084,Меню!A:E,5,0)</f>
        <v>150</v>
      </c>
    </row>
    <row r="2085" spans="1:6" ht="15.75" hidden="1" customHeight="1" x14ac:dyDescent="0.35">
      <c r="A2085" s="1">
        <v>2084</v>
      </c>
      <c r="B2085" s="1">
        <v>399</v>
      </c>
      <c r="C2085" s="1">
        <v>25</v>
      </c>
      <c r="D2085" t="str">
        <f>VLOOKUP(B2085,Заказы!A:C,3,0)</f>
        <v>2023-06-17 20:59:00</v>
      </c>
      <c r="E2085" t="str">
        <f>VLOOKUP(C2085,Меню!A:E,4,0)</f>
        <v>Салат</v>
      </c>
      <c r="F2085">
        <f>VLOOKUP(C2085,Меню!A:E,5,0)</f>
        <v>250</v>
      </c>
    </row>
    <row r="2086" spans="1:6" ht="15.75" hidden="1" customHeight="1" x14ac:dyDescent="0.35">
      <c r="A2086" s="1">
        <v>2085</v>
      </c>
      <c r="B2086" s="1">
        <v>400</v>
      </c>
      <c r="C2086" s="1">
        <v>1</v>
      </c>
      <c r="D2086" t="str">
        <f>VLOOKUP(B2086,Заказы!A:C,3,0)</f>
        <v>2023-06-18 16:46:00</v>
      </c>
      <c r="E2086" t="str">
        <f>VLOOKUP(C2086,Меню!A:E,4,0)</f>
        <v>Завтрак</v>
      </c>
      <c r="F2086">
        <f>VLOOKUP(C2086,Меню!A:E,5,0)</f>
        <v>200</v>
      </c>
    </row>
    <row r="2087" spans="1:6" ht="15.75" hidden="1" customHeight="1" x14ac:dyDescent="0.35">
      <c r="A2087" s="1">
        <v>2086</v>
      </c>
      <c r="B2087" s="1">
        <v>400</v>
      </c>
      <c r="C2087" s="1">
        <v>19</v>
      </c>
      <c r="D2087" t="str">
        <f>VLOOKUP(B2087,Заказы!A:C,3,0)</f>
        <v>2023-06-18 16:46:00</v>
      </c>
      <c r="E2087" t="str">
        <f>VLOOKUP(C2087,Меню!A:E,4,0)</f>
        <v>Первое</v>
      </c>
      <c r="F2087">
        <f>VLOOKUP(C2087,Меню!A:E,5,0)</f>
        <v>300</v>
      </c>
    </row>
    <row r="2088" spans="1:6" ht="15.75" hidden="1" customHeight="1" x14ac:dyDescent="0.35">
      <c r="A2088" s="1">
        <v>2087</v>
      </c>
      <c r="B2088" s="1">
        <v>400</v>
      </c>
      <c r="C2088" s="1">
        <v>26</v>
      </c>
      <c r="D2088" t="str">
        <f>VLOOKUP(B2088,Заказы!A:C,3,0)</f>
        <v>2023-06-18 16:46:00</v>
      </c>
      <c r="E2088" t="str">
        <f>VLOOKUP(C2088,Меню!A:E,4,0)</f>
        <v>Салат</v>
      </c>
      <c r="F2088">
        <f>VLOOKUP(C2088,Меню!A:E,5,0)</f>
        <v>250</v>
      </c>
    </row>
    <row r="2089" spans="1:6" ht="15.75" hidden="1" customHeight="1" x14ac:dyDescent="0.35">
      <c r="A2089" s="1">
        <v>2088</v>
      </c>
      <c r="B2089" s="1">
        <v>401</v>
      </c>
      <c r="C2089" s="1">
        <v>41</v>
      </c>
      <c r="D2089" t="str">
        <f>VLOOKUP(B2089,Заказы!A:C,3,0)</f>
        <v>2023-06-18 18:46:00</v>
      </c>
      <c r="E2089" t="str">
        <f>VLOOKUP(C2089,Меню!A:E,4,0)</f>
        <v>Суши</v>
      </c>
      <c r="F2089">
        <f>VLOOKUP(C2089,Меню!A:E,5,0)</f>
        <v>220</v>
      </c>
    </row>
    <row r="2090" spans="1:6" ht="15.75" hidden="1" customHeight="1" x14ac:dyDescent="0.35">
      <c r="A2090" s="1">
        <v>2089</v>
      </c>
      <c r="B2090" s="1">
        <v>401</v>
      </c>
      <c r="C2090" s="1">
        <v>54</v>
      </c>
      <c r="D2090" t="str">
        <f>VLOOKUP(B2090,Заказы!A:C,3,0)</f>
        <v>2023-06-18 18:46:00</v>
      </c>
      <c r="E2090" t="str">
        <f>VLOOKUP(C2090,Меню!A:E,4,0)</f>
        <v>Суши</v>
      </c>
      <c r="F2090">
        <f>VLOOKUP(C2090,Меню!A:E,5,0)</f>
        <v>100</v>
      </c>
    </row>
    <row r="2091" spans="1:6" ht="15.75" hidden="1" customHeight="1" x14ac:dyDescent="0.35">
      <c r="A2091" s="1">
        <v>2090</v>
      </c>
      <c r="B2091" s="1">
        <v>401</v>
      </c>
      <c r="C2091" s="1">
        <v>54</v>
      </c>
      <c r="D2091" t="str">
        <f>VLOOKUP(B2091,Заказы!A:C,3,0)</f>
        <v>2023-06-18 18:46:00</v>
      </c>
      <c r="E2091" t="str">
        <f>VLOOKUP(C2091,Меню!A:E,4,0)</f>
        <v>Суши</v>
      </c>
      <c r="F2091">
        <f>VLOOKUP(C2091,Меню!A:E,5,0)</f>
        <v>100</v>
      </c>
    </row>
    <row r="2092" spans="1:6" ht="15.75" hidden="1" customHeight="1" x14ac:dyDescent="0.35">
      <c r="A2092" s="1">
        <v>2091</v>
      </c>
      <c r="B2092" s="1">
        <v>401</v>
      </c>
      <c r="C2092" s="1">
        <v>10</v>
      </c>
      <c r="D2092" t="str">
        <f>VLOOKUP(B2092,Заказы!A:C,3,0)</f>
        <v>2023-06-18 18:46:00</v>
      </c>
      <c r="E2092" t="str">
        <f>VLOOKUP(C2092,Меню!A:E,4,0)</f>
        <v>Завтрак</v>
      </c>
      <c r="F2092">
        <f>VLOOKUP(C2092,Меню!A:E,5,0)</f>
        <v>200</v>
      </c>
    </row>
    <row r="2093" spans="1:6" ht="15.75" hidden="1" customHeight="1" x14ac:dyDescent="0.35">
      <c r="A2093" s="1">
        <v>2092</v>
      </c>
      <c r="B2093" s="1">
        <v>401</v>
      </c>
      <c r="C2093" s="1">
        <v>44</v>
      </c>
      <c r="D2093" t="str">
        <f>VLOOKUP(B2093,Заказы!A:C,3,0)</f>
        <v>2023-06-18 18:46:00</v>
      </c>
      <c r="E2093" t="str">
        <f>VLOOKUP(C2093,Меню!A:E,4,0)</f>
        <v>Суши</v>
      </c>
      <c r="F2093">
        <f>VLOOKUP(C2093,Меню!A:E,5,0)</f>
        <v>250</v>
      </c>
    </row>
    <row r="2094" spans="1:6" ht="15.75" hidden="1" customHeight="1" x14ac:dyDescent="0.35">
      <c r="A2094" s="1">
        <v>2093</v>
      </c>
      <c r="B2094" s="1">
        <v>401</v>
      </c>
      <c r="C2094" s="1">
        <v>22</v>
      </c>
      <c r="D2094" t="str">
        <f>VLOOKUP(B2094,Заказы!A:C,3,0)</f>
        <v>2023-06-18 18:46:00</v>
      </c>
      <c r="E2094" t="str">
        <f>VLOOKUP(C2094,Меню!A:E,4,0)</f>
        <v>Салат</v>
      </c>
      <c r="F2094">
        <f>VLOOKUP(C2094,Меню!A:E,5,0)</f>
        <v>250</v>
      </c>
    </row>
    <row r="2095" spans="1:6" ht="15.75" hidden="1" customHeight="1" x14ac:dyDescent="0.35">
      <c r="A2095" s="1">
        <v>2094</v>
      </c>
      <c r="B2095" s="1">
        <v>402</v>
      </c>
      <c r="C2095" s="1">
        <v>22</v>
      </c>
      <c r="D2095" t="str">
        <f>VLOOKUP(B2095,Заказы!A:C,3,0)</f>
        <v>2023-06-18 21:08:00</v>
      </c>
      <c r="E2095" t="str">
        <f>VLOOKUP(C2095,Меню!A:E,4,0)</f>
        <v>Салат</v>
      </c>
      <c r="F2095">
        <f>VLOOKUP(C2095,Меню!A:E,5,0)</f>
        <v>250</v>
      </c>
    </row>
    <row r="2096" spans="1:6" ht="15.75" hidden="1" customHeight="1" x14ac:dyDescent="0.35">
      <c r="A2096" s="1">
        <v>2095</v>
      </c>
      <c r="B2096" s="1">
        <v>402</v>
      </c>
      <c r="C2096" s="1">
        <v>38</v>
      </c>
      <c r="D2096" t="str">
        <f>VLOOKUP(B2096,Заказы!A:C,3,0)</f>
        <v>2023-06-18 21:08:00</v>
      </c>
      <c r="E2096" t="str">
        <f>VLOOKUP(C2096,Меню!A:E,4,0)</f>
        <v>Десерт</v>
      </c>
      <c r="F2096">
        <f>VLOOKUP(C2096,Меню!A:E,5,0)</f>
        <v>150</v>
      </c>
    </row>
    <row r="2097" spans="1:6" ht="15.75" hidden="1" customHeight="1" x14ac:dyDescent="0.35">
      <c r="A2097" s="1">
        <v>2096</v>
      </c>
      <c r="B2097" s="1">
        <v>402</v>
      </c>
      <c r="C2097" s="1">
        <v>51</v>
      </c>
      <c r="D2097" t="str">
        <f>VLOOKUP(B2097,Заказы!A:C,3,0)</f>
        <v>2023-06-18 21:08:00</v>
      </c>
      <c r="E2097" t="str">
        <f>VLOOKUP(C2097,Меню!A:E,4,0)</f>
        <v>Суши</v>
      </c>
      <c r="F2097">
        <f>VLOOKUP(C2097,Меню!A:E,5,0)</f>
        <v>100</v>
      </c>
    </row>
    <row r="2098" spans="1:6" ht="15.75" hidden="1" customHeight="1" x14ac:dyDescent="0.35">
      <c r="A2098" s="1">
        <v>2097</v>
      </c>
      <c r="B2098" s="1">
        <v>402</v>
      </c>
      <c r="C2098" s="1">
        <v>7</v>
      </c>
      <c r="D2098" t="str">
        <f>VLOOKUP(B2098,Заказы!A:C,3,0)</f>
        <v>2023-06-18 21:08:00</v>
      </c>
      <c r="E2098" t="str">
        <f>VLOOKUP(C2098,Меню!A:E,4,0)</f>
        <v>Завтрак</v>
      </c>
      <c r="F2098">
        <f>VLOOKUP(C2098,Меню!A:E,5,0)</f>
        <v>200</v>
      </c>
    </row>
    <row r="2099" spans="1:6" ht="15.75" hidden="1" customHeight="1" x14ac:dyDescent="0.35">
      <c r="A2099" s="1">
        <v>2098</v>
      </c>
      <c r="B2099" s="1">
        <v>403</v>
      </c>
      <c r="C2099" s="1">
        <v>21</v>
      </c>
      <c r="D2099" t="str">
        <f>VLOOKUP(B2099,Заказы!A:C,3,0)</f>
        <v>2023-06-18 22:27:00</v>
      </c>
      <c r="E2099" t="str">
        <f>VLOOKUP(C2099,Меню!A:E,4,0)</f>
        <v>Салат</v>
      </c>
      <c r="F2099">
        <f>VLOOKUP(C2099,Меню!A:E,5,0)</f>
        <v>250</v>
      </c>
    </row>
    <row r="2100" spans="1:6" ht="15.75" hidden="1" customHeight="1" x14ac:dyDescent="0.35">
      <c r="A2100" s="1">
        <v>2099</v>
      </c>
      <c r="B2100" s="1">
        <v>403</v>
      </c>
      <c r="C2100" s="1">
        <v>15</v>
      </c>
      <c r="D2100" t="str">
        <f>VLOOKUP(B2100,Заказы!A:C,3,0)</f>
        <v>2023-06-18 22:27:00</v>
      </c>
      <c r="E2100" t="str">
        <f>VLOOKUP(C2100,Меню!A:E,4,0)</f>
        <v>Первое</v>
      </c>
      <c r="F2100">
        <f>VLOOKUP(C2100,Меню!A:E,5,0)</f>
        <v>250</v>
      </c>
    </row>
    <row r="2101" spans="1:6" ht="15.75" hidden="1" customHeight="1" x14ac:dyDescent="0.35">
      <c r="A2101" s="1">
        <v>2100</v>
      </c>
      <c r="B2101" s="1">
        <v>403</v>
      </c>
      <c r="C2101" s="1">
        <v>3</v>
      </c>
      <c r="D2101" t="str">
        <f>VLOOKUP(B2101,Заказы!A:C,3,0)</f>
        <v>2023-06-18 22:27:00</v>
      </c>
      <c r="E2101" t="str">
        <f>VLOOKUP(C2101,Меню!A:E,4,0)</f>
        <v>Завтрак</v>
      </c>
      <c r="F2101">
        <f>VLOOKUP(C2101,Меню!A:E,5,0)</f>
        <v>150</v>
      </c>
    </row>
    <row r="2102" spans="1:6" ht="15.75" hidden="1" customHeight="1" x14ac:dyDescent="0.35">
      <c r="A2102" s="1">
        <v>2101</v>
      </c>
      <c r="B2102" s="1">
        <v>403</v>
      </c>
      <c r="C2102" s="1">
        <v>51</v>
      </c>
      <c r="D2102" t="str">
        <f>VLOOKUP(B2102,Заказы!A:C,3,0)</f>
        <v>2023-06-18 22:27:00</v>
      </c>
      <c r="E2102" t="str">
        <f>VLOOKUP(C2102,Меню!A:E,4,0)</f>
        <v>Суши</v>
      </c>
      <c r="F2102">
        <f>VLOOKUP(C2102,Меню!A:E,5,0)</f>
        <v>100</v>
      </c>
    </row>
    <row r="2103" spans="1:6" ht="15.75" hidden="1" customHeight="1" x14ac:dyDescent="0.35">
      <c r="A2103" s="1">
        <v>2102</v>
      </c>
      <c r="B2103" s="1">
        <v>403</v>
      </c>
      <c r="C2103" s="1">
        <v>9</v>
      </c>
      <c r="D2103" t="str">
        <f>VLOOKUP(B2103,Заказы!A:C,3,0)</f>
        <v>2023-06-18 22:27:00</v>
      </c>
      <c r="E2103" t="str">
        <f>VLOOKUP(C2103,Меню!A:E,4,0)</f>
        <v>Завтрак</v>
      </c>
      <c r="F2103">
        <f>VLOOKUP(C2103,Меню!A:E,5,0)</f>
        <v>220</v>
      </c>
    </row>
    <row r="2104" spans="1:6" ht="15.75" hidden="1" customHeight="1" x14ac:dyDescent="0.35">
      <c r="A2104" s="1">
        <v>2103</v>
      </c>
      <c r="B2104" s="1">
        <v>403</v>
      </c>
      <c r="C2104" s="1">
        <v>8</v>
      </c>
      <c r="D2104" t="str">
        <f>VLOOKUP(B2104,Заказы!A:C,3,0)</f>
        <v>2023-06-18 22:27:00</v>
      </c>
      <c r="E2104" t="str">
        <f>VLOOKUP(C2104,Меню!A:E,4,0)</f>
        <v>Завтрак</v>
      </c>
      <c r="F2104">
        <f>VLOOKUP(C2104,Меню!A:E,5,0)</f>
        <v>180</v>
      </c>
    </row>
    <row r="2105" spans="1:6" ht="15.75" hidden="1" customHeight="1" x14ac:dyDescent="0.35">
      <c r="A2105" s="1">
        <v>2104</v>
      </c>
      <c r="B2105" s="1">
        <v>403</v>
      </c>
      <c r="C2105" s="1">
        <v>33</v>
      </c>
      <c r="D2105" t="str">
        <f>VLOOKUP(B2105,Заказы!A:C,3,0)</f>
        <v>2023-06-18 22:27:00</v>
      </c>
      <c r="E2105" t="str">
        <f>VLOOKUP(C2105,Меню!A:E,4,0)</f>
        <v>Десерт</v>
      </c>
      <c r="F2105">
        <f>VLOOKUP(C2105,Меню!A:E,5,0)</f>
        <v>150</v>
      </c>
    </row>
    <row r="2106" spans="1:6" ht="15.75" hidden="1" customHeight="1" x14ac:dyDescent="0.35">
      <c r="A2106" s="1">
        <v>2105</v>
      </c>
      <c r="B2106" s="1">
        <v>404</v>
      </c>
      <c r="C2106" s="1">
        <v>58</v>
      </c>
      <c r="D2106" t="str">
        <f>VLOOKUP(B2106,Заказы!A:C,3,0)</f>
        <v>2023-06-18 22:40:00</v>
      </c>
      <c r="E2106" t="str">
        <f>VLOOKUP(C2106,Меню!A:E,4,0)</f>
        <v>Суши</v>
      </c>
      <c r="F2106">
        <f>VLOOKUP(C2106,Меню!A:E,5,0)</f>
        <v>200</v>
      </c>
    </row>
    <row r="2107" spans="1:6" ht="15.75" hidden="1" customHeight="1" x14ac:dyDescent="0.35">
      <c r="A2107" s="1">
        <v>2106</v>
      </c>
      <c r="B2107" s="1">
        <v>404</v>
      </c>
      <c r="C2107" s="1">
        <v>2</v>
      </c>
      <c r="D2107" t="str">
        <f>VLOOKUP(B2107,Заказы!A:C,3,0)</f>
        <v>2023-06-18 22:40:00</v>
      </c>
      <c r="E2107" t="str">
        <f>VLOOKUP(C2107,Меню!A:E,4,0)</f>
        <v>Завтрак</v>
      </c>
      <c r="F2107">
        <f>VLOOKUP(C2107,Меню!A:E,5,0)</f>
        <v>250</v>
      </c>
    </row>
    <row r="2108" spans="1:6" ht="15.75" hidden="1" customHeight="1" x14ac:dyDescent="0.35">
      <c r="A2108" s="1">
        <v>2107</v>
      </c>
      <c r="B2108" s="1">
        <v>404</v>
      </c>
      <c r="C2108" s="1">
        <v>4</v>
      </c>
      <c r="D2108" t="str">
        <f>VLOOKUP(B2108,Заказы!A:C,3,0)</f>
        <v>2023-06-18 22:40:00</v>
      </c>
      <c r="E2108" t="str">
        <f>VLOOKUP(C2108,Меню!A:E,4,0)</f>
        <v>Завтрак</v>
      </c>
      <c r="F2108">
        <f>VLOOKUP(C2108,Меню!A:E,5,0)</f>
        <v>180</v>
      </c>
    </row>
    <row r="2109" spans="1:6" ht="15.75" hidden="1" customHeight="1" x14ac:dyDescent="0.35">
      <c r="A2109" s="1">
        <v>2108</v>
      </c>
      <c r="B2109" s="1">
        <v>404</v>
      </c>
      <c r="C2109" s="1">
        <v>52</v>
      </c>
      <c r="D2109" t="str">
        <f>VLOOKUP(B2109,Заказы!A:C,3,0)</f>
        <v>2023-06-18 22:40:00</v>
      </c>
      <c r="E2109" t="str">
        <f>VLOOKUP(C2109,Меню!A:E,4,0)</f>
        <v>Суши</v>
      </c>
      <c r="F2109">
        <f>VLOOKUP(C2109,Меню!A:E,5,0)</f>
        <v>100</v>
      </c>
    </row>
    <row r="2110" spans="1:6" ht="15.75" hidden="1" customHeight="1" x14ac:dyDescent="0.35">
      <c r="A2110" s="1">
        <v>2109</v>
      </c>
      <c r="B2110" s="1">
        <v>404</v>
      </c>
      <c r="C2110" s="1">
        <v>45</v>
      </c>
      <c r="D2110" t="str">
        <f>VLOOKUP(B2110,Заказы!A:C,3,0)</f>
        <v>2023-06-18 22:40:00</v>
      </c>
      <c r="E2110" t="str">
        <f>VLOOKUP(C2110,Меню!A:E,4,0)</f>
        <v>Суши</v>
      </c>
      <c r="F2110">
        <f>VLOOKUP(C2110,Меню!A:E,5,0)</f>
        <v>200</v>
      </c>
    </row>
    <row r="2111" spans="1:6" ht="15.75" hidden="1" customHeight="1" x14ac:dyDescent="0.35">
      <c r="A2111" s="1">
        <v>2110</v>
      </c>
      <c r="B2111" s="1">
        <v>404</v>
      </c>
      <c r="C2111" s="1">
        <v>56</v>
      </c>
      <c r="D2111" t="str">
        <f>VLOOKUP(B2111,Заказы!A:C,3,0)</f>
        <v>2023-06-18 22:40:00</v>
      </c>
      <c r="E2111" t="str">
        <f>VLOOKUP(C2111,Меню!A:E,4,0)</f>
        <v>Суши</v>
      </c>
      <c r="F2111">
        <f>VLOOKUP(C2111,Меню!A:E,5,0)</f>
        <v>200</v>
      </c>
    </row>
    <row r="2112" spans="1:6" ht="15.75" hidden="1" customHeight="1" x14ac:dyDescent="0.35">
      <c r="A2112" s="1">
        <v>2111</v>
      </c>
      <c r="B2112" s="1">
        <v>404</v>
      </c>
      <c r="C2112" s="1">
        <v>19</v>
      </c>
      <c r="D2112" t="str">
        <f>VLOOKUP(B2112,Заказы!A:C,3,0)</f>
        <v>2023-06-18 22:40:00</v>
      </c>
      <c r="E2112" t="str">
        <f>VLOOKUP(C2112,Меню!A:E,4,0)</f>
        <v>Первое</v>
      </c>
      <c r="F2112">
        <f>VLOOKUP(C2112,Меню!A:E,5,0)</f>
        <v>300</v>
      </c>
    </row>
    <row r="2113" spans="1:6" ht="15.75" hidden="1" customHeight="1" x14ac:dyDescent="0.35">
      <c r="A2113" s="1">
        <v>2112</v>
      </c>
      <c r="B2113" s="1">
        <v>405</v>
      </c>
      <c r="C2113" s="1">
        <v>9</v>
      </c>
      <c r="D2113" t="str">
        <f>VLOOKUP(B2113,Заказы!A:C,3,0)</f>
        <v>2023-06-19 15:47:00</v>
      </c>
      <c r="E2113" t="str">
        <f>VLOOKUP(C2113,Меню!A:E,4,0)</f>
        <v>Завтрак</v>
      </c>
      <c r="F2113">
        <f>VLOOKUP(C2113,Меню!A:E,5,0)</f>
        <v>220</v>
      </c>
    </row>
    <row r="2114" spans="1:6" ht="15.75" hidden="1" customHeight="1" x14ac:dyDescent="0.35">
      <c r="A2114" s="1">
        <v>2113</v>
      </c>
      <c r="B2114" s="1">
        <v>406</v>
      </c>
      <c r="C2114" s="1">
        <v>34</v>
      </c>
      <c r="D2114" t="str">
        <f>VLOOKUP(B2114,Заказы!A:C,3,0)</f>
        <v>2023-06-19 16:17:00</v>
      </c>
      <c r="E2114" t="str">
        <f>VLOOKUP(C2114,Меню!A:E,4,0)</f>
        <v>Десерт</v>
      </c>
      <c r="F2114">
        <f>VLOOKUP(C2114,Меню!A:E,5,0)</f>
        <v>150</v>
      </c>
    </row>
    <row r="2115" spans="1:6" ht="15.75" hidden="1" customHeight="1" x14ac:dyDescent="0.35">
      <c r="A2115" s="1">
        <v>2114</v>
      </c>
      <c r="B2115" s="1">
        <v>406</v>
      </c>
      <c r="C2115" s="1">
        <v>35</v>
      </c>
      <c r="D2115" t="str">
        <f>VLOOKUP(B2115,Заказы!A:C,3,0)</f>
        <v>2023-06-19 16:17:00</v>
      </c>
      <c r="E2115" t="str">
        <f>VLOOKUP(C2115,Меню!A:E,4,0)</f>
        <v>Десерт</v>
      </c>
      <c r="F2115">
        <f>VLOOKUP(C2115,Меню!A:E,5,0)</f>
        <v>150</v>
      </c>
    </row>
    <row r="2116" spans="1:6" ht="15.75" hidden="1" customHeight="1" x14ac:dyDescent="0.35">
      <c r="A2116" s="1">
        <v>2115</v>
      </c>
      <c r="B2116" s="1">
        <v>406</v>
      </c>
      <c r="C2116" s="1">
        <v>14</v>
      </c>
      <c r="D2116" t="str">
        <f>VLOOKUP(B2116,Заказы!A:C,3,0)</f>
        <v>2023-06-19 16:17:00</v>
      </c>
      <c r="E2116" t="str">
        <f>VLOOKUP(C2116,Меню!A:E,4,0)</f>
        <v>Первое</v>
      </c>
      <c r="F2116">
        <f>VLOOKUP(C2116,Меню!A:E,5,0)</f>
        <v>350</v>
      </c>
    </row>
    <row r="2117" spans="1:6" ht="15.75" hidden="1" customHeight="1" x14ac:dyDescent="0.35">
      <c r="A2117" s="1">
        <v>2116</v>
      </c>
      <c r="B2117" s="1">
        <v>406</v>
      </c>
      <c r="C2117" s="1">
        <v>15</v>
      </c>
      <c r="D2117" t="str">
        <f>VLOOKUP(B2117,Заказы!A:C,3,0)</f>
        <v>2023-06-19 16:17:00</v>
      </c>
      <c r="E2117" t="str">
        <f>VLOOKUP(C2117,Меню!A:E,4,0)</f>
        <v>Первое</v>
      </c>
      <c r="F2117">
        <f>VLOOKUP(C2117,Меню!A:E,5,0)</f>
        <v>250</v>
      </c>
    </row>
    <row r="2118" spans="1:6" ht="15.75" hidden="1" customHeight="1" x14ac:dyDescent="0.35">
      <c r="A2118" s="1">
        <v>2117</v>
      </c>
      <c r="B2118" s="1">
        <v>406</v>
      </c>
      <c r="C2118" s="1">
        <v>11</v>
      </c>
      <c r="D2118" t="str">
        <f>VLOOKUP(B2118,Заказы!A:C,3,0)</f>
        <v>2023-06-19 16:17:00</v>
      </c>
      <c r="E2118" t="str">
        <f>VLOOKUP(C2118,Меню!A:E,4,0)</f>
        <v>Первое</v>
      </c>
      <c r="F2118">
        <f>VLOOKUP(C2118,Меню!A:E,5,0)</f>
        <v>300</v>
      </c>
    </row>
    <row r="2119" spans="1:6" ht="15.75" hidden="1" customHeight="1" x14ac:dyDescent="0.35">
      <c r="A2119" s="1">
        <v>2118</v>
      </c>
      <c r="B2119" s="1">
        <v>407</v>
      </c>
      <c r="C2119" s="1">
        <v>34</v>
      </c>
      <c r="D2119" t="str">
        <f>VLOOKUP(B2119,Заказы!A:C,3,0)</f>
        <v>2023-06-19 18:06:00</v>
      </c>
      <c r="E2119" t="str">
        <f>VLOOKUP(C2119,Меню!A:E,4,0)</f>
        <v>Десерт</v>
      </c>
      <c r="F2119">
        <f>VLOOKUP(C2119,Меню!A:E,5,0)</f>
        <v>150</v>
      </c>
    </row>
    <row r="2120" spans="1:6" ht="15.75" hidden="1" customHeight="1" x14ac:dyDescent="0.35">
      <c r="A2120" s="1">
        <v>2119</v>
      </c>
      <c r="B2120" s="1">
        <v>407</v>
      </c>
      <c r="C2120" s="1">
        <v>23</v>
      </c>
      <c r="D2120" t="str">
        <f>VLOOKUP(B2120,Заказы!A:C,3,0)</f>
        <v>2023-06-19 18:06:00</v>
      </c>
      <c r="E2120" t="str">
        <f>VLOOKUP(C2120,Меню!A:E,4,0)</f>
        <v>Салат</v>
      </c>
      <c r="F2120">
        <f>VLOOKUP(C2120,Меню!A:E,5,0)</f>
        <v>250</v>
      </c>
    </row>
    <row r="2121" spans="1:6" ht="15.75" hidden="1" customHeight="1" x14ac:dyDescent="0.35">
      <c r="A2121" s="1">
        <v>2120</v>
      </c>
      <c r="B2121" s="1">
        <v>407</v>
      </c>
      <c r="C2121" s="1">
        <v>17</v>
      </c>
      <c r="D2121" t="str">
        <f>VLOOKUP(B2121,Заказы!A:C,3,0)</f>
        <v>2023-06-19 18:06:00</v>
      </c>
      <c r="E2121" t="str">
        <f>VLOOKUP(C2121,Меню!A:E,4,0)</f>
        <v>Первое</v>
      </c>
      <c r="F2121">
        <f>VLOOKUP(C2121,Меню!A:E,5,0)</f>
        <v>250</v>
      </c>
    </row>
    <row r="2122" spans="1:6" ht="15.75" hidden="1" customHeight="1" x14ac:dyDescent="0.35">
      <c r="A2122" s="1">
        <v>2121</v>
      </c>
      <c r="B2122" s="1">
        <v>407</v>
      </c>
      <c r="C2122" s="1">
        <v>4</v>
      </c>
      <c r="D2122" t="str">
        <f>VLOOKUP(B2122,Заказы!A:C,3,0)</f>
        <v>2023-06-19 18:06:00</v>
      </c>
      <c r="E2122" t="str">
        <f>VLOOKUP(C2122,Меню!A:E,4,0)</f>
        <v>Завтрак</v>
      </c>
      <c r="F2122">
        <f>VLOOKUP(C2122,Меню!A:E,5,0)</f>
        <v>180</v>
      </c>
    </row>
    <row r="2123" spans="1:6" ht="15.75" hidden="1" customHeight="1" x14ac:dyDescent="0.35">
      <c r="A2123" s="1">
        <v>2122</v>
      </c>
      <c r="B2123" s="1">
        <v>407</v>
      </c>
      <c r="C2123" s="1">
        <v>1</v>
      </c>
      <c r="D2123" t="str">
        <f>VLOOKUP(B2123,Заказы!A:C,3,0)</f>
        <v>2023-06-19 18:06:00</v>
      </c>
      <c r="E2123" t="str">
        <f>VLOOKUP(C2123,Меню!A:E,4,0)</f>
        <v>Завтрак</v>
      </c>
      <c r="F2123">
        <f>VLOOKUP(C2123,Меню!A:E,5,0)</f>
        <v>200</v>
      </c>
    </row>
    <row r="2124" spans="1:6" ht="15.75" hidden="1" customHeight="1" x14ac:dyDescent="0.35">
      <c r="A2124" s="1">
        <v>2123</v>
      </c>
      <c r="B2124" s="1">
        <v>408</v>
      </c>
      <c r="C2124" s="1">
        <v>38</v>
      </c>
      <c r="D2124" t="str">
        <f>VLOOKUP(B2124,Заказы!A:C,3,0)</f>
        <v>2023-06-19 18:38:00</v>
      </c>
      <c r="E2124" t="str">
        <f>VLOOKUP(C2124,Меню!A:E,4,0)</f>
        <v>Десерт</v>
      </c>
      <c r="F2124">
        <f>VLOOKUP(C2124,Меню!A:E,5,0)</f>
        <v>150</v>
      </c>
    </row>
    <row r="2125" spans="1:6" ht="15.75" hidden="1" customHeight="1" x14ac:dyDescent="0.35">
      <c r="A2125" s="1">
        <v>2124</v>
      </c>
      <c r="B2125" s="1">
        <v>408</v>
      </c>
      <c r="C2125" s="1">
        <v>49</v>
      </c>
      <c r="D2125" t="str">
        <f>VLOOKUP(B2125,Заказы!A:C,3,0)</f>
        <v>2023-06-19 18:38:00</v>
      </c>
      <c r="E2125" t="str">
        <f>VLOOKUP(C2125,Меню!A:E,4,0)</f>
        <v>Суши</v>
      </c>
      <c r="F2125">
        <f>VLOOKUP(C2125,Меню!A:E,5,0)</f>
        <v>200</v>
      </c>
    </row>
    <row r="2126" spans="1:6" ht="15.75" hidden="1" customHeight="1" x14ac:dyDescent="0.35">
      <c r="A2126" s="1">
        <v>2125</v>
      </c>
      <c r="B2126" s="1">
        <v>408</v>
      </c>
      <c r="C2126" s="1">
        <v>22</v>
      </c>
      <c r="D2126" t="str">
        <f>VLOOKUP(B2126,Заказы!A:C,3,0)</f>
        <v>2023-06-19 18:38:00</v>
      </c>
      <c r="E2126" t="str">
        <f>VLOOKUP(C2126,Меню!A:E,4,0)</f>
        <v>Салат</v>
      </c>
      <c r="F2126">
        <f>VLOOKUP(C2126,Меню!A:E,5,0)</f>
        <v>250</v>
      </c>
    </row>
    <row r="2127" spans="1:6" ht="15.75" hidden="1" customHeight="1" x14ac:dyDescent="0.35">
      <c r="A2127" s="1">
        <v>2126</v>
      </c>
      <c r="B2127" s="1">
        <v>408</v>
      </c>
      <c r="C2127" s="1">
        <v>49</v>
      </c>
      <c r="D2127" t="str">
        <f>VLOOKUP(B2127,Заказы!A:C,3,0)</f>
        <v>2023-06-19 18:38:00</v>
      </c>
      <c r="E2127" t="str">
        <f>VLOOKUP(C2127,Меню!A:E,4,0)</f>
        <v>Суши</v>
      </c>
      <c r="F2127">
        <f>VLOOKUP(C2127,Меню!A:E,5,0)</f>
        <v>200</v>
      </c>
    </row>
    <row r="2128" spans="1:6" ht="15.75" hidden="1" customHeight="1" x14ac:dyDescent="0.35">
      <c r="A2128" s="1">
        <v>2127</v>
      </c>
      <c r="B2128" s="1">
        <v>409</v>
      </c>
      <c r="C2128" s="1">
        <v>51</v>
      </c>
      <c r="D2128" t="str">
        <f>VLOOKUP(B2128,Заказы!A:C,3,0)</f>
        <v>2023-06-19 21:08:00</v>
      </c>
      <c r="E2128" t="str">
        <f>VLOOKUP(C2128,Меню!A:E,4,0)</f>
        <v>Суши</v>
      </c>
      <c r="F2128">
        <f>VLOOKUP(C2128,Меню!A:E,5,0)</f>
        <v>100</v>
      </c>
    </row>
    <row r="2129" spans="1:6" ht="15.75" hidden="1" customHeight="1" x14ac:dyDescent="0.35">
      <c r="A2129" s="1">
        <v>2128</v>
      </c>
      <c r="B2129" s="1">
        <v>409</v>
      </c>
      <c r="C2129" s="1">
        <v>20</v>
      </c>
      <c r="D2129" t="str">
        <f>VLOOKUP(B2129,Заказы!A:C,3,0)</f>
        <v>2023-06-19 21:08:00</v>
      </c>
      <c r="E2129" t="str">
        <f>VLOOKUP(C2129,Меню!A:E,4,0)</f>
        <v>Первое</v>
      </c>
      <c r="F2129">
        <f>VLOOKUP(C2129,Меню!A:E,5,0)</f>
        <v>250</v>
      </c>
    </row>
    <row r="2130" spans="1:6" ht="15.75" hidden="1" customHeight="1" x14ac:dyDescent="0.35">
      <c r="A2130" s="1">
        <v>2129</v>
      </c>
      <c r="B2130" s="1">
        <v>409</v>
      </c>
      <c r="C2130" s="1">
        <v>34</v>
      </c>
      <c r="D2130" t="str">
        <f>VLOOKUP(B2130,Заказы!A:C,3,0)</f>
        <v>2023-06-19 21:08:00</v>
      </c>
      <c r="E2130" t="str">
        <f>VLOOKUP(C2130,Меню!A:E,4,0)</f>
        <v>Десерт</v>
      </c>
      <c r="F2130">
        <f>VLOOKUP(C2130,Меню!A:E,5,0)</f>
        <v>150</v>
      </c>
    </row>
    <row r="2131" spans="1:6" ht="15.75" hidden="1" customHeight="1" x14ac:dyDescent="0.35">
      <c r="A2131" s="1">
        <v>2130</v>
      </c>
      <c r="B2131" s="1">
        <v>409</v>
      </c>
      <c r="C2131" s="1">
        <v>47</v>
      </c>
      <c r="D2131" t="str">
        <f>VLOOKUP(B2131,Заказы!A:C,3,0)</f>
        <v>2023-06-19 21:08:00</v>
      </c>
      <c r="E2131" t="str">
        <f>VLOOKUP(C2131,Меню!A:E,4,0)</f>
        <v>Суши</v>
      </c>
      <c r="F2131">
        <f>VLOOKUP(C2131,Меню!A:E,5,0)</f>
        <v>200</v>
      </c>
    </row>
    <row r="2132" spans="1:6" ht="15.75" hidden="1" customHeight="1" x14ac:dyDescent="0.35">
      <c r="A2132" s="1">
        <v>2131</v>
      </c>
      <c r="B2132" s="1">
        <v>409</v>
      </c>
      <c r="C2132" s="1">
        <v>15</v>
      </c>
      <c r="D2132" t="str">
        <f>VLOOKUP(B2132,Заказы!A:C,3,0)</f>
        <v>2023-06-19 21:08:00</v>
      </c>
      <c r="E2132" t="str">
        <f>VLOOKUP(C2132,Меню!A:E,4,0)</f>
        <v>Первое</v>
      </c>
      <c r="F2132">
        <f>VLOOKUP(C2132,Меню!A:E,5,0)</f>
        <v>250</v>
      </c>
    </row>
    <row r="2133" spans="1:6" ht="15.75" hidden="1" customHeight="1" x14ac:dyDescent="0.35">
      <c r="A2133" s="1">
        <v>2132</v>
      </c>
      <c r="B2133" s="1">
        <v>409</v>
      </c>
      <c r="C2133" s="1">
        <v>46</v>
      </c>
      <c r="D2133" t="str">
        <f>VLOOKUP(B2133,Заказы!A:C,3,0)</f>
        <v>2023-06-19 21:08:00</v>
      </c>
      <c r="E2133" t="str">
        <f>VLOOKUP(C2133,Меню!A:E,4,0)</f>
        <v>Суши</v>
      </c>
      <c r="F2133">
        <f>VLOOKUP(C2133,Меню!A:E,5,0)</f>
        <v>200</v>
      </c>
    </row>
    <row r="2134" spans="1:6" ht="15.75" hidden="1" customHeight="1" x14ac:dyDescent="0.35">
      <c r="A2134" s="1">
        <v>2133</v>
      </c>
      <c r="B2134" s="1">
        <v>409</v>
      </c>
      <c r="C2134" s="1">
        <v>29</v>
      </c>
      <c r="D2134" t="str">
        <f>VLOOKUP(B2134,Заказы!A:C,3,0)</f>
        <v>2023-06-19 21:08:00</v>
      </c>
      <c r="E2134" t="str">
        <f>VLOOKUP(C2134,Меню!A:E,4,0)</f>
        <v>Салат</v>
      </c>
      <c r="F2134">
        <f>VLOOKUP(C2134,Меню!A:E,5,0)</f>
        <v>250</v>
      </c>
    </row>
    <row r="2135" spans="1:6" ht="15.75" hidden="1" customHeight="1" x14ac:dyDescent="0.35">
      <c r="A2135" s="1">
        <v>2134</v>
      </c>
      <c r="B2135" s="1">
        <v>410</v>
      </c>
      <c r="C2135" s="1">
        <v>44</v>
      </c>
      <c r="D2135" t="str">
        <f>VLOOKUP(B2135,Заказы!A:C,3,0)</f>
        <v>2023-06-19 21:29:00</v>
      </c>
      <c r="E2135" t="str">
        <f>VLOOKUP(C2135,Меню!A:E,4,0)</f>
        <v>Суши</v>
      </c>
      <c r="F2135">
        <f>VLOOKUP(C2135,Меню!A:E,5,0)</f>
        <v>250</v>
      </c>
    </row>
    <row r="2136" spans="1:6" ht="15.75" hidden="1" customHeight="1" x14ac:dyDescent="0.35">
      <c r="A2136" s="1">
        <v>2135</v>
      </c>
      <c r="B2136" s="1">
        <v>410</v>
      </c>
      <c r="C2136" s="1">
        <v>22</v>
      </c>
      <c r="D2136" t="str">
        <f>VLOOKUP(B2136,Заказы!A:C,3,0)</f>
        <v>2023-06-19 21:29:00</v>
      </c>
      <c r="E2136" t="str">
        <f>VLOOKUP(C2136,Меню!A:E,4,0)</f>
        <v>Салат</v>
      </c>
      <c r="F2136">
        <f>VLOOKUP(C2136,Меню!A:E,5,0)</f>
        <v>250</v>
      </c>
    </row>
    <row r="2137" spans="1:6" ht="15.75" hidden="1" customHeight="1" x14ac:dyDescent="0.35">
      <c r="A2137" s="1">
        <v>2136</v>
      </c>
      <c r="B2137" s="1">
        <v>410</v>
      </c>
      <c r="C2137" s="1">
        <v>5</v>
      </c>
      <c r="D2137" t="str">
        <f>VLOOKUP(B2137,Заказы!A:C,3,0)</f>
        <v>2023-06-19 21:29:00</v>
      </c>
      <c r="E2137" t="str">
        <f>VLOOKUP(C2137,Меню!A:E,4,0)</f>
        <v>Завтрак</v>
      </c>
      <c r="F2137">
        <f>VLOOKUP(C2137,Меню!A:E,5,0)</f>
        <v>220</v>
      </c>
    </row>
    <row r="2138" spans="1:6" ht="15.75" hidden="1" customHeight="1" x14ac:dyDescent="0.35">
      <c r="A2138" s="1">
        <v>2137</v>
      </c>
      <c r="B2138" s="1">
        <v>410</v>
      </c>
      <c r="C2138" s="1">
        <v>4</v>
      </c>
      <c r="D2138" t="str">
        <f>VLOOKUP(B2138,Заказы!A:C,3,0)</f>
        <v>2023-06-19 21:29:00</v>
      </c>
      <c r="E2138" t="str">
        <f>VLOOKUP(C2138,Меню!A:E,4,0)</f>
        <v>Завтрак</v>
      </c>
      <c r="F2138">
        <f>VLOOKUP(C2138,Меню!A:E,5,0)</f>
        <v>180</v>
      </c>
    </row>
    <row r="2139" spans="1:6" ht="15.75" hidden="1" customHeight="1" x14ac:dyDescent="0.35">
      <c r="A2139" s="1">
        <v>2138</v>
      </c>
      <c r="B2139" s="1">
        <v>410</v>
      </c>
      <c r="C2139" s="1">
        <v>25</v>
      </c>
      <c r="D2139" t="str">
        <f>VLOOKUP(B2139,Заказы!A:C,3,0)</f>
        <v>2023-06-19 21:29:00</v>
      </c>
      <c r="E2139" t="str">
        <f>VLOOKUP(C2139,Меню!A:E,4,0)</f>
        <v>Салат</v>
      </c>
      <c r="F2139">
        <f>VLOOKUP(C2139,Меню!A:E,5,0)</f>
        <v>250</v>
      </c>
    </row>
    <row r="2140" spans="1:6" ht="15.75" hidden="1" customHeight="1" x14ac:dyDescent="0.35">
      <c r="A2140" s="1">
        <v>2139</v>
      </c>
      <c r="B2140" s="1">
        <v>410</v>
      </c>
      <c r="C2140" s="1">
        <v>37</v>
      </c>
      <c r="D2140" t="str">
        <f>VLOOKUP(B2140,Заказы!A:C,3,0)</f>
        <v>2023-06-19 21:29:00</v>
      </c>
      <c r="E2140" t="str">
        <f>VLOOKUP(C2140,Меню!A:E,4,0)</f>
        <v>Десерт</v>
      </c>
      <c r="F2140">
        <f>VLOOKUP(C2140,Меню!A:E,5,0)</f>
        <v>100</v>
      </c>
    </row>
    <row r="2141" spans="1:6" ht="15.75" hidden="1" customHeight="1" x14ac:dyDescent="0.35">
      <c r="A2141" s="1">
        <v>2140</v>
      </c>
      <c r="B2141" s="1">
        <v>410</v>
      </c>
      <c r="C2141" s="1">
        <v>11</v>
      </c>
      <c r="D2141" t="str">
        <f>VLOOKUP(B2141,Заказы!A:C,3,0)</f>
        <v>2023-06-19 21:29:00</v>
      </c>
      <c r="E2141" t="str">
        <f>VLOOKUP(C2141,Меню!A:E,4,0)</f>
        <v>Первое</v>
      </c>
      <c r="F2141">
        <f>VLOOKUP(C2141,Меню!A:E,5,0)</f>
        <v>300</v>
      </c>
    </row>
    <row r="2142" spans="1:6" ht="15.75" hidden="1" customHeight="1" x14ac:dyDescent="0.35">
      <c r="A2142" s="1">
        <v>2141</v>
      </c>
      <c r="B2142" s="1">
        <v>411</v>
      </c>
      <c r="C2142" s="1">
        <v>6</v>
      </c>
      <c r="D2142" t="str">
        <f>VLOOKUP(B2142,Заказы!A:C,3,0)</f>
        <v>2023-06-19 22:36:00</v>
      </c>
      <c r="E2142" t="str">
        <f>VLOOKUP(C2142,Меню!A:E,4,0)</f>
        <v>Завтрак</v>
      </c>
      <c r="F2142">
        <f>VLOOKUP(C2142,Меню!A:E,5,0)</f>
        <v>300</v>
      </c>
    </row>
    <row r="2143" spans="1:6" ht="15.75" hidden="1" customHeight="1" x14ac:dyDescent="0.35">
      <c r="A2143" s="1">
        <v>2142</v>
      </c>
      <c r="B2143" s="1">
        <v>411</v>
      </c>
      <c r="C2143" s="1">
        <v>8</v>
      </c>
      <c r="D2143" t="str">
        <f>VLOOKUP(B2143,Заказы!A:C,3,0)</f>
        <v>2023-06-19 22:36:00</v>
      </c>
      <c r="E2143" t="str">
        <f>VLOOKUP(C2143,Меню!A:E,4,0)</f>
        <v>Завтрак</v>
      </c>
      <c r="F2143">
        <f>VLOOKUP(C2143,Меню!A:E,5,0)</f>
        <v>180</v>
      </c>
    </row>
    <row r="2144" spans="1:6" ht="15.75" hidden="1" customHeight="1" x14ac:dyDescent="0.35">
      <c r="A2144" s="1">
        <v>2143</v>
      </c>
      <c r="B2144" s="1">
        <v>411</v>
      </c>
      <c r="C2144" s="1">
        <v>31</v>
      </c>
      <c r="D2144" t="str">
        <f>VLOOKUP(B2144,Заказы!A:C,3,0)</f>
        <v>2023-06-19 22:36:00</v>
      </c>
      <c r="E2144" t="str">
        <f>VLOOKUP(C2144,Меню!A:E,4,0)</f>
        <v>Десерт</v>
      </c>
      <c r="F2144">
        <f>VLOOKUP(C2144,Меню!A:E,5,0)</f>
        <v>150</v>
      </c>
    </row>
    <row r="2145" spans="1:6" ht="15.75" hidden="1" customHeight="1" x14ac:dyDescent="0.35">
      <c r="A2145" s="1">
        <v>2144</v>
      </c>
      <c r="B2145" s="1">
        <v>412</v>
      </c>
      <c r="C2145" s="1">
        <v>60</v>
      </c>
      <c r="D2145" t="str">
        <f>VLOOKUP(B2145,Заказы!A:C,3,0)</f>
        <v>2023-06-20 20:02:00</v>
      </c>
      <c r="E2145" t="str">
        <f>VLOOKUP(C2145,Меню!A:E,4,0)</f>
        <v>Суши</v>
      </c>
      <c r="F2145">
        <f>VLOOKUP(C2145,Меню!A:E,5,0)</f>
        <v>250</v>
      </c>
    </row>
    <row r="2146" spans="1:6" ht="15.75" hidden="1" customHeight="1" x14ac:dyDescent="0.35">
      <c r="A2146" s="1">
        <v>2145</v>
      </c>
      <c r="B2146" s="1">
        <v>412</v>
      </c>
      <c r="C2146" s="1">
        <v>60</v>
      </c>
      <c r="D2146" t="str">
        <f>VLOOKUP(B2146,Заказы!A:C,3,0)</f>
        <v>2023-06-20 20:02:00</v>
      </c>
      <c r="E2146" t="str">
        <f>VLOOKUP(C2146,Меню!A:E,4,0)</f>
        <v>Суши</v>
      </c>
      <c r="F2146">
        <f>VLOOKUP(C2146,Меню!A:E,5,0)</f>
        <v>250</v>
      </c>
    </row>
    <row r="2147" spans="1:6" ht="15.75" hidden="1" customHeight="1" x14ac:dyDescent="0.35">
      <c r="A2147" s="1">
        <v>2146</v>
      </c>
      <c r="B2147" s="1">
        <v>412</v>
      </c>
      <c r="C2147" s="1">
        <v>10</v>
      </c>
      <c r="D2147" t="str">
        <f>VLOOKUP(B2147,Заказы!A:C,3,0)</f>
        <v>2023-06-20 20:02:00</v>
      </c>
      <c r="E2147" t="str">
        <f>VLOOKUP(C2147,Меню!A:E,4,0)</f>
        <v>Завтрак</v>
      </c>
      <c r="F2147">
        <f>VLOOKUP(C2147,Меню!A:E,5,0)</f>
        <v>200</v>
      </c>
    </row>
    <row r="2148" spans="1:6" ht="15.75" hidden="1" customHeight="1" x14ac:dyDescent="0.35">
      <c r="A2148" s="1">
        <v>2147</v>
      </c>
      <c r="B2148" s="1">
        <v>412</v>
      </c>
      <c r="C2148" s="1">
        <v>54</v>
      </c>
      <c r="D2148" t="str">
        <f>VLOOKUP(B2148,Заказы!A:C,3,0)</f>
        <v>2023-06-20 20:02:00</v>
      </c>
      <c r="E2148" t="str">
        <f>VLOOKUP(C2148,Меню!A:E,4,0)</f>
        <v>Суши</v>
      </c>
      <c r="F2148">
        <f>VLOOKUP(C2148,Меню!A:E,5,0)</f>
        <v>100</v>
      </c>
    </row>
    <row r="2149" spans="1:6" ht="15.75" hidden="1" customHeight="1" x14ac:dyDescent="0.35">
      <c r="A2149" s="1">
        <v>2148</v>
      </c>
      <c r="B2149" s="1">
        <v>412</v>
      </c>
      <c r="C2149" s="1">
        <v>53</v>
      </c>
      <c r="D2149" t="str">
        <f>VLOOKUP(B2149,Заказы!A:C,3,0)</f>
        <v>2023-06-20 20:02:00</v>
      </c>
      <c r="E2149" t="str">
        <f>VLOOKUP(C2149,Меню!A:E,4,0)</f>
        <v>Суши</v>
      </c>
      <c r="F2149">
        <f>VLOOKUP(C2149,Меню!A:E,5,0)</f>
        <v>100</v>
      </c>
    </row>
    <row r="2150" spans="1:6" ht="15.75" hidden="1" customHeight="1" x14ac:dyDescent="0.35">
      <c r="A2150" s="1">
        <v>2149</v>
      </c>
      <c r="B2150" s="1">
        <v>412</v>
      </c>
      <c r="C2150" s="1">
        <v>16</v>
      </c>
      <c r="D2150" t="str">
        <f>VLOOKUP(B2150,Заказы!A:C,3,0)</f>
        <v>2023-06-20 20:02:00</v>
      </c>
      <c r="E2150" t="str">
        <f>VLOOKUP(C2150,Меню!A:E,4,0)</f>
        <v>Первое</v>
      </c>
      <c r="F2150">
        <f>VLOOKUP(C2150,Меню!A:E,5,0)</f>
        <v>250</v>
      </c>
    </row>
    <row r="2151" spans="1:6" ht="15.75" hidden="1" customHeight="1" x14ac:dyDescent="0.35">
      <c r="A2151" s="1">
        <v>2150</v>
      </c>
      <c r="B2151" s="1">
        <v>413</v>
      </c>
      <c r="C2151" s="1">
        <v>49</v>
      </c>
      <c r="D2151" t="str">
        <f>VLOOKUP(B2151,Заказы!A:C,3,0)</f>
        <v>2023-06-20 20:15:00</v>
      </c>
      <c r="E2151" t="str">
        <f>VLOOKUP(C2151,Меню!A:E,4,0)</f>
        <v>Суши</v>
      </c>
      <c r="F2151">
        <f>VLOOKUP(C2151,Меню!A:E,5,0)</f>
        <v>200</v>
      </c>
    </row>
    <row r="2152" spans="1:6" ht="15.75" hidden="1" customHeight="1" x14ac:dyDescent="0.35">
      <c r="A2152" s="1">
        <v>2151</v>
      </c>
      <c r="B2152" s="1">
        <v>413</v>
      </c>
      <c r="C2152" s="1">
        <v>56</v>
      </c>
      <c r="D2152" t="str">
        <f>VLOOKUP(B2152,Заказы!A:C,3,0)</f>
        <v>2023-06-20 20:15:00</v>
      </c>
      <c r="E2152" t="str">
        <f>VLOOKUP(C2152,Меню!A:E,4,0)</f>
        <v>Суши</v>
      </c>
      <c r="F2152">
        <f>VLOOKUP(C2152,Меню!A:E,5,0)</f>
        <v>200</v>
      </c>
    </row>
    <row r="2153" spans="1:6" ht="15.75" hidden="1" customHeight="1" x14ac:dyDescent="0.35">
      <c r="A2153" s="1">
        <v>2152</v>
      </c>
      <c r="B2153" s="1">
        <v>413</v>
      </c>
      <c r="C2153" s="1">
        <v>25</v>
      </c>
      <c r="D2153" t="str">
        <f>VLOOKUP(B2153,Заказы!A:C,3,0)</f>
        <v>2023-06-20 20:15:00</v>
      </c>
      <c r="E2153" t="str">
        <f>VLOOKUP(C2153,Меню!A:E,4,0)</f>
        <v>Салат</v>
      </c>
      <c r="F2153">
        <f>VLOOKUP(C2153,Меню!A:E,5,0)</f>
        <v>250</v>
      </c>
    </row>
    <row r="2154" spans="1:6" ht="15.75" hidden="1" customHeight="1" x14ac:dyDescent="0.35">
      <c r="A2154" s="1">
        <v>2153</v>
      </c>
      <c r="B2154" s="1">
        <v>413</v>
      </c>
      <c r="C2154" s="1">
        <v>42</v>
      </c>
      <c r="D2154" t="str">
        <f>VLOOKUP(B2154,Заказы!A:C,3,0)</f>
        <v>2023-06-20 20:15:00</v>
      </c>
      <c r="E2154" t="str">
        <f>VLOOKUP(C2154,Меню!A:E,4,0)</f>
        <v>Суши</v>
      </c>
      <c r="F2154">
        <f>VLOOKUP(C2154,Меню!A:E,5,0)</f>
        <v>250</v>
      </c>
    </row>
    <row r="2155" spans="1:6" ht="15.75" hidden="1" customHeight="1" x14ac:dyDescent="0.35">
      <c r="A2155" s="1">
        <v>2154</v>
      </c>
      <c r="B2155" s="1">
        <v>413</v>
      </c>
      <c r="C2155" s="1">
        <v>48</v>
      </c>
      <c r="D2155" t="str">
        <f>VLOOKUP(B2155,Заказы!A:C,3,0)</f>
        <v>2023-06-20 20:15:00</v>
      </c>
      <c r="E2155" t="str">
        <f>VLOOKUP(C2155,Меню!A:E,4,0)</f>
        <v>Суши</v>
      </c>
      <c r="F2155">
        <f>VLOOKUP(C2155,Меню!A:E,5,0)</f>
        <v>200</v>
      </c>
    </row>
    <row r="2156" spans="1:6" ht="15.75" hidden="1" customHeight="1" x14ac:dyDescent="0.35">
      <c r="A2156" s="1">
        <v>2155</v>
      </c>
      <c r="B2156" s="1">
        <v>413</v>
      </c>
      <c r="C2156" s="1">
        <v>38</v>
      </c>
      <c r="D2156" t="str">
        <f>VLOOKUP(B2156,Заказы!A:C,3,0)</f>
        <v>2023-06-20 20:15:00</v>
      </c>
      <c r="E2156" t="str">
        <f>VLOOKUP(C2156,Меню!A:E,4,0)</f>
        <v>Десерт</v>
      </c>
      <c r="F2156">
        <f>VLOOKUP(C2156,Меню!A:E,5,0)</f>
        <v>150</v>
      </c>
    </row>
    <row r="2157" spans="1:6" ht="15.75" hidden="1" customHeight="1" x14ac:dyDescent="0.35">
      <c r="A2157" s="1">
        <v>2156</v>
      </c>
      <c r="B2157" s="1">
        <v>414</v>
      </c>
      <c r="C2157" s="1">
        <v>2</v>
      </c>
      <c r="D2157" t="str">
        <f>VLOOKUP(B2157,Заказы!A:C,3,0)</f>
        <v>2023-06-20 21:53:00</v>
      </c>
      <c r="E2157" t="str">
        <f>VLOOKUP(C2157,Меню!A:E,4,0)</f>
        <v>Завтрак</v>
      </c>
      <c r="F2157">
        <f>VLOOKUP(C2157,Меню!A:E,5,0)</f>
        <v>250</v>
      </c>
    </row>
    <row r="2158" spans="1:6" ht="15.75" hidden="1" customHeight="1" x14ac:dyDescent="0.35">
      <c r="A2158" s="1">
        <v>2157</v>
      </c>
      <c r="B2158" s="1">
        <v>414</v>
      </c>
      <c r="C2158" s="1">
        <v>8</v>
      </c>
      <c r="D2158" t="str">
        <f>VLOOKUP(B2158,Заказы!A:C,3,0)</f>
        <v>2023-06-20 21:53:00</v>
      </c>
      <c r="E2158" t="str">
        <f>VLOOKUP(C2158,Меню!A:E,4,0)</f>
        <v>Завтрак</v>
      </c>
      <c r="F2158">
        <f>VLOOKUP(C2158,Меню!A:E,5,0)</f>
        <v>180</v>
      </c>
    </row>
    <row r="2159" spans="1:6" ht="15.75" hidden="1" customHeight="1" x14ac:dyDescent="0.35">
      <c r="A2159" s="1">
        <v>2158</v>
      </c>
      <c r="B2159" s="1">
        <v>414</v>
      </c>
      <c r="C2159" s="1">
        <v>11</v>
      </c>
      <c r="D2159" t="str">
        <f>VLOOKUP(B2159,Заказы!A:C,3,0)</f>
        <v>2023-06-20 21:53:00</v>
      </c>
      <c r="E2159" t="str">
        <f>VLOOKUP(C2159,Меню!A:E,4,0)</f>
        <v>Первое</v>
      </c>
      <c r="F2159">
        <f>VLOOKUP(C2159,Меню!A:E,5,0)</f>
        <v>300</v>
      </c>
    </row>
    <row r="2160" spans="1:6" ht="15.75" hidden="1" customHeight="1" x14ac:dyDescent="0.35">
      <c r="A2160" s="1">
        <v>2159</v>
      </c>
      <c r="B2160" s="1">
        <v>414</v>
      </c>
      <c r="C2160" s="1">
        <v>27</v>
      </c>
      <c r="D2160" t="str">
        <f>VLOOKUP(B2160,Заказы!A:C,3,0)</f>
        <v>2023-06-20 21:53:00</v>
      </c>
      <c r="E2160" t="str">
        <f>VLOOKUP(C2160,Меню!A:E,4,0)</f>
        <v>Салат</v>
      </c>
      <c r="F2160">
        <f>VLOOKUP(C2160,Меню!A:E,5,0)</f>
        <v>250</v>
      </c>
    </row>
    <row r="2161" spans="1:6" ht="15.75" hidden="1" customHeight="1" x14ac:dyDescent="0.35">
      <c r="A2161" s="1">
        <v>2160</v>
      </c>
      <c r="B2161" s="1">
        <v>414</v>
      </c>
      <c r="C2161" s="1">
        <v>39</v>
      </c>
      <c r="D2161" t="str">
        <f>VLOOKUP(B2161,Заказы!A:C,3,0)</f>
        <v>2023-06-20 21:53:00</v>
      </c>
      <c r="E2161" t="str">
        <f>VLOOKUP(C2161,Меню!A:E,4,0)</f>
        <v>Десерт</v>
      </c>
      <c r="F2161">
        <f>VLOOKUP(C2161,Меню!A:E,5,0)</f>
        <v>150</v>
      </c>
    </row>
    <row r="2162" spans="1:6" ht="15.75" hidden="1" customHeight="1" x14ac:dyDescent="0.35">
      <c r="A2162" s="1">
        <v>2161</v>
      </c>
      <c r="B2162" s="1">
        <v>414</v>
      </c>
      <c r="C2162" s="1">
        <v>32</v>
      </c>
      <c r="D2162" t="str">
        <f>VLOOKUP(B2162,Заказы!A:C,3,0)</f>
        <v>2023-06-20 21:53:00</v>
      </c>
      <c r="E2162" t="str">
        <f>VLOOKUP(C2162,Меню!A:E,4,0)</f>
        <v>Десерт</v>
      </c>
      <c r="F2162">
        <f>VLOOKUP(C2162,Меню!A:E,5,0)</f>
        <v>150</v>
      </c>
    </row>
    <row r="2163" spans="1:6" ht="15.75" hidden="1" customHeight="1" x14ac:dyDescent="0.35">
      <c r="A2163" s="1">
        <v>2162</v>
      </c>
      <c r="B2163" s="1">
        <v>415</v>
      </c>
      <c r="C2163" s="1">
        <v>54</v>
      </c>
      <c r="D2163" t="str">
        <f>VLOOKUP(B2163,Заказы!A:C,3,0)</f>
        <v>2023-06-21 15:05:00</v>
      </c>
      <c r="E2163" t="str">
        <f>VLOOKUP(C2163,Меню!A:E,4,0)</f>
        <v>Суши</v>
      </c>
      <c r="F2163">
        <f>VLOOKUP(C2163,Меню!A:E,5,0)</f>
        <v>100</v>
      </c>
    </row>
    <row r="2164" spans="1:6" ht="15.75" hidden="1" customHeight="1" x14ac:dyDescent="0.35">
      <c r="A2164" s="1">
        <v>2163</v>
      </c>
      <c r="B2164" s="1">
        <v>415</v>
      </c>
      <c r="C2164" s="1">
        <v>28</v>
      </c>
      <c r="D2164" t="str">
        <f>VLOOKUP(B2164,Заказы!A:C,3,0)</f>
        <v>2023-06-21 15:05:00</v>
      </c>
      <c r="E2164" t="str">
        <f>VLOOKUP(C2164,Меню!A:E,4,0)</f>
        <v>Салат</v>
      </c>
      <c r="F2164">
        <f>VLOOKUP(C2164,Меню!A:E,5,0)</f>
        <v>250</v>
      </c>
    </row>
    <row r="2165" spans="1:6" ht="15.75" hidden="1" customHeight="1" x14ac:dyDescent="0.35">
      <c r="A2165" s="1">
        <v>2164</v>
      </c>
      <c r="B2165" s="1">
        <v>415</v>
      </c>
      <c r="C2165" s="1">
        <v>23</v>
      </c>
      <c r="D2165" t="str">
        <f>VLOOKUP(B2165,Заказы!A:C,3,0)</f>
        <v>2023-06-21 15:05:00</v>
      </c>
      <c r="E2165" t="str">
        <f>VLOOKUP(C2165,Меню!A:E,4,0)</f>
        <v>Салат</v>
      </c>
      <c r="F2165">
        <f>VLOOKUP(C2165,Меню!A:E,5,0)</f>
        <v>250</v>
      </c>
    </row>
    <row r="2166" spans="1:6" ht="15.75" hidden="1" customHeight="1" x14ac:dyDescent="0.35">
      <c r="A2166" s="1">
        <v>2165</v>
      </c>
      <c r="B2166" s="1">
        <v>415</v>
      </c>
      <c r="C2166" s="1">
        <v>58</v>
      </c>
      <c r="D2166" t="str">
        <f>VLOOKUP(B2166,Заказы!A:C,3,0)</f>
        <v>2023-06-21 15:05:00</v>
      </c>
      <c r="E2166" t="str">
        <f>VLOOKUP(C2166,Меню!A:E,4,0)</f>
        <v>Суши</v>
      </c>
      <c r="F2166">
        <f>VLOOKUP(C2166,Меню!A:E,5,0)</f>
        <v>200</v>
      </c>
    </row>
    <row r="2167" spans="1:6" ht="15.75" hidden="1" customHeight="1" x14ac:dyDescent="0.35">
      <c r="A2167" s="1">
        <v>2166</v>
      </c>
      <c r="B2167" s="1">
        <v>415</v>
      </c>
      <c r="C2167" s="1">
        <v>4</v>
      </c>
      <c r="D2167" t="str">
        <f>VLOOKUP(B2167,Заказы!A:C,3,0)</f>
        <v>2023-06-21 15:05:00</v>
      </c>
      <c r="E2167" t="str">
        <f>VLOOKUP(C2167,Меню!A:E,4,0)</f>
        <v>Завтрак</v>
      </c>
      <c r="F2167">
        <f>VLOOKUP(C2167,Меню!A:E,5,0)</f>
        <v>180</v>
      </c>
    </row>
    <row r="2168" spans="1:6" ht="15.75" hidden="1" customHeight="1" x14ac:dyDescent="0.35">
      <c r="A2168" s="1">
        <v>2167</v>
      </c>
      <c r="B2168" s="1">
        <v>415</v>
      </c>
      <c r="C2168" s="1">
        <v>18</v>
      </c>
      <c r="D2168" t="str">
        <f>VLOOKUP(B2168,Заказы!A:C,3,0)</f>
        <v>2023-06-21 15:05:00</v>
      </c>
      <c r="E2168" t="str">
        <f>VLOOKUP(C2168,Меню!A:E,4,0)</f>
        <v>Первое</v>
      </c>
      <c r="F2168">
        <f>VLOOKUP(C2168,Меню!A:E,5,0)</f>
        <v>300</v>
      </c>
    </row>
    <row r="2169" spans="1:6" ht="15.75" hidden="1" customHeight="1" x14ac:dyDescent="0.35">
      <c r="A2169" s="1">
        <v>2168</v>
      </c>
      <c r="B2169" s="1">
        <v>416</v>
      </c>
      <c r="C2169" s="1">
        <v>46</v>
      </c>
      <c r="D2169" t="str">
        <f>VLOOKUP(B2169,Заказы!A:C,3,0)</f>
        <v>2023-06-21 15:33:00</v>
      </c>
      <c r="E2169" t="str">
        <f>VLOOKUP(C2169,Меню!A:E,4,0)</f>
        <v>Суши</v>
      </c>
      <c r="F2169">
        <f>VLOOKUP(C2169,Меню!A:E,5,0)</f>
        <v>200</v>
      </c>
    </row>
    <row r="2170" spans="1:6" ht="15.75" hidden="1" customHeight="1" x14ac:dyDescent="0.35">
      <c r="A2170" s="1">
        <v>2169</v>
      </c>
      <c r="B2170" s="1">
        <v>416</v>
      </c>
      <c r="C2170" s="1">
        <v>40</v>
      </c>
      <c r="D2170" t="str">
        <f>VLOOKUP(B2170,Заказы!A:C,3,0)</f>
        <v>2023-06-21 15:33:00</v>
      </c>
      <c r="E2170" t="str">
        <f>VLOOKUP(C2170,Меню!A:E,4,0)</f>
        <v>Десерт</v>
      </c>
      <c r="F2170">
        <f>VLOOKUP(C2170,Меню!A:E,5,0)</f>
        <v>150</v>
      </c>
    </row>
    <row r="2171" spans="1:6" ht="15.75" hidden="1" customHeight="1" x14ac:dyDescent="0.35">
      <c r="A2171" s="1">
        <v>2170</v>
      </c>
      <c r="B2171" s="1">
        <v>416</v>
      </c>
      <c r="C2171" s="1">
        <v>10</v>
      </c>
      <c r="D2171" t="str">
        <f>VLOOKUP(B2171,Заказы!A:C,3,0)</f>
        <v>2023-06-21 15:33:00</v>
      </c>
      <c r="E2171" t="str">
        <f>VLOOKUP(C2171,Меню!A:E,4,0)</f>
        <v>Завтрак</v>
      </c>
      <c r="F2171">
        <f>VLOOKUP(C2171,Меню!A:E,5,0)</f>
        <v>200</v>
      </c>
    </row>
    <row r="2172" spans="1:6" ht="15.75" hidden="1" customHeight="1" x14ac:dyDescent="0.35">
      <c r="A2172" s="1">
        <v>2171</v>
      </c>
      <c r="B2172" s="1">
        <v>416</v>
      </c>
      <c r="C2172" s="1">
        <v>15</v>
      </c>
      <c r="D2172" t="str">
        <f>VLOOKUP(B2172,Заказы!A:C,3,0)</f>
        <v>2023-06-21 15:33:00</v>
      </c>
      <c r="E2172" t="str">
        <f>VLOOKUP(C2172,Меню!A:E,4,0)</f>
        <v>Первое</v>
      </c>
      <c r="F2172">
        <f>VLOOKUP(C2172,Меню!A:E,5,0)</f>
        <v>250</v>
      </c>
    </row>
    <row r="2173" spans="1:6" ht="15.75" hidden="1" customHeight="1" x14ac:dyDescent="0.35">
      <c r="A2173" s="1">
        <v>2172</v>
      </c>
      <c r="B2173" s="1">
        <v>416</v>
      </c>
      <c r="C2173" s="1">
        <v>45</v>
      </c>
      <c r="D2173" t="str">
        <f>VLOOKUP(B2173,Заказы!A:C,3,0)</f>
        <v>2023-06-21 15:33:00</v>
      </c>
      <c r="E2173" t="str">
        <f>VLOOKUP(C2173,Меню!A:E,4,0)</f>
        <v>Суши</v>
      </c>
      <c r="F2173">
        <f>VLOOKUP(C2173,Меню!A:E,5,0)</f>
        <v>200</v>
      </c>
    </row>
    <row r="2174" spans="1:6" ht="15.75" hidden="1" customHeight="1" x14ac:dyDescent="0.35">
      <c r="A2174" s="1">
        <v>2173</v>
      </c>
      <c r="B2174" s="1">
        <v>417</v>
      </c>
      <c r="C2174" s="1">
        <v>48</v>
      </c>
      <c r="D2174" t="str">
        <f>VLOOKUP(B2174,Заказы!A:C,3,0)</f>
        <v>2023-06-21 16:13:00</v>
      </c>
      <c r="E2174" t="str">
        <f>VLOOKUP(C2174,Меню!A:E,4,0)</f>
        <v>Суши</v>
      </c>
      <c r="F2174">
        <f>VLOOKUP(C2174,Меню!A:E,5,0)</f>
        <v>200</v>
      </c>
    </row>
    <row r="2175" spans="1:6" ht="15.75" hidden="1" customHeight="1" x14ac:dyDescent="0.35">
      <c r="A2175" s="1">
        <v>2174</v>
      </c>
      <c r="B2175" s="1">
        <v>417</v>
      </c>
      <c r="C2175" s="1">
        <v>17</v>
      </c>
      <c r="D2175" t="str">
        <f>VLOOKUP(B2175,Заказы!A:C,3,0)</f>
        <v>2023-06-21 16:13:00</v>
      </c>
      <c r="E2175" t="str">
        <f>VLOOKUP(C2175,Меню!A:E,4,0)</f>
        <v>Первое</v>
      </c>
      <c r="F2175">
        <f>VLOOKUP(C2175,Меню!A:E,5,0)</f>
        <v>250</v>
      </c>
    </row>
    <row r="2176" spans="1:6" ht="15.75" hidden="1" customHeight="1" x14ac:dyDescent="0.35">
      <c r="A2176" s="1">
        <v>2175</v>
      </c>
      <c r="B2176" s="1">
        <v>417</v>
      </c>
      <c r="C2176" s="1">
        <v>13</v>
      </c>
      <c r="D2176" t="str">
        <f>VLOOKUP(B2176,Заказы!A:C,3,0)</f>
        <v>2023-06-21 16:13:00</v>
      </c>
      <c r="E2176" t="str">
        <f>VLOOKUP(C2176,Меню!A:E,4,0)</f>
        <v>Первое</v>
      </c>
      <c r="F2176">
        <f>VLOOKUP(C2176,Меню!A:E,5,0)</f>
        <v>280</v>
      </c>
    </row>
    <row r="2177" spans="1:6" ht="15.75" hidden="1" customHeight="1" x14ac:dyDescent="0.35">
      <c r="A2177" s="1">
        <v>2176</v>
      </c>
      <c r="B2177" s="1">
        <v>418</v>
      </c>
      <c r="C2177" s="1">
        <v>14</v>
      </c>
      <c r="D2177" t="str">
        <f>VLOOKUP(B2177,Заказы!A:C,3,0)</f>
        <v>2023-06-21 22:58:00</v>
      </c>
      <c r="E2177" t="str">
        <f>VLOOKUP(C2177,Меню!A:E,4,0)</f>
        <v>Первое</v>
      </c>
      <c r="F2177">
        <f>VLOOKUP(C2177,Меню!A:E,5,0)</f>
        <v>350</v>
      </c>
    </row>
    <row r="2178" spans="1:6" ht="15.75" hidden="1" customHeight="1" x14ac:dyDescent="0.35">
      <c r="A2178" s="1">
        <v>2177</v>
      </c>
      <c r="B2178" s="1">
        <v>418</v>
      </c>
      <c r="C2178" s="1">
        <v>48</v>
      </c>
      <c r="D2178" t="str">
        <f>VLOOKUP(B2178,Заказы!A:C,3,0)</f>
        <v>2023-06-21 22:58:00</v>
      </c>
      <c r="E2178" t="str">
        <f>VLOOKUP(C2178,Меню!A:E,4,0)</f>
        <v>Суши</v>
      </c>
      <c r="F2178">
        <f>VLOOKUP(C2178,Меню!A:E,5,0)</f>
        <v>200</v>
      </c>
    </row>
    <row r="2179" spans="1:6" ht="15.75" hidden="1" customHeight="1" x14ac:dyDescent="0.35">
      <c r="A2179" s="1">
        <v>2178</v>
      </c>
      <c r="B2179" s="1">
        <v>418</v>
      </c>
      <c r="C2179" s="1">
        <v>59</v>
      </c>
      <c r="D2179" t="str">
        <f>VLOOKUP(B2179,Заказы!A:C,3,0)</f>
        <v>2023-06-21 22:58:00</v>
      </c>
      <c r="E2179" t="str">
        <f>VLOOKUP(C2179,Меню!A:E,4,0)</f>
        <v>Суши</v>
      </c>
      <c r="F2179">
        <f>VLOOKUP(C2179,Меню!A:E,5,0)</f>
        <v>300</v>
      </c>
    </row>
    <row r="2180" spans="1:6" ht="15.75" hidden="1" customHeight="1" x14ac:dyDescent="0.35">
      <c r="A2180" s="1">
        <v>2179</v>
      </c>
      <c r="B2180" s="1">
        <v>418</v>
      </c>
      <c r="C2180" s="1">
        <v>8</v>
      </c>
      <c r="D2180" t="str">
        <f>VLOOKUP(B2180,Заказы!A:C,3,0)</f>
        <v>2023-06-21 22:58:00</v>
      </c>
      <c r="E2180" t="str">
        <f>VLOOKUP(C2180,Меню!A:E,4,0)</f>
        <v>Завтрак</v>
      </c>
      <c r="F2180">
        <f>VLOOKUP(C2180,Меню!A:E,5,0)</f>
        <v>180</v>
      </c>
    </row>
    <row r="2181" spans="1:6" ht="15.75" hidden="1" customHeight="1" x14ac:dyDescent="0.35">
      <c r="A2181" s="1">
        <v>2180</v>
      </c>
      <c r="B2181" s="1">
        <v>418</v>
      </c>
      <c r="C2181" s="1">
        <v>21</v>
      </c>
      <c r="D2181" t="str">
        <f>VLOOKUP(B2181,Заказы!A:C,3,0)</f>
        <v>2023-06-21 22:58:00</v>
      </c>
      <c r="E2181" t="str">
        <f>VLOOKUP(C2181,Меню!A:E,4,0)</f>
        <v>Салат</v>
      </c>
      <c r="F2181">
        <f>VLOOKUP(C2181,Меню!A:E,5,0)</f>
        <v>250</v>
      </c>
    </row>
    <row r="2182" spans="1:6" ht="15.75" hidden="1" customHeight="1" x14ac:dyDescent="0.35">
      <c r="A2182" s="1">
        <v>2181</v>
      </c>
      <c r="B2182" s="1">
        <v>419</v>
      </c>
      <c r="C2182" s="1">
        <v>43</v>
      </c>
      <c r="D2182" t="str">
        <f>VLOOKUP(B2182,Заказы!A:C,3,0)</f>
        <v>2023-06-22 16:39:00</v>
      </c>
      <c r="E2182" t="str">
        <f>VLOOKUP(C2182,Меню!A:E,4,0)</f>
        <v>Суши</v>
      </c>
      <c r="F2182">
        <f>VLOOKUP(C2182,Меню!A:E,5,0)</f>
        <v>250</v>
      </c>
    </row>
    <row r="2183" spans="1:6" ht="15.75" hidden="1" customHeight="1" x14ac:dyDescent="0.35">
      <c r="A2183" s="1">
        <v>2182</v>
      </c>
      <c r="B2183" s="1">
        <v>420</v>
      </c>
      <c r="C2183" s="1">
        <v>48</v>
      </c>
      <c r="D2183" t="str">
        <f>VLOOKUP(B2183,Заказы!A:C,3,0)</f>
        <v>2023-06-22 22:18:00</v>
      </c>
      <c r="E2183" t="str">
        <f>VLOOKUP(C2183,Меню!A:E,4,0)</f>
        <v>Суши</v>
      </c>
      <c r="F2183">
        <f>VLOOKUP(C2183,Меню!A:E,5,0)</f>
        <v>200</v>
      </c>
    </row>
    <row r="2184" spans="1:6" ht="15.75" hidden="1" customHeight="1" x14ac:dyDescent="0.35">
      <c r="A2184" s="1">
        <v>2183</v>
      </c>
      <c r="B2184" s="1">
        <v>420</v>
      </c>
      <c r="C2184" s="1">
        <v>4</v>
      </c>
      <c r="D2184" t="str">
        <f>VLOOKUP(B2184,Заказы!A:C,3,0)</f>
        <v>2023-06-22 22:18:00</v>
      </c>
      <c r="E2184" t="str">
        <f>VLOOKUP(C2184,Меню!A:E,4,0)</f>
        <v>Завтрак</v>
      </c>
      <c r="F2184">
        <f>VLOOKUP(C2184,Меню!A:E,5,0)</f>
        <v>180</v>
      </c>
    </row>
    <row r="2185" spans="1:6" ht="15.75" hidden="1" customHeight="1" x14ac:dyDescent="0.35">
      <c r="A2185" s="1">
        <v>2184</v>
      </c>
      <c r="B2185" s="1">
        <v>420</v>
      </c>
      <c r="C2185" s="1">
        <v>6</v>
      </c>
      <c r="D2185" t="str">
        <f>VLOOKUP(B2185,Заказы!A:C,3,0)</f>
        <v>2023-06-22 22:18:00</v>
      </c>
      <c r="E2185" t="str">
        <f>VLOOKUP(C2185,Меню!A:E,4,0)</f>
        <v>Завтрак</v>
      </c>
      <c r="F2185">
        <f>VLOOKUP(C2185,Меню!A:E,5,0)</f>
        <v>300</v>
      </c>
    </row>
    <row r="2186" spans="1:6" ht="15.75" hidden="1" customHeight="1" x14ac:dyDescent="0.35">
      <c r="A2186" s="1">
        <v>2185</v>
      </c>
      <c r="B2186" s="1">
        <v>420</v>
      </c>
      <c r="C2186" s="1">
        <v>12</v>
      </c>
      <c r="D2186" t="str">
        <f>VLOOKUP(B2186,Заказы!A:C,3,0)</f>
        <v>2023-06-22 22:18:00</v>
      </c>
      <c r="E2186" t="str">
        <f>VLOOKUP(C2186,Меню!A:E,4,0)</f>
        <v>Первое</v>
      </c>
      <c r="F2186">
        <f>VLOOKUP(C2186,Меню!A:E,5,0)</f>
        <v>300</v>
      </c>
    </row>
    <row r="2187" spans="1:6" ht="15.75" hidden="1" customHeight="1" x14ac:dyDescent="0.35">
      <c r="A2187" s="1">
        <v>2186</v>
      </c>
      <c r="B2187" s="1">
        <v>420</v>
      </c>
      <c r="C2187" s="1">
        <v>15</v>
      </c>
      <c r="D2187" t="str">
        <f>VLOOKUP(B2187,Заказы!A:C,3,0)</f>
        <v>2023-06-22 22:18:00</v>
      </c>
      <c r="E2187" t="str">
        <f>VLOOKUP(C2187,Меню!A:E,4,0)</f>
        <v>Первое</v>
      </c>
      <c r="F2187">
        <f>VLOOKUP(C2187,Меню!A:E,5,0)</f>
        <v>250</v>
      </c>
    </row>
    <row r="2188" spans="1:6" ht="15.75" hidden="1" customHeight="1" x14ac:dyDescent="0.35">
      <c r="A2188" s="1">
        <v>2187</v>
      </c>
      <c r="B2188" s="1">
        <v>420</v>
      </c>
      <c r="C2188" s="1">
        <v>23</v>
      </c>
      <c r="D2188" t="str">
        <f>VLOOKUP(B2188,Заказы!A:C,3,0)</f>
        <v>2023-06-22 22:18:00</v>
      </c>
      <c r="E2188" t="str">
        <f>VLOOKUP(C2188,Меню!A:E,4,0)</f>
        <v>Салат</v>
      </c>
      <c r="F2188">
        <f>VLOOKUP(C2188,Меню!A:E,5,0)</f>
        <v>250</v>
      </c>
    </row>
    <row r="2189" spans="1:6" ht="15.75" hidden="1" customHeight="1" x14ac:dyDescent="0.35">
      <c r="A2189" s="1">
        <v>2188</v>
      </c>
      <c r="B2189" s="1">
        <v>420</v>
      </c>
      <c r="C2189" s="1">
        <v>6</v>
      </c>
      <c r="D2189" t="str">
        <f>VLOOKUP(B2189,Заказы!A:C,3,0)</f>
        <v>2023-06-22 22:18:00</v>
      </c>
      <c r="E2189" t="str">
        <f>VLOOKUP(C2189,Меню!A:E,4,0)</f>
        <v>Завтрак</v>
      </c>
      <c r="F2189">
        <f>VLOOKUP(C2189,Меню!A:E,5,0)</f>
        <v>300</v>
      </c>
    </row>
    <row r="2190" spans="1:6" ht="15.75" hidden="1" customHeight="1" x14ac:dyDescent="0.35">
      <c r="A2190" s="1">
        <v>2189</v>
      </c>
      <c r="B2190" s="1">
        <v>420</v>
      </c>
      <c r="C2190" s="1">
        <v>51</v>
      </c>
      <c r="D2190" t="str">
        <f>VLOOKUP(B2190,Заказы!A:C,3,0)</f>
        <v>2023-06-22 22:18:00</v>
      </c>
      <c r="E2190" t="str">
        <f>VLOOKUP(C2190,Меню!A:E,4,0)</f>
        <v>Суши</v>
      </c>
      <c r="F2190">
        <f>VLOOKUP(C2190,Меню!A:E,5,0)</f>
        <v>100</v>
      </c>
    </row>
    <row r="2191" spans="1:6" ht="15.75" hidden="1" customHeight="1" x14ac:dyDescent="0.35">
      <c r="A2191" s="1">
        <v>2190</v>
      </c>
      <c r="B2191" s="1">
        <v>420</v>
      </c>
      <c r="C2191" s="1">
        <v>52</v>
      </c>
      <c r="D2191" t="str">
        <f>VLOOKUP(B2191,Заказы!A:C,3,0)</f>
        <v>2023-06-22 22:18:00</v>
      </c>
      <c r="E2191" t="str">
        <f>VLOOKUP(C2191,Меню!A:E,4,0)</f>
        <v>Суши</v>
      </c>
      <c r="F2191">
        <f>VLOOKUP(C2191,Меню!A:E,5,0)</f>
        <v>100</v>
      </c>
    </row>
    <row r="2192" spans="1:6" ht="15.75" hidden="1" customHeight="1" x14ac:dyDescent="0.35">
      <c r="A2192" s="1">
        <v>2191</v>
      </c>
      <c r="B2192" s="1">
        <v>421</v>
      </c>
      <c r="C2192" s="1">
        <v>58</v>
      </c>
      <c r="D2192" t="str">
        <f>VLOOKUP(B2192,Заказы!A:C,3,0)</f>
        <v>2023-06-22 22:32:00</v>
      </c>
      <c r="E2192" t="str">
        <f>VLOOKUP(C2192,Меню!A:E,4,0)</f>
        <v>Суши</v>
      </c>
      <c r="F2192">
        <f>VLOOKUP(C2192,Меню!A:E,5,0)</f>
        <v>200</v>
      </c>
    </row>
    <row r="2193" spans="1:6" ht="15.75" hidden="1" customHeight="1" x14ac:dyDescent="0.35">
      <c r="A2193" s="1">
        <v>2192</v>
      </c>
      <c r="B2193" s="1">
        <v>421</v>
      </c>
      <c r="C2193" s="1">
        <v>14</v>
      </c>
      <c r="D2193" t="str">
        <f>VLOOKUP(B2193,Заказы!A:C,3,0)</f>
        <v>2023-06-22 22:32:00</v>
      </c>
      <c r="E2193" t="str">
        <f>VLOOKUP(C2193,Меню!A:E,4,0)</f>
        <v>Первое</v>
      </c>
      <c r="F2193">
        <f>VLOOKUP(C2193,Меню!A:E,5,0)</f>
        <v>350</v>
      </c>
    </row>
    <row r="2194" spans="1:6" ht="15.75" hidden="1" customHeight="1" x14ac:dyDescent="0.35">
      <c r="A2194" s="1">
        <v>2193</v>
      </c>
      <c r="B2194" s="1">
        <v>421</v>
      </c>
      <c r="C2194" s="1">
        <v>36</v>
      </c>
      <c r="D2194" t="str">
        <f>VLOOKUP(B2194,Заказы!A:C,3,0)</f>
        <v>2023-06-22 22:32:00</v>
      </c>
      <c r="E2194" t="str">
        <f>VLOOKUP(C2194,Меню!A:E,4,0)</f>
        <v>Десерт</v>
      </c>
      <c r="F2194">
        <f>VLOOKUP(C2194,Меню!A:E,5,0)</f>
        <v>150</v>
      </c>
    </row>
    <row r="2195" spans="1:6" ht="15.75" hidden="1" customHeight="1" x14ac:dyDescent="0.35">
      <c r="A2195" s="1">
        <v>2194</v>
      </c>
      <c r="B2195" s="1">
        <v>421</v>
      </c>
      <c r="C2195" s="1">
        <v>13</v>
      </c>
      <c r="D2195" t="str">
        <f>VLOOKUP(B2195,Заказы!A:C,3,0)</f>
        <v>2023-06-22 22:32:00</v>
      </c>
      <c r="E2195" t="str">
        <f>VLOOKUP(C2195,Меню!A:E,4,0)</f>
        <v>Первое</v>
      </c>
      <c r="F2195">
        <f>VLOOKUP(C2195,Меню!A:E,5,0)</f>
        <v>280</v>
      </c>
    </row>
    <row r="2196" spans="1:6" ht="15.75" hidden="1" customHeight="1" x14ac:dyDescent="0.35">
      <c r="A2196" s="1">
        <v>2195</v>
      </c>
      <c r="B2196" s="1">
        <v>422</v>
      </c>
      <c r="C2196" s="1">
        <v>33</v>
      </c>
      <c r="D2196" t="str">
        <f>VLOOKUP(B2196,Заказы!A:C,3,0)</f>
        <v>2023-06-23 15:17:00</v>
      </c>
      <c r="E2196" t="str">
        <f>VLOOKUP(C2196,Меню!A:E,4,0)</f>
        <v>Десерт</v>
      </c>
      <c r="F2196">
        <f>VLOOKUP(C2196,Меню!A:E,5,0)</f>
        <v>150</v>
      </c>
    </row>
    <row r="2197" spans="1:6" ht="15.75" hidden="1" customHeight="1" x14ac:dyDescent="0.35">
      <c r="A2197" s="1">
        <v>2196</v>
      </c>
      <c r="B2197" s="1">
        <v>422</v>
      </c>
      <c r="C2197" s="1">
        <v>59</v>
      </c>
      <c r="D2197" t="str">
        <f>VLOOKUP(B2197,Заказы!A:C,3,0)</f>
        <v>2023-06-23 15:17:00</v>
      </c>
      <c r="E2197" t="str">
        <f>VLOOKUP(C2197,Меню!A:E,4,0)</f>
        <v>Суши</v>
      </c>
      <c r="F2197">
        <f>VLOOKUP(C2197,Меню!A:E,5,0)</f>
        <v>300</v>
      </c>
    </row>
    <row r="2198" spans="1:6" ht="15.75" hidden="1" customHeight="1" x14ac:dyDescent="0.35">
      <c r="A2198" s="1">
        <v>2197</v>
      </c>
      <c r="B2198" s="1">
        <v>422</v>
      </c>
      <c r="C2198" s="1">
        <v>39</v>
      </c>
      <c r="D2198" t="str">
        <f>VLOOKUP(B2198,Заказы!A:C,3,0)</f>
        <v>2023-06-23 15:17:00</v>
      </c>
      <c r="E2198" t="str">
        <f>VLOOKUP(C2198,Меню!A:E,4,0)</f>
        <v>Десерт</v>
      </c>
      <c r="F2198">
        <f>VLOOKUP(C2198,Меню!A:E,5,0)</f>
        <v>150</v>
      </c>
    </row>
    <row r="2199" spans="1:6" ht="15.75" hidden="1" customHeight="1" x14ac:dyDescent="0.35">
      <c r="A2199" s="1">
        <v>2198</v>
      </c>
      <c r="B2199" s="1">
        <v>422</v>
      </c>
      <c r="C2199" s="1">
        <v>33</v>
      </c>
      <c r="D2199" t="str">
        <f>VLOOKUP(B2199,Заказы!A:C,3,0)</f>
        <v>2023-06-23 15:17:00</v>
      </c>
      <c r="E2199" t="str">
        <f>VLOOKUP(C2199,Меню!A:E,4,0)</f>
        <v>Десерт</v>
      </c>
      <c r="F2199">
        <f>VLOOKUP(C2199,Меню!A:E,5,0)</f>
        <v>150</v>
      </c>
    </row>
    <row r="2200" spans="1:6" ht="15.75" hidden="1" customHeight="1" x14ac:dyDescent="0.35">
      <c r="A2200" s="1">
        <v>2199</v>
      </c>
      <c r="B2200" s="1">
        <v>423</v>
      </c>
      <c r="C2200" s="1">
        <v>45</v>
      </c>
      <c r="D2200" t="str">
        <f>VLOOKUP(B2200,Заказы!A:C,3,0)</f>
        <v>2023-06-23 17:13:00</v>
      </c>
      <c r="E2200" t="str">
        <f>VLOOKUP(C2200,Меню!A:E,4,0)</f>
        <v>Суши</v>
      </c>
      <c r="F2200">
        <f>VLOOKUP(C2200,Меню!A:E,5,0)</f>
        <v>200</v>
      </c>
    </row>
    <row r="2201" spans="1:6" ht="15.75" hidden="1" customHeight="1" x14ac:dyDescent="0.35">
      <c r="A2201" s="1">
        <v>2200</v>
      </c>
      <c r="B2201" s="1">
        <v>423</v>
      </c>
      <c r="C2201" s="1">
        <v>41</v>
      </c>
      <c r="D2201" t="str">
        <f>VLOOKUP(B2201,Заказы!A:C,3,0)</f>
        <v>2023-06-23 17:13:00</v>
      </c>
      <c r="E2201" t="str">
        <f>VLOOKUP(C2201,Меню!A:E,4,0)</f>
        <v>Суши</v>
      </c>
      <c r="F2201">
        <f>VLOOKUP(C2201,Меню!A:E,5,0)</f>
        <v>220</v>
      </c>
    </row>
    <row r="2202" spans="1:6" ht="15.75" hidden="1" customHeight="1" x14ac:dyDescent="0.35">
      <c r="A2202" s="1">
        <v>2201</v>
      </c>
      <c r="B2202" s="1">
        <v>423</v>
      </c>
      <c r="C2202" s="1">
        <v>26</v>
      </c>
      <c r="D2202" t="str">
        <f>VLOOKUP(B2202,Заказы!A:C,3,0)</f>
        <v>2023-06-23 17:13:00</v>
      </c>
      <c r="E2202" t="str">
        <f>VLOOKUP(C2202,Меню!A:E,4,0)</f>
        <v>Салат</v>
      </c>
      <c r="F2202">
        <f>VLOOKUP(C2202,Меню!A:E,5,0)</f>
        <v>250</v>
      </c>
    </row>
    <row r="2203" spans="1:6" ht="15.75" hidden="1" customHeight="1" x14ac:dyDescent="0.35">
      <c r="A2203" s="1">
        <v>2202</v>
      </c>
      <c r="B2203" s="1">
        <v>423</v>
      </c>
      <c r="C2203" s="1">
        <v>19</v>
      </c>
      <c r="D2203" t="str">
        <f>VLOOKUP(B2203,Заказы!A:C,3,0)</f>
        <v>2023-06-23 17:13:00</v>
      </c>
      <c r="E2203" t="str">
        <f>VLOOKUP(C2203,Меню!A:E,4,0)</f>
        <v>Первое</v>
      </c>
      <c r="F2203">
        <f>VLOOKUP(C2203,Меню!A:E,5,0)</f>
        <v>300</v>
      </c>
    </row>
    <row r="2204" spans="1:6" ht="15.75" hidden="1" customHeight="1" x14ac:dyDescent="0.35">
      <c r="A2204" s="1">
        <v>2203</v>
      </c>
      <c r="B2204" s="1">
        <v>424</v>
      </c>
      <c r="C2204" s="1">
        <v>44</v>
      </c>
      <c r="D2204" t="str">
        <f>VLOOKUP(B2204,Заказы!A:C,3,0)</f>
        <v>2023-06-23 19:04:00</v>
      </c>
      <c r="E2204" t="str">
        <f>VLOOKUP(C2204,Меню!A:E,4,0)</f>
        <v>Суши</v>
      </c>
      <c r="F2204">
        <f>VLOOKUP(C2204,Меню!A:E,5,0)</f>
        <v>250</v>
      </c>
    </row>
    <row r="2205" spans="1:6" ht="15.75" hidden="1" customHeight="1" x14ac:dyDescent="0.35">
      <c r="A2205" s="1">
        <v>2204</v>
      </c>
      <c r="B2205" s="1">
        <v>424</v>
      </c>
      <c r="C2205" s="1">
        <v>3</v>
      </c>
      <c r="D2205" t="str">
        <f>VLOOKUP(B2205,Заказы!A:C,3,0)</f>
        <v>2023-06-23 19:04:00</v>
      </c>
      <c r="E2205" t="str">
        <f>VLOOKUP(C2205,Меню!A:E,4,0)</f>
        <v>Завтрак</v>
      </c>
      <c r="F2205">
        <f>VLOOKUP(C2205,Меню!A:E,5,0)</f>
        <v>150</v>
      </c>
    </row>
    <row r="2206" spans="1:6" ht="15.75" hidden="1" customHeight="1" x14ac:dyDescent="0.35">
      <c r="A2206" s="1">
        <v>2205</v>
      </c>
      <c r="B2206" s="1">
        <v>424</v>
      </c>
      <c r="C2206" s="1">
        <v>20</v>
      </c>
      <c r="D2206" t="str">
        <f>VLOOKUP(B2206,Заказы!A:C,3,0)</f>
        <v>2023-06-23 19:04:00</v>
      </c>
      <c r="E2206" t="str">
        <f>VLOOKUP(C2206,Меню!A:E,4,0)</f>
        <v>Первое</v>
      </c>
      <c r="F2206">
        <f>VLOOKUP(C2206,Меню!A:E,5,0)</f>
        <v>250</v>
      </c>
    </row>
    <row r="2207" spans="1:6" ht="15.75" hidden="1" customHeight="1" x14ac:dyDescent="0.35">
      <c r="A2207" s="1">
        <v>2206</v>
      </c>
      <c r="B2207" s="1">
        <v>424</v>
      </c>
      <c r="C2207" s="1">
        <v>19</v>
      </c>
      <c r="D2207" t="str">
        <f>VLOOKUP(B2207,Заказы!A:C,3,0)</f>
        <v>2023-06-23 19:04:00</v>
      </c>
      <c r="E2207" t="str">
        <f>VLOOKUP(C2207,Меню!A:E,4,0)</f>
        <v>Первое</v>
      </c>
      <c r="F2207">
        <f>VLOOKUP(C2207,Меню!A:E,5,0)</f>
        <v>300</v>
      </c>
    </row>
    <row r="2208" spans="1:6" ht="15.75" hidden="1" customHeight="1" x14ac:dyDescent="0.35">
      <c r="A2208" s="1">
        <v>2207</v>
      </c>
      <c r="B2208" s="1">
        <v>424</v>
      </c>
      <c r="C2208" s="1">
        <v>4</v>
      </c>
      <c r="D2208" t="str">
        <f>VLOOKUP(B2208,Заказы!A:C,3,0)</f>
        <v>2023-06-23 19:04:00</v>
      </c>
      <c r="E2208" t="str">
        <f>VLOOKUP(C2208,Меню!A:E,4,0)</f>
        <v>Завтрак</v>
      </c>
      <c r="F2208">
        <f>VLOOKUP(C2208,Меню!A:E,5,0)</f>
        <v>180</v>
      </c>
    </row>
    <row r="2209" spans="1:6" ht="15.75" hidden="1" customHeight="1" x14ac:dyDescent="0.35">
      <c r="A2209" s="1">
        <v>2208</v>
      </c>
      <c r="B2209" s="1">
        <v>424</v>
      </c>
      <c r="C2209" s="1">
        <v>8</v>
      </c>
      <c r="D2209" t="str">
        <f>VLOOKUP(B2209,Заказы!A:C,3,0)</f>
        <v>2023-06-23 19:04:00</v>
      </c>
      <c r="E2209" t="str">
        <f>VLOOKUP(C2209,Меню!A:E,4,0)</f>
        <v>Завтрак</v>
      </c>
      <c r="F2209">
        <f>VLOOKUP(C2209,Меню!A:E,5,0)</f>
        <v>180</v>
      </c>
    </row>
    <row r="2210" spans="1:6" ht="15.75" hidden="1" customHeight="1" x14ac:dyDescent="0.35">
      <c r="A2210" s="1">
        <v>2209</v>
      </c>
      <c r="B2210" s="1">
        <v>424</v>
      </c>
      <c r="C2210" s="1">
        <v>22</v>
      </c>
      <c r="D2210" t="str">
        <f>VLOOKUP(B2210,Заказы!A:C,3,0)</f>
        <v>2023-06-23 19:04:00</v>
      </c>
      <c r="E2210" t="str">
        <f>VLOOKUP(C2210,Меню!A:E,4,0)</f>
        <v>Салат</v>
      </c>
      <c r="F2210">
        <f>VLOOKUP(C2210,Меню!A:E,5,0)</f>
        <v>250</v>
      </c>
    </row>
    <row r="2211" spans="1:6" ht="15.75" hidden="1" customHeight="1" x14ac:dyDescent="0.35">
      <c r="A2211" s="1">
        <v>2210</v>
      </c>
      <c r="B2211" s="1">
        <v>424</v>
      </c>
      <c r="C2211" s="1">
        <v>16</v>
      </c>
      <c r="D2211" t="str">
        <f>VLOOKUP(B2211,Заказы!A:C,3,0)</f>
        <v>2023-06-23 19:04:00</v>
      </c>
      <c r="E2211" t="str">
        <f>VLOOKUP(C2211,Меню!A:E,4,0)</f>
        <v>Первое</v>
      </c>
      <c r="F2211">
        <f>VLOOKUP(C2211,Меню!A:E,5,0)</f>
        <v>250</v>
      </c>
    </row>
    <row r="2212" spans="1:6" ht="15.75" hidden="1" customHeight="1" x14ac:dyDescent="0.35">
      <c r="A2212" s="1">
        <v>2211</v>
      </c>
      <c r="B2212" s="1">
        <v>425</v>
      </c>
      <c r="C2212" s="1">
        <v>14</v>
      </c>
      <c r="D2212" t="str">
        <f>VLOOKUP(B2212,Заказы!A:C,3,0)</f>
        <v>2023-06-23 19:08:00</v>
      </c>
      <c r="E2212" t="str">
        <f>VLOOKUP(C2212,Меню!A:E,4,0)</f>
        <v>Первое</v>
      </c>
      <c r="F2212">
        <f>VLOOKUP(C2212,Меню!A:E,5,0)</f>
        <v>350</v>
      </c>
    </row>
    <row r="2213" spans="1:6" ht="15.75" hidden="1" customHeight="1" x14ac:dyDescent="0.35">
      <c r="A2213" s="1">
        <v>2212</v>
      </c>
      <c r="B2213" s="1">
        <v>425</v>
      </c>
      <c r="C2213" s="1">
        <v>55</v>
      </c>
      <c r="D2213" t="str">
        <f>VLOOKUP(B2213,Заказы!A:C,3,0)</f>
        <v>2023-06-23 19:08:00</v>
      </c>
      <c r="E2213" t="str">
        <f>VLOOKUP(C2213,Меню!A:E,4,0)</f>
        <v>Суши</v>
      </c>
      <c r="F2213">
        <f>VLOOKUP(C2213,Меню!A:E,5,0)</f>
        <v>100</v>
      </c>
    </row>
    <row r="2214" spans="1:6" ht="15.75" hidden="1" customHeight="1" x14ac:dyDescent="0.35">
      <c r="A2214" s="1">
        <v>2213</v>
      </c>
      <c r="B2214" s="1">
        <v>425</v>
      </c>
      <c r="C2214" s="1">
        <v>49</v>
      </c>
      <c r="D2214" t="str">
        <f>VLOOKUP(B2214,Заказы!A:C,3,0)</f>
        <v>2023-06-23 19:08:00</v>
      </c>
      <c r="E2214" t="str">
        <f>VLOOKUP(C2214,Меню!A:E,4,0)</f>
        <v>Суши</v>
      </c>
      <c r="F2214">
        <f>VLOOKUP(C2214,Меню!A:E,5,0)</f>
        <v>200</v>
      </c>
    </row>
    <row r="2215" spans="1:6" ht="15.75" hidden="1" customHeight="1" x14ac:dyDescent="0.35">
      <c r="A2215" s="1">
        <v>2214</v>
      </c>
      <c r="B2215" s="1">
        <v>425</v>
      </c>
      <c r="C2215" s="1">
        <v>20</v>
      </c>
      <c r="D2215" t="str">
        <f>VLOOKUP(B2215,Заказы!A:C,3,0)</f>
        <v>2023-06-23 19:08:00</v>
      </c>
      <c r="E2215" t="str">
        <f>VLOOKUP(C2215,Меню!A:E,4,0)</f>
        <v>Первое</v>
      </c>
      <c r="F2215">
        <f>VLOOKUP(C2215,Меню!A:E,5,0)</f>
        <v>250</v>
      </c>
    </row>
    <row r="2216" spans="1:6" ht="15.75" hidden="1" customHeight="1" x14ac:dyDescent="0.35">
      <c r="A2216" s="1">
        <v>2215</v>
      </c>
      <c r="B2216" s="1">
        <v>426</v>
      </c>
      <c r="C2216" s="1">
        <v>7</v>
      </c>
      <c r="D2216" t="str">
        <f>VLOOKUP(B2216,Заказы!A:C,3,0)</f>
        <v>2023-06-23 20:02:00</v>
      </c>
      <c r="E2216" t="str">
        <f>VLOOKUP(C2216,Меню!A:E,4,0)</f>
        <v>Завтрак</v>
      </c>
      <c r="F2216">
        <f>VLOOKUP(C2216,Меню!A:E,5,0)</f>
        <v>200</v>
      </c>
    </row>
    <row r="2217" spans="1:6" ht="15.75" hidden="1" customHeight="1" x14ac:dyDescent="0.35">
      <c r="A2217" s="1">
        <v>2216</v>
      </c>
      <c r="B2217" s="1">
        <v>426</v>
      </c>
      <c r="C2217" s="1">
        <v>56</v>
      </c>
      <c r="D2217" t="str">
        <f>VLOOKUP(B2217,Заказы!A:C,3,0)</f>
        <v>2023-06-23 20:02:00</v>
      </c>
      <c r="E2217" t="str">
        <f>VLOOKUP(C2217,Меню!A:E,4,0)</f>
        <v>Суши</v>
      </c>
      <c r="F2217">
        <f>VLOOKUP(C2217,Меню!A:E,5,0)</f>
        <v>200</v>
      </c>
    </row>
    <row r="2218" spans="1:6" ht="15.75" hidden="1" customHeight="1" x14ac:dyDescent="0.35">
      <c r="A2218" s="1">
        <v>2217</v>
      </c>
      <c r="B2218" s="1">
        <v>426</v>
      </c>
      <c r="C2218" s="1">
        <v>15</v>
      </c>
      <c r="D2218" t="str">
        <f>VLOOKUP(B2218,Заказы!A:C,3,0)</f>
        <v>2023-06-23 20:02:00</v>
      </c>
      <c r="E2218" t="str">
        <f>VLOOKUP(C2218,Меню!A:E,4,0)</f>
        <v>Первое</v>
      </c>
      <c r="F2218">
        <f>VLOOKUP(C2218,Меню!A:E,5,0)</f>
        <v>250</v>
      </c>
    </row>
    <row r="2219" spans="1:6" ht="15.75" hidden="1" customHeight="1" x14ac:dyDescent="0.35">
      <c r="A2219" s="1">
        <v>2218</v>
      </c>
      <c r="B2219" s="1">
        <v>427</v>
      </c>
      <c r="C2219" s="1">
        <v>32</v>
      </c>
      <c r="D2219" t="str">
        <f>VLOOKUP(B2219,Заказы!A:C,3,0)</f>
        <v>2023-06-24 16:32:00</v>
      </c>
      <c r="E2219" t="str">
        <f>VLOOKUP(C2219,Меню!A:E,4,0)</f>
        <v>Десерт</v>
      </c>
      <c r="F2219">
        <f>VLOOKUP(C2219,Меню!A:E,5,0)</f>
        <v>150</v>
      </c>
    </row>
    <row r="2220" spans="1:6" ht="15.75" hidden="1" customHeight="1" x14ac:dyDescent="0.35">
      <c r="A2220" s="1">
        <v>2219</v>
      </c>
      <c r="B2220" s="1">
        <v>427</v>
      </c>
      <c r="C2220" s="1">
        <v>60</v>
      </c>
      <c r="D2220" t="str">
        <f>VLOOKUP(B2220,Заказы!A:C,3,0)</f>
        <v>2023-06-24 16:32:00</v>
      </c>
      <c r="E2220" t="str">
        <f>VLOOKUP(C2220,Меню!A:E,4,0)</f>
        <v>Суши</v>
      </c>
      <c r="F2220">
        <f>VLOOKUP(C2220,Меню!A:E,5,0)</f>
        <v>250</v>
      </c>
    </row>
    <row r="2221" spans="1:6" ht="15.75" hidden="1" customHeight="1" x14ac:dyDescent="0.35">
      <c r="A2221" s="1">
        <v>2220</v>
      </c>
      <c r="B2221" s="1">
        <v>427</v>
      </c>
      <c r="C2221" s="1">
        <v>55</v>
      </c>
      <c r="D2221" t="str">
        <f>VLOOKUP(B2221,Заказы!A:C,3,0)</f>
        <v>2023-06-24 16:32:00</v>
      </c>
      <c r="E2221" t="str">
        <f>VLOOKUP(C2221,Меню!A:E,4,0)</f>
        <v>Суши</v>
      </c>
      <c r="F2221">
        <f>VLOOKUP(C2221,Меню!A:E,5,0)</f>
        <v>100</v>
      </c>
    </row>
    <row r="2222" spans="1:6" ht="15.75" hidden="1" customHeight="1" x14ac:dyDescent="0.35">
      <c r="A2222" s="1">
        <v>2221</v>
      </c>
      <c r="B2222" s="1">
        <v>428</v>
      </c>
      <c r="C2222" s="1">
        <v>7</v>
      </c>
      <c r="D2222" t="str">
        <f>VLOOKUP(B2222,Заказы!A:C,3,0)</f>
        <v>2023-06-24 22:29:00</v>
      </c>
      <c r="E2222" t="str">
        <f>VLOOKUP(C2222,Меню!A:E,4,0)</f>
        <v>Завтрак</v>
      </c>
      <c r="F2222">
        <f>VLOOKUP(C2222,Меню!A:E,5,0)</f>
        <v>200</v>
      </c>
    </row>
    <row r="2223" spans="1:6" ht="15.75" hidden="1" customHeight="1" x14ac:dyDescent="0.35">
      <c r="A2223" s="1">
        <v>2222</v>
      </c>
      <c r="B2223" s="1">
        <v>428</v>
      </c>
      <c r="C2223" s="1">
        <v>45</v>
      </c>
      <c r="D2223" t="str">
        <f>VLOOKUP(B2223,Заказы!A:C,3,0)</f>
        <v>2023-06-24 22:29:00</v>
      </c>
      <c r="E2223" t="str">
        <f>VLOOKUP(C2223,Меню!A:E,4,0)</f>
        <v>Суши</v>
      </c>
      <c r="F2223">
        <f>VLOOKUP(C2223,Меню!A:E,5,0)</f>
        <v>200</v>
      </c>
    </row>
    <row r="2224" spans="1:6" ht="15.75" hidden="1" customHeight="1" x14ac:dyDescent="0.35">
      <c r="A2224" s="1">
        <v>2223</v>
      </c>
      <c r="B2224" s="1">
        <v>428</v>
      </c>
      <c r="C2224" s="1">
        <v>11</v>
      </c>
      <c r="D2224" t="str">
        <f>VLOOKUP(B2224,Заказы!A:C,3,0)</f>
        <v>2023-06-24 22:29:00</v>
      </c>
      <c r="E2224" t="str">
        <f>VLOOKUP(C2224,Меню!A:E,4,0)</f>
        <v>Первое</v>
      </c>
      <c r="F2224">
        <f>VLOOKUP(C2224,Меню!A:E,5,0)</f>
        <v>300</v>
      </c>
    </row>
    <row r="2225" spans="1:6" ht="15.75" hidden="1" customHeight="1" x14ac:dyDescent="0.35">
      <c r="A2225" s="1">
        <v>2224</v>
      </c>
      <c r="B2225" s="1">
        <v>428</v>
      </c>
      <c r="C2225" s="1">
        <v>4</v>
      </c>
      <c r="D2225" t="str">
        <f>VLOOKUP(B2225,Заказы!A:C,3,0)</f>
        <v>2023-06-24 22:29:00</v>
      </c>
      <c r="E2225" t="str">
        <f>VLOOKUP(C2225,Меню!A:E,4,0)</f>
        <v>Завтрак</v>
      </c>
      <c r="F2225">
        <f>VLOOKUP(C2225,Меню!A:E,5,0)</f>
        <v>180</v>
      </c>
    </row>
    <row r="2226" spans="1:6" ht="15.75" hidden="1" customHeight="1" x14ac:dyDescent="0.35">
      <c r="A2226" s="1">
        <v>2225</v>
      </c>
      <c r="B2226" s="1">
        <v>428</v>
      </c>
      <c r="C2226" s="1">
        <v>31</v>
      </c>
      <c r="D2226" t="str">
        <f>VLOOKUP(B2226,Заказы!A:C,3,0)</f>
        <v>2023-06-24 22:29:00</v>
      </c>
      <c r="E2226" t="str">
        <f>VLOOKUP(C2226,Меню!A:E,4,0)</f>
        <v>Десерт</v>
      </c>
      <c r="F2226">
        <f>VLOOKUP(C2226,Меню!A:E,5,0)</f>
        <v>150</v>
      </c>
    </row>
    <row r="2227" spans="1:6" ht="15.75" hidden="1" customHeight="1" x14ac:dyDescent="0.35">
      <c r="A2227" s="1">
        <v>2226</v>
      </c>
      <c r="B2227" s="1">
        <v>428</v>
      </c>
      <c r="C2227" s="1">
        <v>6</v>
      </c>
      <c r="D2227" t="str">
        <f>VLOOKUP(B2227,Заказы!A:C,3,0)</f>
        <v>2023-06-24 22:29:00</v>
      </c>
      <c r="E2227" t="str">
        <f>VLOOKUP(C2227,Меню!A:E,4,0)</f>
        <v>Завтрак</v>
      </c>
      <c r="F2227">
        <f>VLOOKUP(C2227,Меню!A:E,5,0)</f>
        <v>300</v>
      </c>
    </row>
    <row r="2228" spans="1:6" ht="15.75" hidden="1" customHeight="1" x14ac:dyDescent="0.35">
      <c r="A2228" s="1">
        <v>2227</v>
      </c>
      <c r="B2228" s="1">
        <v>428</v>
      </c>
      <c r="C2228" s="1">
        <v>24</v>
      </c>
      <c r="D2228" t="str">
        <f>VLOOKUP(B2228,Заказы!A:C,3,0)</f>
        <v>2023-06-24 22:29:00</v>
      </c>
      <c r="E2228" t="str">
        <f>VLOOKUP(C2228,Меню!A:E,4,0)</f>
        <v>Салат</v>
      </c>
      <c r="F2228">
        <f>VLOOKUP(C2228,Меню!A:E,5,0)</f>
        <v>250</v>
      </c>
    </row>
    <row r="2229" spans="1:6" ht="15.75" hidden="1" customHeight="1" x14ac:dyDescent="0.35">
      <c r="A2229" s="1">
        <v>2228</v>
      </c>
      <c r="B2229" s="1">
        <v>428</v>
      </c>
      <c r="C2229" s="1">
        <v>38</v>
      </c>
      <c r="D2229" t="str">
        <f>VLOOKUP(B2229,Заказы!A:C,3,0)</f>
        <v>2023-06-24 22:29:00</v>
      </c>
      <c r="E2229" t="str">
        <f>VLOOKUP(C2229,Меню!A:E,4,0)</f>
        <v>Десерт</v>
      </c>
      <c r="F2229">
        <f>VLOOKUP(C2229,Меню!A:E,5,0)</f>
        <v>150</v>
      </c>
    </row>
    <row r="2230" spans="1:6" ht="15.75" hidden="1" customHeight="1" x14ac:dyDescent="0.35">
      <c r="A2230" s="1">
        <v>2229</v>
      </c>
      <c r="B2230" s="1">
        <v>428</v>
      </c>
      <c r="C2230" s="1">
        <v>1</v>
      </c>
      <c r="D2230" t="str">
        <f>VLOOKUP(B2230,Заказы!A:C,3,0)</f>
        <v>2023-06-24 22:29:00</v>
      </c>
      <c r="E2230" t="str">
        <f>VLOOKUP(C2230,Меню!A:E,4,0)</f>
        <v>Завтрак</v>
      </c>
      <c r="F2230">
        <f>VLOOKUP(C2230,Меню!A:E,5,0)</f>
        <v>200</v>
      </c>
    </row>
    <row r="2231" spans="1:6" ht="15.75" hidden="1" customHeight="1" x14ac:dyDescent="0.35">
      <c r="A2231" s="1">
        <v>2230</v>
      </c>
      <c r="B2231" s="1">
        <v>428</v>
      </c>
      <c r="C2231" s="1">
        <v>60</v>
      </c>
      <c r="D2231" t="str">
        <f>VLOOKUP(B2231,Заказы!A:C,3,0)</f>
        <v>2023-06-24 22:29:00</v>
      </c>
      <c r="E2231" t="str">
        <f>VLOOKUP(C2231,Меню!A:E,4,0)</f>
        <v>Суши</v>
      </c>
      <c r="F2231">
        <f>VLOOKUP(C2231,Меню!A:E,5,0)</f>
        <v>250</v>
      </c>
    </row>
    <row r="2232" spans="1:6" ht="15.75" hidden="1" customHeight="1" x14ac:dyDescent="0.35">
      <c r="A2232" s="1">
        <v>2231</v>
      </c>
      <c r="B2232" s="1">
        <v>428</v>
      </c>
      <c r="C2232" s="1">
        <v>55</v>
      </c>
      <c r="D2232" t="str">
        <f>VLOOKUP(B2232,Заказы!A:C,3,0)</f>
        <v>2023-06-24 22:29:00</v>
      </c>
      <c r="E2232" t="str">
        <f>VLOOKUP(C2232,Меню!A:E,4,0)</f>
        <v>Суши</v>
      </c>
      <c r="F2232">
        <f>VLOOKUP(C2232,Меню!A:E,5,0)</f>
        <v>100</v>
      </c>
    </row>
    <row r="2233" spans="1:6" ht="15.75" hidden="1" customHeight="1" x14ac:dyDescent="0.35">
      <c r="A2233" s="1">
        <v>2232</v>
      </c>
      <c r="B2233" s="1">
        <v>429</v>
      </c>
      <c r="C2233" s="1">
        <v>56</v>
      </c>
      <c r="D2233" t="str">
        <f>VLOOKUP(B2233,Заказы!A:C,3,0)</f>
        <v>2023-06-25 17:02:00</v>
      </c>
      <c r="E2233" t="str">
        <f>VLOOKUP(C2233,Меню!A:E,4,0)</f>
        <v>Суши</v>
      </c>
      <c r="F2233">
        <f>VLOOKUP(C2233,Меню!A:E,5,0)</f>
        <v>200</v>
      </c>
    </row>
    <row r="2234" spans="1:6" ht="15.75" hidden="1" customHeight="1" x14ac:dyDescent="0.35">
      <c r="A2234" s="1">
        <v>2233</v>
      </c>
      <c r="B2234" s="1">
        <v>429</v>
      </c>
      <c r="C2234" s="1">
        <v>32</v>
      </c>
      <c r="D2234" t="str">
        <f>VLOOKUP(B2234,Заказы!A:C,3,0)</f>
        <v>2023-06-25 17:02:00</v>
      </c>
      <c r="E2234" t="str">
        <f>VLOOKUP(C2234,Меню!A:E,4,0)</f>
        <v>Десерт</v>
      </c>
      <c r="F2234">
        <f>VLOOKUP(C2234,Меню!A:E,5,0)</f>
        <v>150</v>
      </c>
    </row>
    <row r="2235" spans="1:6" ht="15.75" hidden="1" customHeight="1" x14ac:dyDescent="0.35">
      <c r="A2235" s="1">
        <v>2234</v>
      </c>
      <c r="B2235" s="1">
        <v>430</v>
      </c>
      <c r="C2235" s="1">
        <v>21</v>
      </c>
      <c r="D2235" t="str">
        <f>VLOOKUP(B2235,Заказы!A:C,3,0)</f>
        <v>2023-06-25 17:03:00</v>
      </c>
      <c r="E2235" t="str">
        <f>VLOOKUP(C2235,Меню!A:E,4,0)</f>
        <v>Салат</v>
      </c>
      <c r="F2235">
        <f>VLOOKUP(C2235,Меню!A:E,5,0)</f>
        <v>250</v>
      </c>
    </row>
    <row r="2236" spans="1:6" ht="15.75" hidden="1" customHeight="1" x14ac:dyDescent="0.35">
      <c r="A2236" s="1">
        <v>2235</v>
      </c>
      <c r="B2236" s="1">
        <v>430</v>
      </c>
      <c r="C2236" s="1">
        <v>46</v>
      </c>
      <c r="D2236" t="str">
        <f>VLOOKUP(B2236,Заказы!A:C,3,0)</f>
        <v>2023-06-25 17:03:00</v>
      </c>
      <c r="E2236" t="str">
        <f>VLOOKUP(C2236,Меню!A:E,4,0)</f>
        <v>Суши</v>
      </c>
      <c r="F2236">
        <f>VLOOKUP(C2236,Меню!A:E,5,0)</f>
        <v>200</v>
      </c>
    </row>
    <row r="2237" spans="1:6" ht="15.75" hidden="1" customHeight="1" x14ac:dyDescent="0.35">
      <c r="A2237" s="1">
        <v>2236</v>
      </c>
      <c r="B2237" s="1">
        <v>430</v>
      </c>
      <c r="C2237" s="1">
        <v>12</v>
      </c>
      <c r="D2237" t="str">
        <f>VLOOKUP(B2237,Заказы!A:C,3,0)</f>
        <v>2023-06-25 17:03:00</v>
      </c>
      <c r="E2237" t="str">
        <f>VLOOKUP(C2237,Меню!A:E,4,0)</f>
        <v>Первое</v>
      </c>
      <c r="F2237">
        <f>VLOOKUP(C2237,Меню!A:E,5,0)</f>
        <v>300</v>
      </c>
    </row>
    <row r="2238" spans="1:6" ht="15.75" hidden="1" customHeight="1" x14ac:dyDescent="0.35">
      <c r="A2238" s="1">
        <v>2237</v>
      </c>
      <c r="B2238" s="1">
        <v>430</v>
      </c>
      <c r="C2238" s="1">
        <v>17</v>
      </c>
      <c r="D2238" t="str">
        <f>VLOOKUP(B2238,Заказы!A:C,3,0)</f>
        <v>2023-06-25 17:03:00</v>
      </c>
      <c r="E2238" t="str">
        <f>VLOOKUP(C2238,Меню!A:E,4,0)</f>
        <v>Первое</v>
      </c>
      <c r="F2238">
        <f>VLOOKUP(C2238,Меню!A:E,5,0)</f>
        <v>250</v>
      </c>
    </row>
    <row r="2239" spans="1:6" ht="15.75" hidden="1" customHeight="1" x14ac:dyDescent="0.35">
      <c r="A2239" s="1">
        <v>2238</v>
      </c>
      <c r="B2239" s="1">
        <v>430</v>
      </c>
      <c r="C2239" s="1">
        <v>16</v>
      </c>
      <c r="D2239" t="str">
        <f>VLOOKUP(B2239,Заказы!A:C,3,0)</f>
        <v>2023-06-25 17:03:00</v>
      </c>
      <c r="E2239" t="str">
        <f>VLOOKUP(C2239,Меню!A:E,4,0)</f>
        <v>Первое</v>
      </c>
      <c r="F2239">
        <f>VLOOKUP(C2239,Меню!A:E,5,0)</f>
        <v>250</v>
      </c>
    </row>
    <row r="2240" spans="1:6" ht="15.75" hidden="1" customHeight="1" x14ac:dyDescent="0.35">
      <c r="A2240" s="1">
        <v>2239</v>
      </c>
      <c r="B2240" s="1">
        <v>430</v>
      </c>
      <c r="C2240" s="1">
        <v>58</v>
      </c>
      <c r="D2240" t="str">
        <f>VLOOKUP(B2240,Заказы!A:C,3,0)</f>
        <v>2023-06-25 17:03:00</v>
      </c>
      <c r="E2240" t="str">
        <f>VLOOKUP(C2240,Меню!A:E,4,0)</f>
        <v>Суши</v>
      </c>
      <c r="F2240">
        <f>VLOOKUP(C2240,Меню!A:E,5,0)</f>
        <v>200</v>
      </c>
    </row>
    <row r="2241" spans="1:6" ht="15.75" hidden="1" customHeight="1" x14ac:dyDescent="0.35">
      <c r="A2241" s="1">
        <v>2240</v>
      </c>
      <c r="B2241" s="1">
        <v>430</v>
      </c>
      <c r="C2241" s="1">
        <v>34</v>
      </c>
      <c r="D2241" t="str">
        <f>VLOOKUP(B2241,Заказы!A:C,3,0)</f>
        <v>2023-06-25 17:03:00</v>
      </c>
      <c r="E2241" t="str">
        <f>VLOOKUP(C2241,Меню!A:E,4,0)</f>
        <v>Десерт</v>
      </c>
      <c r="F2241">
        <f>VLOOKUP(C2241,Меню!A:E,5,0)</f>
        <v>150</v>
      </c>
    </row>
    <row r="2242" spans="1:6" ht="15.75" hidden="1" customHeight="1" x14ac:dyDescent="0.35">
      <c r="A2242" s="1">
        <v>2241</v>
      </c>
      <c r="B2242" s="1">
        <v>431</v>
      </c>
      <c r="C2242" s="1">
        <v>21</v>
      </c>
      <c r="D2242" t="str">
        <f>VLOOKUP(B2242,Заказы!A:C,3,0)</f>
        <v>2023-06-25 17:38:00</v>
      </c>
      <c r="E2242" t="str">
        <f>VLOOKUP(C2242,Меню!A:E,4,0)</f>
        <v>Салат</v>
      </c>
      <c r="F2242">
        <f>VLOOKUP(C2242,Меню!A:E,5,0)</f>
        <v>250</v>
      </c>
    </row>
    <row r="2243" spans="1:6" ht="15.75" hidden="1" customHeight="1" x14ac:dyDescent="0.35">
      <c r="A2243" s="1">
        <v>2242</v>
      </c>
      <c r="B2243" s="1">
        <v>431</v>
      </c>
      <c r="C2243" s="1">
        <v>35</v>
      </c>
      <c r="D2243" t="str">
        <f>VLOOKUP(B2243,Заказы!A:C,3,0)</f>
        <v>2023-06-25 17:38:00</v>
      </c>
      <c r="E2243" t="str">
        <f>VLOOKUP(C2243,Меню!A:E,4,0)</f>
        <v>Десерт</v>
      </c>
      <c r="F2243">
        <f>VLOOKUP(C2243,Меню!A:E,5,0)</f>
        <v>150</v>
      </c>
    </row>
    <row r="2244" spans="1:6" ht="15.75" hidden="1" customHeight="1" x14ac:dyDescent="0.35">
      <c r="A2244" s="1">
        <v>2243</v>
      </c>
      <c r="B2244" s="1">
        <v>431</v>
      </c>
      <c r="C2244" s="1">
        <v>20</v>
      </c>
      <c r="D2244" t="str">
        <f>VLOOKUP(B2244,Заказы!A:C,3,0)</f>
        <v>2023-06-25 17:38:00</v>
      </c>
      <c r="E2244" t="str">
        <f>VLOOKUP(C2244,Меню!A:E,4,0)</f>
        <v>Первое</v>
      </c>
      <c r="F2244">
        <f>VLOOKUP(C2244,Меню!A:E,5,0)</f>
        <v>250</v>
      </c>
    </row>
    <row r="2245" spans="1:6" ht="15.75" hidden="1" customHeight="1" x14ac:dyDescent="0.35">
      <c r="A2245" s="1">
        <v>2244</v>
      </c>
      <c r="B2245" s="1">
        <v>431</v>
      </c>
      <c r="C2245" s="1">
        <v>59</v>
      </c>
      <c r="D2245" t="str">
        <f>VLOOKUP(B2245,Заказы!A:C,3,0)</f>
        <v>2023-06-25 17:38:00</v>
      </c>
      <c r="E2245" t="str">
        <f>VLOOKUP(C2245,Меню!A:E,4,0)</f>
        <v>Суши</v>
      </c>
      <c r="F2245">
        <f>VLOOKUP(C2245,Меню!A:E,5,0)</f>
        <v>300</v>
      </c>
    </row>
    <row r="2246" spans="1:6" ht="15.75" hidden="1" customHeight="1" x14ac:dyDescent="0.35">
      <c r="A2246" s="1">
        <v>2245</v>
      </c>
      <c r="B2246" s="1">
        <v>431</v>
      </c>
      <c r="C2246" s="1">
        <v>42</v>
      </c>
      <c r="D2246" t="str">
        <f>VLOOKUP(B2246,Заказы!A:C,3,0)</f>
        <v>2023-06-25 17:38:00</v>
      </c>
      <c r="E2246" t="str">
        <f>VLOOKUP(C2246,Меню!A:E,4,0)</f>
        <v>Суши</v>
      </c>
      <c r="F2246">
        <f>VLOOKUP(C2246,Меню!A:E,5,0)</f>
        <v>250</v>
      </c>
    </row>
    <row r="2247" spans="1:6" ht="15.75" hidden="1" customHeight="1" x14ac:dyDescent="0.35">
      <c r="A2247" s="1">
        <v>2246</v>
      </c>
      <c r="B2247" s="1">
        <v>431</v>
      </c>
      <c r="C2247" s="1">
        <v>50</v>
      </c>
      <c r="D2247" t="str">
        <f>VLOOKUP(B2247,Заказы!A:C,3,0)</f>
        <v>2023-06-25 17:38:00</v>
      </c>
      <c r="E2247" t="str">
        <f>VLOOKUP(C2247,Меню!A:E,4,0)</f>
        <v>Суши</v>
      </c>
      <c r="F2247">
        <f>VLOOKUP(C2247,Меню!A:E,5,0)</f>
        <v>200</v>
      </c>
    </row>
    <row r="2248" spans="1:6" ht="15.75" hidden="1" customHeight="1" x14ac:dyDescent="0.35">
      <c r="A2248" s="1">
        <v>2247</v>
      </c>
      <c r="B2248" s="1">
        <v>431</v>
      </c>
      <c r="C2248" s="1">
        <v>54</v>
      </c>
      <c r="D2248" t="str">
        <f>VLOOKUP(B2248,Заказы!A:C,3,0)</f>
        <v>2023-06-25 17:38:00</v>
      </c>
      <c r="E2248" t="str">
        <f>VLOOKUP(C2248,Меню!A:E,4,0)</f>
        <v>Суши</v>
      </c>
      <c r="F2248">
        <f>VLOOKUP(C2248,Меню!A:E,5,0)</f>
        <v>100</v>
      </c>
    </row>
    <row r="2249" spans="1:6" ht="15.75" hidden="1" customHeight="1" x14ac:dyDescent="0.35">
      <c r="A2249" s="1">
        <v>2248</v>
      </c>
      <c r="B2249" s="1">
        <v>431</v>
      </c>
      <c r="C2249" s="1">
        <v>30</v>
      </c>
      <c r="D2249" t="str">
        <f>VLOOKUP(B2249,Заказы!A:C,3,0)</f>
        <v>2023-06-25 17:38:00</v>
      </c>
      <c r="E2249" t="str">
        <f>VLOOKUP(C2249,Меню!A:E,4,0)</f>
        <v>Салат</v>
      </c>
      <c r="F2249">
        <f>VLOOKUP(C2249,Меню!A:E,5,0)</f>
        <v>250</v>
      </c>
    </row>
    <row r="2250" spans="1:6" ht="15.75" hidden="1" customHeight="1" x14ac:dyDescent="0.35">
      <c r="A2250" s="1">
        <v>2249</v>
      </c>
      <c r="B2250" s="1">
        <v>431</v>
      </c>
      <c r="C2250" s="1">
        <v>34</v>
      </c>
      <c r="D2250" t="str">
        <f>VLOOKUP(B2250,Заказы!A:C,3,0)</f>
        <v>2023-06-25 17:38:00</v>
      </c>
      <c r="E2250" t="str">
        <f>VLOOKUP(C2250,Меню!A:E,4,0)</f>
        <v>Десерт</v>
      </c>
      <c r="F2250">
        <f>VLOOKUP(C2250,Меню!A:E,5,0)</f>
        <v>150</v>
      </c>
    </row>
    <row r="2251" spans="1:6" ht="15.75" hidden="1" customHeight="1" x14ac:dyDescent="0.35">
      <c r="A2251" s="1">
        <v>2250</v>
      </c>
      <c r="B2251" s="1">
        <v>431</v>
      </c>
      <c r="C2251" s="1">
        <v>43</v>
      </c>
      <c r="D2251" t="str">
        <f>VLOOKUP(B2251,Заказы!A:C,3,0)</f>
        <v>2023-06-25 17:38:00</v>
      </c>
      <c r="E2251" t="str">
        <f>VLOOKUP(C2251,Меню!A:E,4,0)</f>
        <v>Суши</v>
      </c>
      <c r="F2251">
        <f>VLOOKUP(C2251,Меню!A:E,5,0)</f>
        <v>250</v>
      </c>
    </row>
    <row r="2252" spans="1:6" ht="15.75" hidden="1" customHeight="1" x14ac:dyDescent="0.35">
      <c r="A2252" s="1">
        <v>2251</v>
      </c>
      <c r="B2252" s="1">
        <v>431</v>
      </c>
      <c r="C2252" s="1">
        <v>28</v>
      </c>
      <c r="D2252" t="str">
        <f>VLOOKUP(B2252,Заказы!A:C,3,0)</f>
        <v>2023-06-25 17:38:00</v>
      </c>
      <c r="E2252" t="str">
        <f>VLOOKUP(C2252,Меню!A:E,4,0)</f>
        <v>Салат</v>
      </c>
      <c r="F2252">
        <f>VLOOKUP(C2252,Меню!A:E,5,0)</f>
        <v>250</v>
      </c>
    </row>
    <row r="2253" spans="1:6" ht="15.75" hidden="1" customHeight="1" x14ac:dyDescent="0.35">
      <c r="A2253" s="1">
        <v>2252</v>
      </c>
      <c r="B2253" s="1">
        <v>431</v>
      </c>
      <c r="C2253" s="1">
        <v>19</v>
      </c>
      <c r="D2253" t="str">
        <f>VLOOKUP(B2253,Заказы!A:C,3,0)</f>
        <v>2023-06-25 17:38:00</v>
      </c>
      <c r="E2253" t="str">
        <f>VLOOKUP(C2253,Меню!A:E,4,0)</f>
        <v>Первое</v>
      </c>
      <c r="F2253">
        <f>VLOOKUP(C2253,Меню!A:E,5,0)</f>
        <v>300</v>
      </c>
    </row>
    <row r="2254" spans="1:6" ht="15.75" hidden="1" customHeight="1" x14ac:dyDescent="0.35">
      <c r="A2254" s="1">
        <v>2253</v>
      </c>
      <c r="B2254" s="1">
        <v>431</v>
      </c>
      <c r="C2254" s="1">
        <v>22</v>
      </c>
      <c r="D2254" t="str">
        <f>VLOOKUP(B2254,Заказы!A:C,3,0)</f>
        <v>2023-06-25 17:38:00</v>
      </c>
      <c r="E2254" t="str">
        <f>VLOOKUP(C2254,Меню!A:E,4,0)</f>
        <v>Салат</v>
      </c>
      <c r="F2254">
        <f>VLOOKUP(C2254,Меню!A:E,5,0)</f>
        <v>250</v>
      </c>
    </row>
    <row r="2255" spans="1:6" ht="15.75" hidden="1" customHeight="1" x14ac:dyDescent="0.35">
      <c r="A2255" s="1">
        <v>2254</v>
      </c>
      <c r="B2255" s="1">
        <v>432</v>
      </c>
      <c r="C2255" s="1">
        <v>32</v>
      </c>
      <c r="D2255" t="str">
        <f>VLOOKUP(B2255,Заказы!A:C,3,0)</f>
        <v>2023-06-25 18:33:00</v>
      </c>
      <c r="E2255" t="str">
        <f>VLOOKUP(C2255,Меню!A:E,4,0)</f>
        <v>Десерт</v>
      </c>
      <c r="F2255">
        <f>VLOOKUP(C2255,Меню!A:E,5,0)</f>
        <v>150</v>
      </c>
    </row>
    <row r="2256" spans="1:6" ht="15.75" hidden="1" customHeight="1" x14ac:dyDescent="0.35">
      <c r="A2256" s="1">
        <v>2255</v>
      </c>
      <c r="B2256" s="1">
        <v>432</v>
      </c>
      <c r="C2256" s="1">
        <v>44</v>
      </c>
      <c r="D2256" t="str">
        <f>VLOOKUP(B2256,Заказы!A:C,3,0)</f>
        <v>2023-06-25 18:33:00</v>
      </c>
      <c r="E2256" t="str">
        <f>VLOOKUP(C2256,Меню!A:E,4,0)</f>
        <v>Суши</v>
      </c>
      <c r="F2256">
        <f>VLOOKUP(C2256,Меню!A:E,5,0)</f>
        <v>250</v>
      </c>
    </row>
    <row r="2257" spans="1:6" ht="15.75" hidden="1" customHeight="1" x14ac:dyDescent="0.35">
      <c r="A2257" s="1">
        <v>2256</v>
      </c>
      <c r="B2257" s="1">
        <v>432</v>
      </c>
      <c r="C2257" s="1">
        <v>14</v>
      </c>
      <c r="D2257" t="str">
        <f>VLOOKUP(B2257,Заказы!A:C,3,0)</f>
        <v>2023-06-25 18:33:00</v>
      </c>
      <c r="E2257" t="str">
        <f>VLOOKUP(C2257,Меню!A:E,4,0)</f>
        <v>Первое</v>
      </c>
      <c r="F2257">
        <f>VLOOKUP(C2257,Меню!A:E,5,0)</f>
        <v>350</v>
      </c>
    </row>
    <row r="2258" spans="1:6" ht="15.75" hidden="1" customHeight="1" x14ac:dyDescent="0.35">
      <c r="A2258" s="1">
        <v>2257</v>
      </c>
      <c r="B2258" s="1">
        <v>432</v>
      </c>
      <c r="C2258" s="1">
        <v>5</v>
      </c>
      <c r="D2258" t="str">
        <f>VLOOKUP(B2258,Заказы!A:C,3,0)</f>
        <v>2023-06-25 18:33:00</v>
      </c>
      <c r="E2258" t="str">
        <f>VLOOKUP(C2258,Меню!A:E,4,0)</f>
        <v>Завтрак</v>
      </c>
      <c r="F2258">
        <f>VLOOKUP(C2258,Меню!A:E,5,0)</f>
        <v>220</v>
      </c>
    </row>
    <row r="2259" spans="1:6" ht="15.75" hidden="1" customHeight="1" x14ac:dyDescent="0.35">
      <c r="A2259" s="1">
        <v>2258</v>
      </c>
      <c r="B2259" s="1">
        <v>432</v>
      </c>
      <c r="C2259" s="1">
        <v>54</v>
      </c>
      <c r="D2259" t="str">
        <f>VLOOKUP(B2259,Заказы!A:C,3,0)</f>
        <v>2023-06-25 18:33:00</v>
      </c>
      <c r="E2259" t="str">
        <f>VLOOKUP(C2259,Меню!A:E,4,0)</f>
        <v>Суши</v>
      </c>
      <c r="F2259">
        <f>VLOOKUP(C2259,Меню!A:E,5,0)</f>
        <v>100</v>
      </c>
    </row>
    <row r="2260" spans="1:6" ht="15.75" hidden="1" customHeight="1" x14ac:dyDescent="0.35">
      <c r="A2260" s="1">
        <v>2259</v>
      </c>
      <c r="B2260" s="1">
        <v>432</v>
      </c>
      <c r="C2260" s="1">
        <v>16</v>
      </c>
      <c r="D2260" t="str">
        <f>VLOOKUP(B2260,Заказы!A:C,3,0)</f>
        <v>2023-06-25 18:33:00</v>
      </c>
      <c r="E2260" t="str">
        <f>VLOOKUP(C2260,Меню!A:E,4,0)</f>
        <v>Первое</v>
      </c>
      <c r="F2260">
        <f>VLOOKUP(C2260,Меню!A:E,5,0)</f>
        <v>250</v>
      </c>
    </row>
    <row r="2261" spans="1:6" ht="15.75" hidden="1" customHeight="1" x14ac:dyDescent="0.35">
      <c r="A2261" s="1">
        <v>2260</v>
      </c>
      <c r="B2261" s="1">
        <v>432</v>
      </c>
      <c r="C2261" s="1">
        <v>46</v>
      </c>
      <c r="D2261" t="str">
        <f>VLOOKUP(B2261,Заказы!A:C,3,0)</f>
        <v>2023-06-25 18:33:00</v>
      </c>
      <c r="E2261" t="str">
        <f>VLOOKUP(C2261,Меню!A:E,4,0)</f>
        <v>Суши</v>
      </c>
      <c r="F2261">
        <f>VLOOKUP(C2261,Меню!A:E,5,0)</f>
        <v>200</v>
      </c>
    </row>
    <row r="2262" spans="1:6" ht="15.75" hidden="1" customHeight="1" x14ac:dyDescent="0.35">
      <c r="A2262" s="1">
        <v>2261</v>
      </c>
      <c r="B2262" s="1">
        <v>433</v>
      </c>
      <c r="C2262" s="1">
        <v>1</v>
      </c>
      <c r="D2262" t="str">
        <f>VLOOKUP(B2262,Заказы!A:C,3,0)</f>
        <v>2023-06-26 18:51:00</v>
      </c>
      <c r="E2262" t="str">
        <f>VLOOKUP(C2262,Меню!A:E,4,0)</f>
        <v>Завтрак</v>
      </c>
      <c r="F2262">
        <f>VLOOKUP(C2262,Меню!A:E,5,0)</f>
        <v>200</v>
      </c>
    </row>
    <row r="2263" spans="1:6" ht="15.75" hidden="1" customHeight="1" x14ac:dyDescent="0.35">
      <c r="A2263" s="1">
        <v>2262</v>
      </c>
      <c r="B2263" s="1">
        <v>433</v>
      </c>
      <c r="C2263" s="1">
        <v>50</v>
      </c>
      <c r="D2263" t="str">
        <f>VLOOKUP(B2263,Заказы!A:C,3,0)</f>
        <v>2023-06-26 18:51:00</v>
      </c>
      <c r="E2263" t="str">
        <f>VLOOKUP(C2263,Меню!A:E,4,0)</f>
        <v>Суши</v>
      </c>
      <c r="F2263">
        <f>VLOOKUP(C2263,Меню!A:E,5,0)</f>
        <v>200</v>
      </c>
    </row>
    <row r="2264" spans="1:6" ht="15.75" hidden="1" customHeight="1" x14ac:dyDescent="0.35">
      <c r="A2264" s="1">
        <v>2263</v>
      </c>
      <c r="B2264" s="1">
        <v>433</v>
      </c>
      <c r="C2264" s="1">
        <v>22</v>
      </c>
      <c r="D2264" t="str">
        <f>VLOOKUP(B2264,Заказы!A:C,3,0)</f>
        <v>2023-06-26 18:51:00</v>
      </c>
      <c r="E2264" t="str">
        <f>VLOOKUP(C2264,Меню!A:E,4,0)</f>
        <v>Салат</v>
      </c>
      <c r="F2264">
        <f>VLOOKUP(C2264,Меню!A:E,5,0)</f>
        <v>250</v>
      </c>
    </row>
    <row r="2265" spans="1:6" ht="15.75" hidden="1" customHeight="1" x14ac:dyDescent="0.35">
      <c r="A2265" s="1">
        <v>2264</v>
      </c>
      <c r="B2265" s="1">
        <v>433</v>
      </c>
      <c r="C2265" s="1">
        <v>31</v>
      </c>
      <c r="D2265" t="str">
        <f>VLOOKUP(B2265,Заказы!A:C,3,0)</f>
        <v>2023-06-26 18:51:00</v>
      </c>
      <c r="E2265" t="str">
        <f>VLOOKUP(C2265,Меню!A:E,4,0)</f>
        <v>Десерт</v>
      </c>
      <c r="F2265">
        <f>VLOOKUP(C2265,Меню!A:E,5,0)</f>
        <v>150</v>
      </c>
    </row>
    <row r="2266" spans="1:6" ht="15.75" hidden="1" customHeight="1" x14ac:dyDescent="0.35">
      <c r="A2266" s="1">
        <v>2265</v>
      </c>
      <c r="B2266" s="1">
        <v>433</v>
      </c>
      <c r="C2266" s="1">
        <v>21</v>
      </c>
      <c r="D2266" t="str">
        <f>VLOOKUP(B2266,Заказы!A:C,3,0)</f>
        <v>2023-06-26 18:51:00</v>
      </c>
      <c r="E2266" t="str">
        <f>VLOOKUP(C2266,Меню!A:E,4,0)</f>
        <v>Салат</v>
      </c>
      <c r="F2266">
        <f>VLOOKUP(C2266,Меню!A:E,5,0)</f>
        <v>250</v>
      </c>
    </row>
    <row r="2267" spans="1:6" ht="15.75" hidden="1" customHeight="1" x14ac:dyDescent="0.35">
      <c r="A2267" s="1">
        <v>2266</v>
      </c>
      <c r="B2267" s="1">
        <v>433</v>
      </c>
      <c r="C2267" s="1">
        <v>46</v>
      </c>
      <c r="D2267" t="str">
        <f>VLOOKUP(B2267,Заказы!A:C,3,0)</f>
        <v>2023-06-26 18:51:00</v>
      </c>
      <c r="E2267" t="str">
        <f>VLOOKUP(C2267,Меню!A:E,4,0)</f>
        <v>Суши</v>
      </c>
      <c r="F2267">
        <f>VLOOKUP(C2267,Меню!A:E,5,0)</f>
        <v>200</v>
      </c>
    </row>
    <row r="2268" spans="1:6" ht="15.75" hidden="1" customHeight="1" x14ac:dyDescent="0.35">
      <c r="A2268" s="1">
        <v>2267</v>
      </c>
      <c r="B2268" s="1">
        <v>433</v>
      </c>
      <c r="C2268" s="1">
        <v>14</v>
      </c>
      <c r="D2268" t="str">
        <f>VLOOKUP(B2268,Заказы!A:C,3,0)</f>
        <v>2023-06-26 18:51:00</v>
      </c>
      <c r="E2268" t="str">
        <f>VLOOKUP(C2268,Меню!A:E,4,0)</f>
        <v>Первое</v>
      </c>
      <c r="F2268">
        <f>VLOOKUP(C2268,Меню!A:E,5,0)</f>
        <v>350</v>
      </c>
    </row>
    <row r="2269" spans="1:6" ht="15.75" hidden="1" customHeight="1" x14ac:dyDescent="0.35">
      <c r="A2269" s="1">
        <v>2268</v>
      </c>
      <c r="B2269" s="1">
        <v>433</v>
      </c>
      <c r="C2269" s="1">
        <v>12</v>
      </c>
      <c r="D2269" t="str">
        <f>VLOOKUP(B2269,Заказы!A:C,3,0)</f>
        <v>2023-06-26 18:51:00</v>
      </c>
      <c r="E2269" t="str">
        <f>VLOOKUP(C2269,Меню!A:E,4,0)</f>
        <v>Первое</v>
      </c>
      <c r="F2269">
        <f>VLOOKUP(C2269,Меню!A:E,5,0)</f>
        <v>300</v>
      </c>
    </row>
    <row r="2270" spans="1:6" ht="15.75" hidden="1" customHeight="1" x14ac:dyDescent="0.35">
      <c r="A2270" s="1">
        <v>2269</v>
      </c>
      <c r="B2270" s="1">
        <v>433</v>
      </c>
      <c r="C2270" s="1">
        <v>26</v>
      </c>
      <c r="D2270" t="str">
        <f>VLOOKUP(B2270,Заказы!A:C,3,0)</f>
        <v>2023-06-26 18:51:00</v>
      </c>
      <c r="E2270" t="str">
        <f>VLOOKUP(C2270,Меню!A:E,4,0)</f>
        <v>Салат</v>
      </c>
      <c r="F2270">
        <f>VLOOKUP(C2270,Меню!A:E,5,0)</f>
        <v>250</v>
      </c>
    </row>
    <row r="2271" spans="1:6" ht="15.75" hidden="1" customHeight="1" x14ac:dyDescent="0.35">
      <c r="A2271" s="1">
        <v>2270</v>
      </c>
      <c r="B2271" s="1">
        <v>434</v>
      </c>
      <c r="C2271" s="1">
        <v>20</v>
      </c>
      <c r="D2271" t="str">
        <f>VLOOKUP(B2271,Заказы!A:C,3,0)</f>
        <v>2023-06-26 19:43:00</v>
      </c>
      <c r="E2271" t="str">
        <f>VLOOKUP(C2271,Меню!A:E,4,0)</f>
        <v>Первое</v>
      </c>
      <c r="F2271">
        <f>VLOOKUP(C2271,Меню!A:E,5,0)</f>
        <v>250</v>
      </c>
    </row>
    <row r="2272" spans="1:6" ht="15.75" hidden="1" customHeight="1" x14ac:dyDescent="0.35">
      <c r="A2272" s="1">
        <v>2271</v>
      </c>
      <c r="B2272" s="1">
        <v>434</v>
      </c>
      <c r="C2272" s="1">
        <v>30</v>
      </c>
      <c r="D2272" t="str">
        <f>VLOOKUP(B2272,Заказы!A:C,3,0)</f>
        <v>2023-06-26 19:43:00</v>
      </c>
      <c r="E2272" t="str">
        <f>VLOOKUP(C2272,Меню!A:E,4,0)</f>
        <v>Салат</v>
      </c>
      <c r="F2272">
        <f>VLOOKUP(C2272,Меню!A:E,5,0)</f>
        <v>250</v>
      </c>
    </row>
    <row r="2273" spans="1:6" ht="15.75" hidden="1" customHeight="1" x14ac:dyDescent="0.35">
      <c r="A2273" s="1">
        <v>2272</v>
      </c>
      <c r="B2273" s="1">
        <v>434</v>
      </c>
      <c r="C2273" s="1">
        <v>58</v>
      </c>
      <c r="D2273" t="str">
        <f>VLOOKUP(B2273,Заказы!A:C,3,0)</f>
        <v>2023-06-26 19:43:00</v>
      </c>
      <c r="E2273" t="str">
        <f>VLOOKUP(C2273,Меню!A:E,4,0)</f>
        <v>Суши</v>
      </c>
      <c r="F2273">
        <f>VLOOKUP(C2273,Меню!A:E,5,0)</f>
        <v>200</v>
      </c>
    </row>
    <row r="2274" spans="1:6" ht="15.75" hidden="1" customHeight="1" x14ac:dyDescent="0.35">
      <c r="A2274" s="1">
        <v>2273</v>
      </c>
      <c r="B2274" s="1">
        <v>434</v>
      </c>
      <c r="C2274" s="1">
        <v>48</v>
      </c>
      <c r="D2274" t="str">
        <f>VLOOKUP(B2274,Заказы!A:C,3,0)</f>
        <v>2023-06-26 19:43:00</v>
      </c>
      <c r="E2274" t="str">
        <f>VLOOKUP(C2274,Меню!A:E,4,0)</f>
        <v>Суши</v>
      </c>
      <c r="F2274">
        <f>VLOOKUP(C2274,Меню!A:E,5,0)</f>
        <v>200</v>
      </c>
    </row>
    <row r="2275" spans="1:6" ht="15.75" hidden="1" customHeight="1" x14ac:dyDescent="0.35">
      <c r="A2275" s="1">
        <v>2274</v>
      </c>
      <c r="B2275" s="1">
        <v>434</v>
      </c>
      <c r="C2275" s="1">
        <v>54</v>
      </c>
      <c r="D2275" t="str">
        <f>VLOOKUP(B2275,Заказы!A:C,3,0)</f>
        <v>2023-06-26 19:43:00</v>
      </c>
      <c r="E2275" t="str">
        <f>VLOOKUP(C2275,Меню!A:E,4,0)</f>
        <v>Суши</v>
      </c>
      <c r="F2275">
        <f>VLOOKUP(C2275,Меню!A:E,5,0)</f>
        <v>100</v>
      </c>
    </row>
    <row r="2276" spans="1:6" ht="15.75" hidden="1" customHeight="1" x14ac:dyDescent="0.35">
      <c r="A2276" s="1">
        <v>2275</v>
      </c>
      <c r="B2276" s="1">
        <v>434</v>
      </c>
      <c r="C2276" s="1">
        <v>16</v>
      </c>
      <c r="D2276" t="str">
        <f>VLOOKUP(B2276,Заказы!A:C,3,0)</f>
        <v>2023-06-26 19:43:00</v>
      </c>
      <c r="E2276" t="str">
        <f>VLOOKUP(C2276,Меню!A:E,4,0)</f>
        <v>Первое</v>
      </c>
      <c r="F2276">
        <f>VLOOKUP(C2276,Меню!A:E,5,0)</f>
        <v>250</v>
      </c>
    </row>
    <row r="2277" spans="1:6" ht="15.75" hidden="1" customHeight="1" x14ac:dyDescent="0.35">
      <c r="A2277" s="1">
        <v>2276</v>
      </c>
      <c r="B2277" s="1">
        <v>435</v>
      </c>
      <c r="C2277" s="1">
        <v>14</v>
      </c>
      <c r="D2277" t="str">
        <f>VLOOKUP(B2277,Заказы!A:C,3,0)</f>
        <v>2023-06-26 19:50:00</v>
      </c>
      <c r="E2277" t="str">
        <f>VLOOKUP(C2277,Меню!A:E,4,0)</f>
        <v>Первое</v>
      </c>
      <c r="F2277">
        <f>VLOOKUP(C2277,Меню!A:E,5,0)</f>
        <v>350</v>
      </c>
    </row>
    <row r="2278" spans="1:6" ht="15.75" hidden="1" customHeight="1" x14ac:dyDescent="0.35">
      <c r="A2278" s="1">
        <v>2277</v>
      </c>
      <c r="B2278" s="1">
        <v>435</v>
      </c>
      <c r="C2278" s="1">
        <v>22</v>
      </c>
      <c r="D2278" t="str">
        <f>VLOOKUP(B2278,Заказы!A:C,3,0)</f>
        <v>2023-06-26 19:50:00</v>
      </c>
      <c r="E2278" t="str">
        <f>VLOOKUP(C2278,Меню!A:E,4,0)</f>
        <v>Салат</v>
      </c>
      <c r="F2278">
        <f>VLOOKUP(C2278,Меню!A:E,5,0)</f>
        <v>250</v>
      </c>
    </row>
    <row r="2279" spans="1:6" ht="15.75" hidden="1" customHeight="1" x14ac:dyDescent="0.35">
      <c r="A2279" s="1">
        <v>2278</v>
      </c>
      <c r="B2279" s="1">
        <v>435</v>
      </c>
      <c r="C2279" s="1">
        <v>58</v>
      </c>
      <c r="D2279" t="str">
        <f>VLOOKUP(B2279,Заказы!A:C,3,0)</f>
        <v>2023-06-26 19:50:00</v>
      </c>
      <c r="E2279" t="str">
        <f>VLOOKUP(C2279,Меню!A:E,4,0)</f>
        <v>Суши</v>
      </c>
      <c r="F2279">
        <f>VLOOKUP(C2279,Меню!A:E,5,0)</f>
        <v>200</v>
      </c>
    </row>
    <row r="2280" spans="1:6" ht="15.75" hidden="1" customHeight="1" x14ac:dyDescent="0.35">
      <c r="A2280" s="1">
        <v>2279</v>
      </c>
      <c r="B2280" s="1">
        <v>435</v>
      </c>
      <c r="C2280" s="1">
        <v>27</v>
      </c>
      <c r="D2280" t="str">
        <f>VLOOKUP(B2280,Заказы!A:C,3,0)</f>
        <v>2023-06-26 19:50:00</v>
      </c>
      <c r="E2280" t="str">
        <f>VLOOKUP(C2280,Меню!A:E,4,0)</f>
        <v>Салат</v>
      </c>
      <c r="F2280">
        <f>VLOOKUP(C2280,Меню!A:E,5,0)</f>
        <v>250</v>
      </c>
    </row>
    <row r="2281" spans="1:6" ht="15.75" hidden="1" customHeight="1" x14ac:dyDescent="0.35">
      <c r="A2281" s="1">
        <v>2280</v>
      </c>
      <c r="B2281" s="1">
        <v>435</v>
      </c>
      <c r="C2281" s="1">
        <v>50</v>
      </c>
      <c r="D2281" t="str">
        <f>VLOOKUP(B2281,Заказы!A:C,3,0)</f>
        <v>2023-06-26 19:50:00</v>
      </c>
      <c r="E2281" t="str">
        <f>VLOOKUP(C2281,Меню!A:E,4,0)</f>
        <v>Суши</v>
      </c>
      <c r="F2281">
        <f>VLOOKUP(C2281,Меню!A:E,5,0)</f>
        <v>200</v>
      </c>
    </row>
    <row r="2282" spans="1:6" ht="15.75" hidden="1" customHeight="1" x14ac:dyDescent="0.35">
      <c r="A2282" s="1">
        <v>2281</v>
      </c>
      <c r="B2282" s="1">
        <v>436</v>
      </c>
      <c r="C2282" s="1">
        <v>13</v>
      </c>
      <c r="D2282" t="str">
        <f>VLOOKUP(B2282,Заказы!A:C,3,0)</f>
        <v>2023-06-26 20:18:00</v>
      </c>
      <c r="E2282" t="str">
        <f>VLOOKUP(C2282,Меню!A:E,4,0)</f>
        <v>Первое</v>
      </c>
      <c r="F2282">
        <f>VLOOKUP(C2282,Меню!A:E,5,0)</f>
        <v>280</v>
      </c>
    </row>
    <row r="2283" spans="1:6" ht="15.75" hidden="1" customHeight="1" x14ac:dyDescent="0.35">
      <c r="A2283" s="1">
        <v>2282</v>
      </c>
      <c r="B2283" s="1">
        <v>436</v>
      </c>
      <c r="C2283" s="1">
        <v>7</v>
      </c>
      <c r="D2283" t="str">
        <f>VLOOKUP(B2283,Заказы!A:C,3,0)</f>
        <v>2023-06-26 20:18:00</v>
      </c>
      <c r="E2283" t="str">
        <f>VLOOKUP(C2283,Меню!A:E,4,0)</f>
        <v>Завтрак</v>
      </c>
      <c r="F2283">
        <f>VLOOKUP(C2283,Меню!A:E,5,0)</f>
        <v>200</v>
      </c>
    </row>
    <row r="2284" spans="1:6" ht="15.75" hidden="1" customHeight="1" x14ac:dyDescent="0.35">
      <c r="A2284" s="1">
        <v>2283</v>
      </c>
      <c r="B2284" s="1">
        <v>436</v>
      </c>
      <c r="C2284" s="1">
        <v>20</v>
      </c>
      <c r="D2284" t="str">
        <f>VLOOKUP(B2284,Заказы!A:C,3,0)</f>
        <v>2023-06-26 20:18:00</v>
      </c>
      <c r="E2284" t="str">
        <f>VLOOKUP(C2284,Меню!A:E,4,0)</f>
        <v>Первое</v>
      </c>
      <c r="F2284">
        <f>VLOOKUP(C2284,Меню!A:E,5,0)</f>
        <v>250</v>
      </c>
    </row>
    <row r="2285" spans="1:6" ht="15.75" hidden="1" customHeight="1" x14ac:dyDescent="0.35">
      <c r="A2285" s="1">
        <v>2284</v>
      </c>
      <c r="B2285" s="1">
        <v>437</v>
      </c>
      <c r="C2285" s="1">
        <v>54</v>
      </c>
      <c r="D2285" t="str">
        <f>VLOOKUP(B2285,Заказы!A:C,3,0)</f>
        <v>2023-06-26 20:32:00</v>
      </c>
      <c r="E2285" t="str">
        <f>VLOOKUP(C2285,Меню!A:E,4,0)</f>
        <v>Суши</v>
      </c>
      <c r="F2285">
        <f>VLOOKUP(C2285,Меню!A:E,5,0)</f>
        <v>100</v>
      </c>
    </row>
    <row r="2286" spans="1:6" ht="15.75" hidden="1" customHeight="1" x14ac:dyDescent="0.35">
      <c r="A2286" s="1">
        <v>2285</v>
      </c>
      <c r="B2286" s="1">
        <v>437</v>
      </c>
      <c r="C2286" s="1">
        <v>51</v>
      </c>
      <c r="D2286" t="str">
        <f>VLOOKUP(B2286,Заказы!A:C,3,0)</f>
        <v>2023-06-26 20:32:00</v>
      </c>
      <c r="E2286" t="str">
        <f>VLOOKUP(C2286,Меню!A:E,4,0)</f>
        <v>Суши</v>
      </c>
      <c r="F2286">
        <f>VLOOKUP(C2286,Меню!A:E,5,0)</f>
        <v>100</v>
      </c>
    </row>
    <row r="2287" spans="1:6" ht="15.75" hidden="1" customHeight="1" x14ac:dyDescent="0.35">
      <c r="A2287" s="1">
        <v>2286</v>
      </c>
      <c r="B2287" s="1">
        <v>437</v>
      </c>
      <c r="C2287" s="1">
        <v>55</v>
      </c>
      <c r="D2287" t="str">
        <f>VLOOKUP(B2287,Заказы!A:C,3,0)</f>
        <v>2023-06-26 20:32:00</v>
      </c>
      <c r="E2287" t="str">
        <f>VLOOKUP(C2287,Меню!A:E,4,0)</f>
        <v>Суши</v>
      </c>
      <c r="F2287">
        <f>VLOOKUP(C2287,Меню!A:E,5,0)</f>
        <v>100</v>
      </c>
    </row>
    <row r="2288" spans="1:6" ht="15.75" hidden="1" customHeight="1" x14ac:dyDescent="0.35">
      <c r="A2288" s="1">
        <v>2287</v>
      </c>
      <c r="B2288" s="1">
        <v>437</v>
      </c>
      <c r="C2288" s="1">
        <v>24</v>
      </c>
      <c r="D2288" t="str">
        <f>VLOOKUP(B2288,Заказы!A:C,3,0)</f>
        <v>2023-06-26 20:32:00</v>
      </c>
      <c r="E2288" t="str">
        <f>VLOOKUP(C2288,Меню!A:E,4,0)</f>
        <v>Салат</v>
      </c>
      <c r="F2288">
        <f>VLOOKUP(C2288,Меню!A:E,5,0)</f>
        <v>250</v>
      </c>
    </row>
    <row r="2289" spans="1:6" ht="15.75" hidden="1" customHeight="1" x14ac:dyDescent="0.35">
      <c r="A2289" s="1">
        <v>2288</v>
      </c>
      <c r="B2289" s="1">
        <v>437</v>
      </c>
      <c r="C2289" s="1">
        <v>6</v>
      </c>
      <c r="D2289" t="str">
        <f>VLOOKUP(B2289,Заказы!A:C,3,0)</f>
        <v>2023-06-26 20:32:00</v>
      </c>
      <c r="E2289" t="str">
        <f>VLOOKUP(C2289,Меню!A:E,4,0)</f>
        <v>Завтрак</v>
      </c>
      <c r="F2289">
        <f>VLOOKUP(C2289,Меню!A:E,5,0)</f>
        <v>300</v>
      </c>
    </row>
    <row r="2290" spans="1:6" ht="15.75" hidden="1" customHeight="1" x14ac:dyDescent="0.35">
      <c r="A2290" s="1">
        <v>2289</v>
      </c>
      <c r="B2290" s="1">
        <v>437</v>
      </c>
      <c r="C2290" s="1">
        <v>43</v>
      </c>
      <c r="D2290" t="str">
        <f>VLOOKUP(B2290,Заказы!A:C,3,0)</f>
        <v>2023-06-26 20:32:00</v>
      </c>
      <c r="E2290" t="str">
        <f>VLOOKUP(C2290,Меню!A:E,4,0)</f>
        <v>Суши</v>
      </c>
      <c r="F2290">
        <f>VLOOKUP(C2290,Меню!A:E,5,0)</f>
        <v>250</v>
      </c>
    </row>
    <row r="2291" spans="1:6" ht="15.75" hidden="1" customHeight="1" x14ac:dyDescent="0.35">
      <c r="A2291" s="1">
        <v>2290</v>
      </c>
      <c r="B2291" s="1">
        <v>437</v>
      </c>
      <c r="C2291" s="1">
        <v>60</v>
      </c>
      <c r="D2291" t="str">
        <f>VLOOKUP(B2291,Заказы!A:C,3,0)</f>
        <v>2023-06-26 20:32:00</v>
      </c>
      <c r="E2291" t="str">
        <f>VLOOKUP(C2291,Меню!A:E,4,0)</f>
        <v>Суши</v>
      </c>
      <c r="F2291">
        <f>VLOOKUP(C2291,Меню!A:E,5,0)</f>
        <v>250</v>
      </c>
    </row>
    <row r="2292" spans="1:6" ht="15.75" hidden="1" customHeight="1" x14ac:dyDescent="0.35">
      <c r="A2292" s="1">
        <v>2291</v>
      </c>
      <c r="B2292" s="1">
        <v>438</v>
      </c>
      <c r="C2292" s="1">
        <v>54</v>
      </c>
      <c r="D2292" t="str">
        <f>VLOOKUP(B2292,Заказы!A:C,3,0)</f>
        <v>2023-06-26 21:09:00</v>
      </c>
      <c r="E2292" t="str">
        <f>VLOOKUP(C2292,Меню!A:E,4,0)</f>
        <v>Суши</v>
      </c>
      <c r="F2292">
        <f>VLOOKUP(C2292,Меню!A:E,5,0)</f>
        <v>100</v>
      </c>
    </row>
    <row r="2293" spans="1:6" ht="15.75" hidden="1" customHeight="1" x14ac:dyDescent="0.35">
      <c r="A2293" s="1">
        <v>2292</v>
      </c>
      <c r="B2293" s="1">
        <v>438</v>
      </c>
      <c r="C2293" s="1">
        <v>1</v>
      </c>
      <c r="D2293" t="str">
        <f>VLOOKUP(B2293,Заказы!A:C,3,0)</f>
        <v>2023-06-26 21:09:00</v>
      </c>
      <c r="E2293" t="str">
        <f>VLOOKUP(C2293,Меню!A:E,4,0)</f>
        <v>Завтрак</v>
      </c>
      <c r="F2293">
        <f>VLOOKUP(C2293,Меню!A:E,5,0)</f>
        <v>200</v>
      </c>
    </row>
    <row r="2294" spans="1:6" ht="15.75" hidden="1" customHeight="1" x14ac:dyDescent="0.35">
      <c r="A2294" s="1">
        <v>2293</v>
      </c>
      <c r="B2294" s="1">
        <v>438</v>
      </c>
      <c r="C2294" s="1">
        <v>57</v>
      </c>
      <c r="D2294" t="str">
        <f>VLOOKUP(B2294,Заказы!A:C,3,0)</f>
        <v>2023-06-26 21:09:00</v>
      </c>
      <c r="E2294" t="str">
        <f>VLOOKUP(C2294,Меню!A:E,4,0)</f>
        <v>Суши</v>
      </c>
      <c r="F2294">
        <f>VLOOKUP(C2294,Меню!A:E,5,0)</f>
        <v>200</v>
      </c>
    </row>
    <row r="2295" spans="1:6" ht="15.75" hidden="1" customHeight="1" x14ac:dyDescent="0.35">
      <c r="A2295" s="1">
        <v>2294</v>
      </c>
      <c r="B2295" s="1">
        <v>438</v>
      </c>
      <c r="C2295" s="1">
        <v>27</v>
      </c>
      <c r="D2295" t="str">
        <f>VLOOKUP(B2295,Заказы!A:C,3,0)</f>
        <v>2023-06-26 21:09:00</v>
      </c>
      <c r="E2295" t="str">
        <f>VLOOKUP(C2295,Меню!A:E,4,0)</f>
        <v>Салат</v>
      </c>
      <c r="F2295">
        <f>VLOOKUP(C2295,Меню!A:E,5,0)</f>
        <v>250</v>
      </c>
    </row>
    <row r="2296" spans="1:6" ht="15.75" hidden="1" customHeight="1" x14ac:dyDescent="0.35">
      <c r="A2296" s="1">
        <v>2295</v>
      </c>
      <c r="B2296" s="1">
        <v>439</v>
      </c>
      <c r="C2296" s="1">
        <v>39</v>
      </c>
      <c r="D2296" t="str">
        <f>VLOOKUP(B2296,Заказы!A:C,3,0)</f>
        <v>2023-06-26 22:38:00</v>
      </c>
      <c r="E2296" t="str">
        <f>VLOOKUP(C2296,Меню!A:E,4,0)</f>
        <v>Десерт</v>
      </c>
      <c r="F2296">
        <f>VLOOKUP(C2296,Меню!A:E,5,0)</f>
        <v>150</v>
      </c>
    </row>
    <row r="2297" spans="1:6" ht="15.75" hidden="1" customHeight="1" x14ac:dyDescent="0.35">
      <c r="A2297" s="1">
        <v>2296</v>
      </c>
      <c r="B2297" s="1">
        <v>440</v>
      </c>
      <c r="C2297" s="1">
        <v>46</v>
      </c>
      <c r="D2297" t="str">
        <f>VLOOKUP(B2297,Заказы!A:C,3,0)</f>
        <v>2023-06-27 15:01:00</v>
      </c>
      <c r="E2297" t="str">
        <f>VLOOKUP(C2297,Меню!A:E,4,0)</f>
        <v>Суши</v>
      </c>
      <c r="F2297">
        <f>VLOOKUP(C2297,Меню!A:E,5,0)</f>
        <v>200</v>
      </c>
    </row>
    <row r="2298" spans="1:6" ht="15.75" hidden="1" customHeight="1" x14ac:dyDescent="0.35">
      <c r="A2298" s="1">
        <v>2297</v>
      </c>
      <c r="B2298" s="1">
        <v>441</v>
      </c>
      <c r="C2298" s="1">
        <v>23</v>
      </c>
      <c r="D2298" t="str">
        <f>VLOOKUP(B2298,Заказы!A:C,3,0)</f>
        <v>2023-06-27 15:16:00</v>
      </c>
      <c r="E2298" t="str">
        <f>VLOOKUP(C2298,Меню!A:E,4,0)</f>
        <v>Салат</v>
      </c>
      <c r="F2298">
        <f>VLOOKUP(C2298,Меню!A:E,5,0)</f>
        <v>250</v>
      </c>
    </row>
    <row r="2299" spans="1:6" ht="15.75" hidden="1" customHeight="1" x14ac:dyDescent="0.35">
      <c r="A2299" s="1">
        <v>2298</v>
      </c>
      <c r="B2299" s="1">
        <v>441</v>
      </c>
      <c r="C2299" s="1">
        <v>20</v>
      </c>
      <c r="D2299" t="str">
        <f>VLOOKUP(B2299,Заказы!A:C,3,0)</f>
        <v>2023-06-27 15:16:00</v>
      </c>
      <c r="E2299" t="str">
        <f>VLOOKUP(C2299,Меню!A:E,4,0)</f>
        <v>Первое</v>
      </c>
      <c r="F2299">
        <f>VLOOKUP(C2299,Меню!A:E,5,0)</f>
        <v>250</v>
      </c>
    </row>
    <row r="2300" spans="1:6" ht="15.75" hidden="1" customHeight="1" x14ac:dyDescent="0.35">
      <c r="A2300" s="1">
        <v>2299</v>
      </c>
      <c r="B2300" s="1">
        <v>442</v>
      </c>
      <c r="C2300" s="1">
        <v>6</v>
      </c>
      <c r="D2300" t="str">
        <f>VLOOKUP(B2300,Заказы!A:C,3,0)</f>
        <v>2023-06-27 18:37:00</v>
      </c>
      <c r="E2300" t="str">
        <f>VLOOKUP(C2300,Меню!A:E,4,0)</f>
        <v>Завтрак</v>
      </c>
      <c r="F2300">
        <f>VLOOKUP(C2300,Меню!A:E,5,0)</f>
        <v>300</v>
      </c>
    </row>
    <row r="2301" spans="1:6" ht="15.75" hidden="1" customHeight="1" x14ac:dyDescent="0.35">
      <c r="A2301" s="1">
        <v>2300</v>
      </c>
      <c r="B2301" s="1">
        <v>442</v>
      </c>
      <c r="C2301" s="1">
        <v>46</v>
      </c>
      <c r="D2301" t="str">
        <f>VLOOKUP(B2301,Заказы!A:C,3,0)</f>
        <v>2023-06-27 18:37:00</v>
      </c>
      <c r="E2301" t="str">
        <f>VLOOKUP(C2301,Меню!A:E,4,0)</f>
        <v>Суши</v>
      </c>
      <c r="F2301">
        <f>VLOOKUP(C2301,Меню!A:E,5,0)</f>
        <v>200</v>
      </c>
    </row>
    <row r="2302" spans="1:6" ht="15.75" hidden="1" customHeight="1" x14ac:dyDescent="0.35">
      <c r="A2302" s="1">
        <v>2301</v>
      </c>
      <c r="B2302" s="1">
        <v>442</v>
      </c>
      <c r="C2302" s="1">
        <v>39</v>
      </c>
      <c r="D2302" t="str">
        <f>VLOOKUP(B2302,Заказы!A:C,3,0)</f>
        <v>2023-06-27 18:37:00</v>
      </c>
      <c r="E2302" t="str">
        <f>VLOOKUP(C2302,Меню!A:E,4,0)</f>
        <v>Десерт</v>
      </c>
      <c r="F2302">
        <f>VLOOKUP(C2302,Меню!A:E,5,0)</f>
        <v>150</v>
      </c>
    </row>
    <row r="2303" spans="1:6" ht="15.75" hidden="1" customHeight="1" x14ac:dyDescent="0.35">
      <c r="A2303" s="1">
        <v>2302</v>
      </c>
      <c r="B2303" s="1">
        <v>442</v>
      </c>
      <c r="C2303" s="1">
        <v>45</v>
      </c>
      <c r="D2303" t="str">
        <f>VLOOKUP(B2303,Заказы!A:C,3,0)</f>
        <v>2023-06-27 18:37:00</v>
      </c>
      <c r="E2303" t="str">
        <f>VLOOKUP(C2303,Меню!A:E,4,0)</f>
        <v>Суши</v>
      </c>
      <c r="F2303">
        <f>VLOOKUP(C2303,Меню!A:E,5,0)</f>
        <v>200</v>
      </c>
    </row>
    <row r="2304" spans="1:6" ht="15.75" hidden="1" customHeight="1" x14ac:dyDescent="0.35">
      <c r="A2304" s="1">
        <v>2303</v>
      </c>
      <c r="B2304" s="1">
        <v>442</v>
      </c>
      <c r="C2304" s="1">
        <v>50</v>
      </c>
      <c r="D2304" t="str">
        <f>VLOOKUP(B2304,Заказы!A:C,3,0)</f>
        <v>2023-06-27 18:37:00</v>
      </c>
      <c r="E2304" t="str">
        <f>VLOOKUP(C2304,Меню!A:E,4,0)</f>
        <v>Суши</v>
      </c>
      <c r="F2304">
        <f>VLOOKUP(C2304,Меню!A:E,5,0)</f>
        <v>200</v>
      </c>
    </row>
    <row r="2305" spans="1:6" ht="15.75" hidden="1" customHeight="1" x14ac:dyDescent="0.35">
      <c r="A2305" s="1">
        <v>2304</v>
      </c>
      <c r="B2305" s="1">
        <v>442</v>
      </c>
      <c r="C2305" s="1">
        <v>60</v>
      </c>
      <c r="D2305" t="str">
        <f>VLOOKUP(B2305,Заказы!A:C,3,0)</f>
        <v>2023-06-27 18:37:00</v>
      </c>
      <c r="E2305" t="str">
        <f>VLOOKUP(C2305,Меню!A:E,4,0)</f>
        <v>Суши</v>
      </c>
      <c r="F2305">
        <f>VLOOKUP(C2305,Меню!A:E,5,0)</f>
        <v>250</v>
      </c>
    </row>
    <row r="2306" spans="1:6" ht="15.75" hidden="1" customHeight="1" x14ac:dyDescent="0.35">
      <c r="A2306" s="1">
        <v>2305</v>
      </c>
      <c r="B2306" s="1">
        <v>442</v>
      </c>
      <c r="C2306" s="1">
        <v>53</v>
      </c>
      <c r="D2306" t="str">
        <f>VLOOKUP(B2306,Заказы!A:C,3,0)</f>
        <v>2023-06-27 18:37:00</v>
      </c>
      <c r="E2306" t="str">
        <f>VLOOKUP(C2306,Меню!A:E,4,0)</f>
        <v>Суши</v>
      </c>
      <c r="F2306">
        <f>VLOOKUP(C2306,Меню!A:E,5,0)</f>
        <v>100</v>
      </c>
    </row>
    <row r="2307" spans="1:6" ht="15.75" hidden="1" customHeight="1" x14ac:dyDescent="0.35">
      <c r="A2307" s="1">
        <v>2306</v>
      </c>
      <c r="B2307" s="1">
        <v>443</v>
      </c>
      <c r="C2307" s="1">
        <v>7</v>
      </c>
      <c r="D2307" t="str">
        <f>VLOOKUP(B2307,Заказы!A:C,3,0)</f>
        <v>2023-06-27 20:22:00</v>
      </c>
      <c r="E2307" t="str">
        <f>VLOOKUP(C2307,Меню!A:E,4,0)</f>
        <v>Завтрак</v>
      </c>
      <c r="F2307">
        <f>VLOOKUP(C2307,Меню!A:E,5,0)</f>
        <v>200</v>
      </c>
    </row>
    <row r="2308" spans="1:6" ht="15.75" hidden="1" customHeight="1" x14ac:dyDescent="0.35">
      <c r="A2308" s="1">
        <v>2307</v>
      </c>
      <c r="B2308" s="1">
        <v>443</v>
      </c>
      <c r="C2308" s="1">
        <v>57</v>
      </c>
      <c r="D2308" t="str">
        <f>VLOOKUP(B2308,Заказы!A:C,3,0)</f>
        <v>2023-06-27 20:22:00</v>
      </c>
      <c r="E2308" t="str">
        <f>VLOOKUP(C2308,Меню!A:E,4,0)</f>
        <v>Суши</v>
      </c>
      <c r="F2308">
        <f>VLOOKUP(C2308,Меню!A:E,5,0)</f>
        <v>200</v>
      </c>
    </row>
    <row r="2309" spans="1:6" ht="15.75" hidden="1" customHeight="1" x14ac:dyDescent="0.35">
      <c r="A2309" s="1">
        <v>2308</v>
      </c>
      <c r="B2309" s="1">
        <v>443</v>
      </c>
      <c r="C2309" s="1">
        <v>24</v>
      </c>
      <c r="D2309" t="str">
        <f>VLOOKUP(B2309,Заказы!A:C,3,0)</f>
        <v>2023-06-27 20:22:00</v>
      </c>
      <c r="E2309" t="str">
        <f>VLOOKUP(C2309,Меню!A:E,4,0)</f>
        <v>Салат</v>
      </c>
      <c r="F2309">
        <f>VLOOKUP(C2309,Меню!A:E,5,0)</f>
        <v>250</v>
      </c>
    </row>
    <row r="2310" spans="1:6" ht="15.75" hidden="1" customHeight="1" x14ac:dyDescent="0.35">
      <c r="A2310" s="1">
        <v>2309</v>
      </c>
      <c r="B2310" s="1">
        <v>443</v>
      </c>
      <c r="C2310" s="1">
        <v>37</v>
      </c>
      <c r="D2310" t="str">
        <f>VLOOKUP(B2310,Заказы!A:C,3,0)</f>
        <v>2023-06-27 20:22:00</v>
      </c>
      <c r="E2310" t="str">
        <f>VLOOKUP(C2310,Меню!A:E,4,0)</f>
        <v>Десерт</v>
      </c>
      <c r="F2310">
        <f>VLOOKUP(C2310,Меню!A:E,5,0)</f>
        <v>100</v>
      </c>
    </row>
    <row r="2311" spans="1:6" ht="15.75" hidden="1" customHeight="1" x14ac:dyDescent="0.35">
      <c r="A2311" s="1">
        <v>2310</v>
      </c>
      <c r="B2311" s="1">
        <v>443</v>
      </c>
      <c r="C2311" s="1">
        <v>14</v>
      </c>
      <c r="D2311" t="str">
        <f>VLOOKUP(B2311,Заказы!A:C,3,0)</f>
        <v>2023-06-27 20:22:00</v>
      </c>
      <c r="E2311" t="str">
        <f>VLOOKUP(C2311,Меню!A:E,4,0)</f>
        <v>Первое</v>
      </c>
      <c r="F2311">
        <f>VLOOKUP(C2311,Меню!A:E,5,0)</f>
        <v>350</v>
      </c>
    </row>
    <row r="2312" spans="1:6" ht="15.75" hidden="1" customHeight="1" x14ac:dyDescent="0.35">
      <c r="A2312" s="1">
        <v>2311</v>
      </c>
      <c r="B2312" s="1">
        <v>443</v>
      </c>
      <c r="C2312" s="1">
        <v>49</v>
      </c>
      <c r="D2312" t="str">
        <f>VLOOKUP(B2312,Заказы!A:C,3,0)</f>
        <v>2023-06-27 20:22:00</v>
      </c>
      <c r="E2312" t="str">
        <f>VLOOKUP(C2312,Меню!A:E,4,0)</f>
        <v>Суши</v>
      </c>
      <c r="F2312">
        <f>VLOOKUP(C2312,Меню!A:E,5,0)</f>
        <v>200</v>
      </c>
    </row>
    <row r="2313" spans="1:6" ht="15.75" hidden="1" customHeight="1" x14ac:dyDescent="0.35">
      <c r="A2313" s="1">
        <v>2312</v>
      </c>
      <c r="B2313" s="1">
        <v>443</v>
      </c>
      <c r="C2313" s="1">
        <v>39</v>
      </c>
      <c r="D2313" t="str">
        <f>VLOOKUP(B2313,Заказы!A:C,3,0)</f>
        <v>2023-06-27 20:22:00</v>
      </c>
      <c r="E2313" t="str">
        <f>VLOOKUP(C2313,Меню!A:E,4,0)</f>
        <v>Десерт</v>
      </c>
      <c r="F2313">
        <f>VLOOKUP(C2313,Меню!A:E,5,0)</f>
        <v>150</v>
      </c>
    </row>
    <row r="2314" spans="1:6" ht="15.75" hidden="1" customHeight="1" x14ac:dyDescent="0.35">
      <c r="A2314" s="1">
        <v>2313</v>
      </c>
      <c r="B2314" s="1">
        <v>443</v>
      </c>
      <c r="C2314" s="1">
        <v>44</v>
      </c>
      <c r="D2314" t="str">
        <f>VLOOKUP(B2314,Заказы!A:C,3,0)</f>
        <v>2023-06-27 20:22:00</v>
      </c>
      <c r="E2314" t="str">
        <f>VLOOKUP(C2314,Меню!A:E,4,0)</f>
        <v>Суши</v>
      </c>
      <c r="F2314">
        <f>VLOOKUP(C2314,Меню!A:E,5,0)</f>
        <v>250</v>
      </c>
    </row>
    <row r="2315" spans="1:6" ht="15.75" hidden="1" customHeight="1" x14ac:dyDescent="0.35">
      <c r="A2315" s="1">
        <v>2314</v>
      </c>
      <c r="B2315" s="1">
        <v>444</v>
      </c>
      <c r="C2315" s="1">
        <v>12</v>
      </c>
      <c r="D2315" t="str">
        <f>VLOOKUP(B2315,Заказы!A:C,3,0)</f>
        <v>2023-06-28 18:17:00</v>
      </c>
      <c r="E2315" t="str">
        <f>VLOOKUP(C2315,Меню!A:E,4,0)</f>
        <v>Первое</v>
      </c>
      <c r="F2315">
        <f>VLOOKUP(C2315,Меню!A:E,5,0)</f>
        <v>300</v>
      </c>
    </row>
    <row r="2316" spans="1:6" ht="15.75" hidden="1" customHeight="1" x14ac:dyDescent="0.35">
      <c r="A2316" s="1">
        <v>2315</v>
      </c>
      <c r="B2316" s="1">
        <v>444</v>
      </c>
      <c r="C2316" s="1">
        <v>7</v>
      </c>
      <c r="D2316" t="str">
        <f>VLOOKUP(B2316,Заказы!A:C,3,0)</f>
        <v>2023-06-28 18:17:00</v>
      </c>
      <c r="E2316" t="str">
        <f>VLOOKUP(C2316,Меню!A:E,4,0)</f>
        <v>Завтрак</v>
      </c>
      <c r="F2316">
        <f>VLOOKUP(C2316,Меню!A:E,5,0)</f>
        <v>200</v>
      </c>
    </row>
    <row r="2317" spans="1:6" ht="15.75" hidden="1" customHeight="1" x14ac:dyDescent="0.35">
      <c r="A2317" s="1">
        <v>2316</v>
      </c>
      <c r="B2317" s="1">
        <v>444</v>
      </c>
      <c r="C2317" s="1">
        <v>48</v>
      </c>
      <c r="D2317" t="str">
        <f>VLOOKUP(B2317,Заказы!A:C,3,0)</f>
        <v>2023-06-28 18:17:00</v>
      </c>
      <c r="E2317" t="str">
        <f>VLOOKUP(C2317,Меню!A:E,4,0)</f>
        <v>Суши</v>
      </c>
      <c r="F2317">
        <f>VLOOKUP(C2317,Меню!A:E,5,0)</f>
        <v>200</v>
      </c>
    </row>
    <row r="2318" spans="1:6" ht="15.75" hidden="1" customHeight="1" x14ac:dyDescent="0.35">
      <c r="A2318" s="1">
        <v>2317</v>
      </c>
      <c r="B2318" s="1">
        <v>444</v>
      </c>
      <c r="C2318" s="1">
        <v>43</v>
      </c>
      <c r="D2318" t="str">
        <f>VLOOKUP(B2318,Заказы!A:C,3,0)</f>
        <v>2023-06-28 18:17:00</v>
      </c>
      <c r="E2318" t="str">
        <f>VLOOKUP(C2318,Меню!A:E,4,0)</f>
        <v>Суши</v>
      </c>
      <c r="F2318">
        <f>VLOOKUP(C2318,Меню!A:E,5,0)</f>
        <v>250</v>
      </c>
    </row>
    <row r="2319" spans="1:6" ht="15.75" hidden="1" customHeight="1" x14ac:dyDescent="0.35">
      <c r="A2319" s="1">
        <v>2318</v>
      </c>
      <c r="B2319" s="1">
        <v>444</v>
      </c>
      <c r="C2319" s="1">
        <v>54</v>
      </c>
      <c r="D2319" t="str">
        <f>VLOOKUP(B2319,Заказы!A:C,3,0)</f>
        <v>2023-06-28 18:17:00</v>
      </c>
      <c r="E2319" t="str">
        <f>VLOOKUP(C2319,Меню!A:E,4,0)</f>
        <v>Суши</v>
      </c>
      <c r="F2319">
        <f>VLOOKUP(C2319,Меню!A:E,5,0)</f>
        <v>100</v>
      </c>
    </row>
    <row r="2320" spans="1:6" ht="15.75" hidden="1" customHeight="1" x14ac:dyDescent="0.35">
      <c r="A2320" s="1">
        <v>2319</v>
      </c>
      <c r="B2320" s="1">
        <v>445</v>
      </c>
      <c r="C2320" s="1">
        <v>32</v>
      </c>
      <c r="D2320" t="str">
        <f>VLOOKUP(B2320,Заказы!A:C,3,0)</f>
        <v>2023-06-29 15:35:00</v>
      </c>
      <c r="E2320" t="str">
        <f>VLOOKUP(C2320,Меню!A:E,4,0)</f>
        <v>Десерт</v>
      </c>
      <c r="F2320">
        <f>VLOOKUP(C2320,Меню!A:E,5,0)</f>
        <v>150</v>
      </c>
    </row>
    <row r="2321" spans="1:6" ht="15.75" hidden="1" customHeight="1" x14ac:dyDescent="0.35">
      <c r="A2321" s="1">
        <v>2320</v>
      </c>
      <c r="B2321" s="1">
        <v>445</v>
      </c>
      <c r="C2321" s="1">
        <v>27</v>
      </c>
      <c r="D2321" t="str">
        <f>VLOOKUP(B2321,Заказы!A:C,3,0)</f>
        <v>2023-06-29 15:35:00</v>
      </c>
      <c r="E2321" t="str">
        <f>VLOOKUP(C2321,Меню!A:E,4,0)</f>
        <v>Салат</v>
      </c>
      <c r="F2321">
        <f>VLOOKUP(C2321,Меню!A:E,5,0)</f>
        <v>250</v>
      </c>
    </row>
    <row r="2322" spans="1:6" ht="15.75" hidden="1" customHeight="1" x14ac:dyDescent="0.35">
      <c r="A2322" s="1">
        <v>2321</v>
      </c>
      <c r="B2322" s="1">
        <v>445</v>
      </c>
      <c r="C2322" s="1">
        <v>15</v>
      </c>
      <c r="D2322" t="str">
        <f>VLOOKUP(B2322,Заказы!A:C,3,0)</f>
        <v>2023-06-29 15:35:00</v>
      </c>
      <c r="E2322" t="str">
        <f>VLOOKUP(C2322,Меню!A:E,4,0)</f>
        <v>Первое</v>
      </c>
      <c r="F2322">
        <f>VLOOKUP(C2322,Меню!A:E,5,0)</f>
        <v>250</v>
      </c>
    </row>
    <row r="2323" spans="1:6" ht="15.75" hidden="1" customHeight="1" x14ac:dyDescent="0.35">
      <c r="A2323" s="1">
        <v>2322</v>
      </c>
      <c r="B2323" s="1">
        <v>445</v>
      </c>
      <c r="C2323" s="1">
        <v>60</v>
      </c>
      <c r="D2323" t="str">
        <f>VLOOKUP(B2323,Заказы!A:C,3,0)</f>
        <v>2023-06-29 15:35:00</v>
      </c>
      <c r="E2323" t="str">
        <f>VLOOKUP(C2323,Меню!A:E,4,0)</f>
        <v>Суши</v>
      </c>
      <c r="F2323">
        <f>VLOOKUP(C2323,Меню!A:E,5,0)</f>
        <v>250</v>
      </c>
    </row>
    <row r="2324" spans="1:6" ht="15.75" hidden="1" customHeight="1" x14ac:dyDescent="0.35">
      <c r="A2324" s="1">
        <v>2323</v>
      </c>
      <c r="B2324" s="1">
        <v>445</v>
      </c>
      <c r="C2324" s="1">
        <v>37</v>
      </c>
      <c r="D2324" t="str">
        <f>VLOOKUP(B2324,Заказы!A:C,3,0)</f>
        <v>2023-06-29 15:35:00</v>
      </c>
      <c r="E2324" t="str">
        <f>VLOOKUP(C2324,Меню!A:E,4,0)</f>
        <v>Десерт</v>
      </c>
      <c r="F2324">
        <f>VLOOKUP(C2324,Меню!A:E,5,0)</f>
        <v>100</v>
      </c>
    </row>
    <row r="2325" spans="1:6" ht="15.75" hidden="1" customHeight="1" x14ac:dyDescent="0.35">
      <c r="A2325" s="1">
        <v>2324</v>
      </c>
      <c r="B2325" s="1">
        <v>445</v>
      </c>
      <c r="C2325" s="1">
        <v>37</v>
      </c>
      <c r="D2325" t="str">
        <f>VLOOKUP(B2325,Заказы!A:C,3,0)</f>
        <v>2023-06-29 15:35:00</v>
      </c>
      <c r="E2325" t="str">
        <f>VLOOKUP(C2325,Меню!A:E,4,0)</f>
        <v>Десерт</v>
      </c>
      <c r="F2325">
        <f>VLOOKUP(C2325,Меню!A:E,5,0)</f>
        <v>100</v>
      </c>
    </row>
    <row r="2326" spans="1:6" ht="15.75" hidden="1" customHeight="1" x14ac:dyDescent="0.35">
      <c r="A2326" s="1">
        <v>2325</v>
      </c>
      <c r="B2326" s="1">
        <v>446</v>
      </c>
      <c r="C2326" s="1">
        <v>56</v>
      </c>
      <c r="D2326" t="str">
        <f>VLOOKUP(B2326,Заказы!A:C,3,0)</f>
        <v>2023-06-29 17:28:00</v>
      </c>
      <c r="E2326" t="str">
        <f>VLOOKUP(C2326,Меню!A:E,4,0)</f>
        <v>Суши</v>
      </c>
      <c r="F2326">
        <f>VLOOKUP(C2326,Меню!A:E,5,0)</f>
        <v>200</v>
      </c>
    </row>
    <row r="2327" spans="1:6" ht="15.75" hidden="1" customHeight="1" x14ac:dyDescent="0.35">
      <c r="A2327" s="1">
        <v>2326</v>
      </c>
      <c r="B2327" s="1">
        <v>446</v>
      </c>
      <c r="C2327" s="1">
        <v>27</v>
      </c>
      <c r="D2327" t="str">
        <f>VLOOKUP(B2327,Заказы!A:C,3,0)</f>
        <v>2023-06-29 17:28:00</v>
      </c>
      <c r="E2327" t="str">
        <f>VLOOKUP(C2327,Меню!A:E,4,0)</f>
        <v>Салат</v>
      </c>
      <c r="F2327">
        <f>VLOOKUP(C2327,Меню!A:E,5,0)</f>
        <v>250</v>
      </c>
    </row>
    <row r="2328" spans="1:6" ht="15.75" hidden="1" customHeight="1" x14ac:dyDescent="0.35">
      <c r="A2328" s="1">
        <v>2327</v>
      </c>
      <c r="B2328" s="1">
        <v>446</v>
      </c>
      <c r="C2328" s="1">
        <v>6</v>
      </c>
      <c r="D2328" t="str">
        <f>VLOOKUP(B2328,Заказы!A:C,3,0)</f>
        <v>2023-06-29 17:28:00</v>
      </c>
      <c r="E2328" t="str">
        <f>VLOOKUP(C2328,Меню!A:E,4,0)</f>
        <v>Завтрак</v>
      </c>
      <c r="F2328">
        <f>VLOOKUP(C2328,Меню!A:E,5,0)</f>
        <v>300</v>
      </c>
    </row>
    <row r="2329" spans="1:6" ht="15.75" hidden="1" customHeight="1" x14ac:dyDescent="0.35">
      <c r="A2329" s="1">
        <v>2328</v>
      </c>
      <c r="B2329" s="1">
        <v>446</v>
      </c>
      <c r="C2329" s="1">
        <v>30</v>
      </c>
      <c r="D2329" t="str">
        <f>VLOOKUP(B2329,Заказы!A:C,3,0)</f>
        <v>2023-06-29 17:28:00</v>
      </c>
      <c r="E2329" t="str">
        <f>VLOOKUP(C2329,Меню!A:E,4,0)</f>
        <v>Салат</v>
      </c>
      <c r="F2329">
        <f>VLOOKUP(C2329,Меню!A:E,5,0)</f>
        <v>250</v>
      </c>
    </row>
    <row r="2330" spans="1:6" ht="15.75" hidden="1" customHeight="1" x14ac:dyDescent="0.35">
      <c r="A2330" s="1">
        <v>2329</v>
      </c>
      <c r="B2330" s="1">
        <v>446</v>
      </c>
      <c r="C2330" s="1">
        <v>53</v>
      </c>
      <c r="D2330" t="str">
        <f>VLOOKUP(B2330,Заказы!A:C,3,0)</f>
        <v>2023-06-29 17:28:00</v>
      </c>
      <c r="E2330" t="str">
        <f>VLOOKUP(C2330,Меню!A:E,4,0)</f>
        <v>Суши</v>
      </c>
      <c r="F2330">
        <f>VLOOKUP(C2330,Меню!A:E,5,0)</f>
        <v>100</v>
      </c>
    </row>
    <row r="2331" spans="1:6" ht="15.75" hidden="1" customHeight="1" x14ac:dyDescent="0.35">
      <c r="A2331" s="1">
        <v>2330</v>
      </c>
      <c r="B2331" s="1">
        <v>446</v>
      </c>
      <c r="C2331" s="1">
        <v>12</v>
      </c>
      <c r="D2331" t="str">
        <f>VLOOKUP(B2331,Заказы!A:C,3,0)</f>
        <v>2023-06-29 17:28:00</v>
      </c>
      <c r="E2331" t="str">
        <f>VLOOKUP(C2331,Меню!A:E,4,0)</f>
        <v>Первое</v>
      </c>
      <c r="F2331">
        <f>VLOOKUP(C2331,Меню!A:E,5,0)</f>
        <v>300</v>
      </c>
    </row>
    <row r="2332" spans="1:6" ht="15.75" hidden="1" customHeight="1" x14ac:dyDescent="0.35">
      <c r="A2332" s="1">
        <v>2331</v>
      </c>
      <c r="B2332" s="1">
        <v>447</v>
      </c>
      <c r="C2332" s="1">
        <v>58</v>
      </c>
      <c r="D2332" t="str">
        <f>VLOOKUP(B2332,Заказы!A:C,3,0)</f>
        <v>2023-06-29 17:33:00</v>
      </c>
      <c r="E2332" t="str">
        <f>VLOOKUP(C2332,Меню!A:E,4,0)</f>
        <v>Суши</v>
      </c>
      <c r="F2332">
        <f>VLOOKUP(C2332,Меню!A:E,5,0)</f>
        <v>200</v>
      </c>
    </row>
    <row r="2333" spans="1:6" ht="15.75" hidden="1" customHeight="1" x14ac:dyDescent="0.35">
      <c r="A2333" s="1">
        <v>2332</v>
      </c>
      <c r="B2333" s="1">
        <v>447</v>
      </c>
      <c r="C2333" s="1">
        <v>34</v>
      </c>
      <c r="D2333" t="str">
        <f>VLOOKUP(B2333,Заказы!A:C,3,0)</f>
        <v>2023-06-29 17:33:00</v>
      </c>
      <c r="E2333" t="str">
        <f>VLOOKUP(C2333,Меню!A:E,4,0)</f>
        <v>Десерт</v>
      </c>
      <c r="F2333">
        <f>VLOOKUP(C2333,Меню!A:E,5,0)</f>
        <v>150</v>
      </c>
    </row>
    <row r="2334" spans="1:6" ht="15.75" hidden="1" customHeight="1" x14ac:dyDescent="0.35">
      <c r="A2334" s="1">
        <v>2333</v>
      </c>
      <c r="B2334" s="1">
        <v>447</v>
      </c>
      <c r="C2334" s="1">
        <v>16</v>
      </c>
      <c r="D2334" t="str">
        <f>VLOOKUP(B2334,Заказы!A:C,3,0)</f>
        <v>2023-06-29 17:33:00</v>
      </c>
      <c r="E2334" t="str">
        <f>VLOOKUP(C2334,Меню!A:E,4,0)</f>
        <v>Первое</v>
      </c>
      <c r="F2334">
        <f>VLOOKUP(C2334,Меню!A:E,5,0)</f>
        <v>250</v>
      </c>
    </row>
    <row r="2335" spans="1:6" ht="15.75" hidden="1" customHeight="1" x14ac:dyDescent="0.35">
      <c r="A2335" s="1">
        <v>2334</v>
      </c>
      <c r="B2335" s="1">
        <v>447</v>
      </c>
      <c r="C2335" s="1">
        <v>33</v>
      </c>
      <c r="D2335" t="str">
        <f>VLOOKUP(B2335,Заказы!A:C,3,0)</f>
        <v>2023-06-29 17:33:00</v>
      </c>
      <c r="E2335" t="str">
        <f>VLOOKUP(C2335,Меню!A:E,4,0)</f>
        <v>Десерт</v>
      </c>
      <c r="F2335">
        <f>VLOOKUP(C2335,Меню!A:E,5,0)</f>
        <v>150</v>
      </c>
    </row>
    <row r="2336" spans="1:6" ht="15.75" hidden="1" customHeight="1" x14ac:dyDescent="0.35">
      <c r="A2336" s="1">
        <v>2335</v>
      </c>
      <c r="B2336" s="1">
        <v>447</v>
      </c>
      <c r="C2336" s="1">
        <v>33</v>
      </c>
      <c r="D2336" t="str">
        <f>VLOOKUP(B2336,Заказы!A:C,3,0)</f>
        <v>2023-06-29 17:33:00</v>
      </c>
      <c r="E2336" t="str">
        <f>VLOOKUP(C2336,Меню!A:E,4,0)</f>
        <v>Десерт</v>
      </c>
      <c r="F2336">
        <f>VLOOKUP(C2336,Меню!A:E,5,0)</f>
        <v>150</v>
      </c>
    </row>
    <row r="2337" spans="1:6" ht="15.75" hidden="1" customHeight="1" x14ac:dyDescent="0.35">
      <c r="A2337" s="1">
        <v>2336</v>
      </c>
      <c r="B2337" s="1">
        <v>447</v>
      </c>
      <c r="C2337" s="1">
        <v>49</v>
      </c>
      <c r="D2337" t="str">
        <f>VLOOKUP(B2337,Заказы!A:C,3,0)</f>
        <v>2023-06-29 17:33:00</v>
      </c>
      <c r="E2337" t="str">
        <f>VLOOKUP(C2337,Меню!A:E,4,0)</f>
        <v>Суши</v>
      </c>
      <c r="F2337">
        <f>VLOOKUP(C2337,Меню!A:E,5,0)</f>
        <v>200</v>
      </c>
    </row>
    <row r="2338" spans="1:6" ht="15.75" hidden="1" customHeight="1" x14ac:dyDescent="0.35">
      <c r="A2338" s="1">
        <v>2337</v>
      </c>
      <c r="B2338" s="1">
        <v>447</v>
      </c>
      <c r="C2338" s="1">
        <v>49</v>
      </c>
      <c r="D2338" t="str">
        <f>VLOOKUP(B2338,Заказы!A:C,3,0)</f>
        <v>2023-06-29 17:33:00</v>
      </c>
      <c r="E2338" t="str">
        <f>VLOOKUP(C2338,Меню!A:E,4,0)</f>
        <v>Суши</v>
      </c>
      <c r="F2338">
        <f>VLOOKUP(C2338,Меню!A:E,5,0)</f>
        <v>200</v>
      </c>
    </row>
    <row r="2339" spans="1:6" ht="15.75" hidden="1" customHeight="1" x14ac:dyDescent="0.35">
      <c r="A2339" s="1">
        <v>2338</v>
      </c>
      <c r="B2339" s="1">
        <v>447</v>
      </c>
      <c r="C2339" s="1">
        <v>7</v>
      </c>
      <c r="D2339" t="str">
        <f>VLOOKUP(B2339,Заказы!A:C,3,0)</f>
        <v>2023-06-29 17:33:00</v>
      </c>
      <c r="E2339" t="str">
        <f>VLOOKUP(C2339,Меню!A:E,4,0)</f>
        <v>Завтрак</v>
      </c>
      <c r="F2339">
        <f>VLOOKUP(C2339,Меню!A:E,5,0)</f>
        <v>200</v>
      </c>
    </row>
    <row r="2340" spans="1:6" ht="15.75" hidden="1" customHeight="1" x14ac:dyDescent="0.35">
      <c r="A2340" s="1">
        <v>2339</v>
      </c>
      <c r="B2340" s="1">
        <v>448</v>
      </c>
      <c r="C2340" s="1">
        <v>7</v>
      </c>
      <c r="D2340" t="str">
        <f>VLOOKUP(B2340,Заказы!A:C,3,0)</f>
        <v>2023-06-29 17:41:00</v>
      </c>
      <c r="E2340" t="str">
        <f>VLOOKUP(C2340,Меню!A:E,4,0)</f>
        <v>Завтрак</v>
      </c>
      <c r="F2340">
        <f>VLOOKUP(C2340,Меню!A:E,5,0)</f>
        <v>200</v>
      </c>
    </row>
    <row r="2341" spans="1:6" ht="15.75" hidden="1" customHeight="1" x14ac:dyDescent="0.35">
      <c r="A2341" s="1">
        <v>2340</v>
      </c>
      <c r="B2341" s="1">
        <v>449</v>
      </c>
      <c r="C2341" s="1">
        <v>8</v>
      </c>
      <c r="D2341" t="str">
        <f>VLOOKUP(B2341,Заказы!A:C,3,0)</f>
        <v>2023-06-29 18:10:00</v>
      </c>
      <c r="E2341" t="str">
        <f>VLOOKUP(C2341,Меню!A:E,4,0)</f>
        <v>Завтрак</v>
      </c>
      <c r="F2341">
        <f>VLOOKUP(C2341,Меню!A:E,5,0)</f>
        <v>180</v>
      </c>
    </row>
    <row r="2342" spans="1:6" ht="15.75" hidden="1" customHeight="1" x14ac:dyDescent="0.35">
      <c r="A2342" s="1">
        <v>2341</v>
      </c>
      <c r="B2342" s="1">
        <v>449</v>
      </c>
      <c r="C2342" s="1">
        <v>41</v>
      </c>
      <c r="D2342" t="str">
        <f>VLOOKUP(B2342,Заказы!A:C,3,0)</f>
        <v>2023-06-29 18:10:00</v>
      </c>
      <c r="E2342" t="str">
        <f>VLOOKUP(C2342,Меню!A:E,4,0)</f>
        <v>Суши</v>
      </c>
      <c r="F2342">
        <f>VLOOKUP(C2342,Меню!A:E,5,0)</f>
        <v>220</v>
      </c>
    </row>
    <row r="2343" spans="1:6" ht="15.75" hidden="1" customHeight="1" x14ac:dyDescent="0.35">
      <c r="A2343" s="1">
        <v>2342</v>
      </c>
      <c r="B2343" s="1">
        <v>449</v>
      </c>
      <c r="C2343" s="1">
        <v>13</v>
      </c>
      <c r="D2343" t="str">
        <f>VLOOKUP(B2343,Заказы!A:C,3,0)</f>
        <v>2023-06-29 18:10:00</v>
      </c>
      <c r="E2343" t="str">
        <f>VLOOKUP(C2343,Меню!A:E,4,0)</f>
        <v>Первое</v>
      </c>
      <c r="F2343">
        <f>VLOOKUP(C2343,Меню!A:E,5,0)</f>
        <v>280</v>
      </c>
    </row>
    <row r="2344" spans="1:6" ht="15.75" hidden="1" customHeight="1" x14ac:dyDescent="0.35">
      <c r="A2344" s="1">
        <v>2343</v>
      </c>
      <c r="B2344" s="1">
        <v>450</v>
      </c>
      <c r="C2344" s="1">
        <v>6</v>
      </c>
      <c r="D2344" t="str">
        <f>VLOOKUP(B2344,Заказы!A:C,3,0)</f>
        <v>2023-06-29 18:58:00</v>
      </c>
      <c r="E2344" t="str">
        <f>VLOOKUP(C2344,Меню!A:E,4,0)</f>
        <v>Завтрак</v>
      </c>
      <c r="F2344">
        <f>VLOOKUP(C2344,Меню!A:E,5,0)</f>
        <v>300</v>
      </c>
    </row>
    <row r="2345" spans="1:6" ht="15.75" hidden="1" customHeight="1" x14ac:dyDescent="0.35">
      <c r="A2345" s="1">
        <v>2344</v>
      </c>
      <c r="B2345" s="1">
        <v>450</v>
      </c>
      <c r="C2345" s="1">
        <v>12</v>
      </c>
      <c r="D2345" t="str">
        <f>VLOOKUP(B2345,Заказы!A:C,3,0)</f>
        <v>2023-06-29 18:58:00</v>
      </c>
      <c r="E2345" t="str">
        <f>VLOOKUP(C2345,Меню!A:E,4,0)</f>
        <v>Первое</v>
      </c>
      <c r="F2345">
        <f>VLOOKUP(C2345,Меню!A:E,5,0)</f>
        <v>300</v>
      </c>
    </row>
    <row r="2346" spans="1:6" ht="15.75" hidden="1" customHeight="1" x14ac:dyDescent="0.35">
      <c r="A2346" s="1">
        <v>2345</v>
      </c>
      <c r="B2346" s="1">
        <v>450</v>
      </c>
      <c r="C2346" s="1">
        <v>35</v>
      </c>
      <c r="D2346" t="str">
        <f>VLOOKUP(B2346,Заказы!A:C,3,0)</f>
        <v>2023-06-29 18:58:00</v>
      </c>
      <c r="E2346" t="str">
        <f>VLOOKUP(C2346,Меню!A:E,4,0)</f>
        <v>Десерт</v>
      </c>
      <c r="F2346">
        <f>VLOOKUP(C2346,Меню!A:E,5,0)</f>
        <v>150</v>
      </c>
    </row>
    <row r="2347" spans="1:6" ht="15.75" hidden="1" customHeight="1" x14ac:dyDescent="0.35">
      <c r="A2347" s="1">
        <v>2346</v>
      </c>
      <c r="B2347" s="1">
        <v>450</v>
      </c>
      <c r="C2347" s="1">
        <v>10</v>
      </c>
      <c r="D2347" t="str">
        <f>VLOOKUP(B2347,Заказы!A:C,3,0)</f>
        <v>2023-06-29 18:58:00</v>
      </c>
      <c r="E2347" t="str">
        <f>VLOOKUP(C2347,Меню!A:E,4,0)</f>
        <v>Завтрак</v>
      </c>
      <c r="F2347">
        <f>VLOOKUP(C2347,Меню!A:E,5,0)</f>
        <v>200</v>
      </c>
    </row>
    <row r="2348" spans="1:6" ht="15.75" hidden="1" customHeight="1" x14ac:dyDescent="0.35">
      <c r="A2348" s="1">
        <v>2347</v>
      </c>
      <c r="B2348" s="1">
        <v>451</v>
      </c>
      <c r="C2348" s="1">
        <v>50</v>
      </c>
      <c r="D2348" t="str">
        <f>VLOOKUP(B2348,Заказы!A:C,3,0)</f>
        <v>2023-06-29 20:02:00</v>
      </c>
      <c r="E2348" t="str">
        <f>VLOOKUP(C2348,Меню!A:E,4,0)</f>
        <v>Суши</v>
      </c>
      <c r="F2348">
        <f>VLOOKUP(C2348,Меню!A:E,5,0)</f>
        <v>200</v>
      </c>
    </row>
    <row r="2349" spans="1:6" ht="15.75" hidden="1" customHeight="1" x14ac:dyDescent="0.35">
      <c r="A2349" s="1">
        <v>2348</v>
      </c>
      <c r="B2349" s="1">
        <v>451</v>
      </c>
      <c r="C2349" s="1">
        <v>26</v>
      </c>
      <c r="D2349" t="str">
        <f>VLOOKUP(B2349,Заказы!A:C,3,0)</f>
        <v>2023-06-29 20:02:00</v>
      </c>
      <c r="E2349" t="str">
        <f>VLOOKUP(C2349,Меню!A:E,4,0)</f>
        <v>Салат</v>
      </c>
      <c r="F2349">
        <f>VLOOKUP(C2349,Меню!A:E,5,0)</f>
        <v>250</v>
      </c>
    </row>
    <row r="2350" spans="1:6" ht="15.75" hidden="1" customHeight="1" x14ac:dyDescent="0.35">
      <c r="A2350" s="1">
        <v>2349</v>
      </c>
      <c r="B2350" s="1">
        <v>451</v>
      </c>
      <c r="C2350" s="1">
        <v>40</v>
      </c>
      <c r="D2350" t="str">
        <f>VLOOKUP(B2350,Заказы!A:C,3,0)</f>
        <v>2023-06-29 20:02:00</v>
      </c>
      <c r="E2350" t="str">
        <f>VLOOKUP(C2350,Меню!A:E,4,0)</f>
        <v>Десерт</v>
      </c>
      <c r="F2350">
        <f>VLOOKUP(C2350,Меню!A:E,5,0)</f>
        <v>150</v>
      </c>
    </row>
    <row r="2351" spans="1:6" ht="15.75" hidden="1" customHeight="1" x14ac:dyDescent="0.35">
      <c r="A2351" s="1">
        <v>2350</v>
      </c>
      <c r="B2351" s="1">
        <v>452</v>
      </c>
      <c r="C2351" s="1">
        <v>46</v>
      </c>
      <c r="D2351" t="str">
        <f>VLOOKUP(B2351,Заказы!A:C,3,0)</f>
        <v>2023-06-29 22:24:00</v>
      </c>
      <c r="E2351" t="str">
        <f>VLOOKUP(C2351,Меню!A:E,4,0)</f>
        <v>Суши</v>
      </c>
      <c r="F2351">
        <f>VLOOKUP(C2351,Меню!A:E,5,0)</f>
        <v>200</v>
      </c>
    </row>
    <row r="2352" spans="1:6" ht="15.75" hidden="1" customHeight="1" x14ac:dyDescent="0.35">
      <c r="A2352" s="1">
        <v>2351</v>
      </c>
      <c r="B2352" s="1">
        <v>452</v>
      </c>
      <c r="C2352" s="1">
        <v>29</v>
      </c>
      <c r="D2352" t="str">
        <f>VLOOKUP(B2352,Заказы!A:C,3,0)</f>
        <v>2023-06-29 22:24:00</v>
      </c>
      <c r="E2352" t="str">
        <f>VLOOKUP(C2352,Меню!A:E,4,0)</f>
        <v>Салат</v>
      </c>
      <c r="F2352">
        <f>VLOOKUP(C2352,Меню!A:E,5,0)</f>
        <v>250</v>
      </c>
    </row>
    <row r="2353" spans="1:6" ht="15.75" hidden="1" customHeight="1" x14ac:dyDescent="0.35">
      <c r="A2353" s="1">
        <v>2352</v>
      </c>
      <c r="B2353" s="1">
        <v>452</v>
      </c>
      <c r="C2353" s="1">
        <v>43</v>
      </c>
      <c r="D2353" t="str">
        <f>VLOOKUP(B2353,Заказы!A:C,3,0)</f>
        <v>2023-06-29 22:24:00</v>
      </c>
      <c r="E2353" t="str">
        <f>VLOOKUP(C2353,Меню!A:E,4,0)</f>
        <v>Суши</v>
      </c>
      <c r="F2353">
        <f>VLOOKUP(C2353,Меню!A:E,5,0)</f>
        <v>250</v>
      </c>
    </row>
    <row r="2354" spans="1:6" ht="15.75" hidden="1" customHeight="1" x14ac:dyDescent="0.35">
      <c r="A2354" s="1">
        <v>2353</v>
      </c>
      <c r="B2354" s="1">
        <v>452</v>
      </c>
      <c r="C2354" s="1">
        <v>10</v>
      </c>
      <c r="D2354" t="str">
        <f>VLOOKUP(B2354,Заказы!A:C,3,0)</f>
        <v>2023-06-29 22:24:00</v>
      </c>
      <c r="E2354" t="str">
        <f>VLOOKUP(C2354,Меню!A:E,4,0)</f>
        <v>Завтрак</v>
      </c>
      <c r="F2354">
        <f>VLOOKUP(C2354,Меню!A:E,5,0)</f>
        <v>200</v>
      </c>
    </row>
    <row r="2355" spans="1:6" ht="15.75" hidden="1" customHeight="1" x14ac:dyDescent="0.35">
      <c r="A2355" s="1">
        <v>2354</v>
      </c>
      <c r="B2355" s="1">
        <v>453</v>
      </c>
      <c r="C2355" s="1">
        <v>26</v>
      </c>
      <c r="D2355" t="str">
        <f>VLOOKUP(B2355,Заказы!A:C,3,0)</f>
        <v>2023-06-30 17:20:00</v>
      </c>
      <c r="E2355" t="str">
        <f>VLOOKUP(C2355,Меню!A:E,4,0)</f>
        <v>Салат</v>
      </c>
      <c r="F2355">
        <f>VLOOKUP(C2355,Меню!A:E,5,0)</f>
        <v>250</v>
      </c>
    </row>
    <row r="2356" spans="1:6" ht="15.75" hidden="1" customHeight="1" x14ac:dyDescent="0.35">
      <c r="A2356" s="1">
        <v>2355</v>
      </c>
      <c r="B2356" s="1">
        <v>453</v>
      </c>
      <c r="C2356" s="1">
        <v>35</v>
      </c>
      <c r="D2356" t="str">
        <f>VLOOKUP(B2356,Заказы!A:C,3,0)</f>
        <v>2023-06-30 17:20:00</v>
      </c>
      <c r="E2356" t="str">
        <f>VLOOKUP(C2356,Меню!A:E,4,0)</f>
        <v>Десерт</v>
      </c>
      <c r="F2356">
        <f>VLOOKUP(C2356,Меню!A:E,5,0)</f>
        <v>150</v>
      </c>
    </row>
    <row r="2357" spans="1:6" ht="15.75" hidden="1" customHeight="1" x14ac:dyDescent="0.35">
      <c r="A2357" s="1">
        <v>2356</v>
      </c>
      <c r="B2357" s="1">
        <v>453</v>
      </c>
      <c r="C2357" s="1">
        <v>24</v>
      </c>
      <c r="D2357" t="str">
        <f>VLOOKUP(B2357,Заказы!A:C,3,0)</f>
        <v>2023-06-30 17:20:00</v>
      </c>
      <c r="E2357" t="str">
        <f>VLOOKUP(C2357,Меню!A:E,4,0)</f>
        <v>Салат</v>
      </c>
      <c r="F2357">
        <f>VLOOKUP(C2357,Меню!A:E,5,0)</f>
        <v>250</v>
      </c>
    </row>
    <row r="2358" spans="1:6" ht="15.75" hidden="1" customHeight="1" x14ac:dyDescent="0.35">
      <c r="A2358" s="1">
        <v>2357</v>
      </c>
      <c r="B2358" s="1">
        <v>453</v>
      </c>
      <c r="C2358" s="1">
        <v>8</v>
      </c>
      <c r="D2358" t="str">
        <f>VLOOKUP(B2358,Заказы!A:C,3,0)</f>
        <v>2023-06-30 17:20:00</v>
      </c>
      <c r="E2358" t="str">
        <f>VLOOKUP(C2358,Меню!A:E,4,0)</f>
        <v>Завтрак</v>
      </c>
      <c r="F2358">
        <f>VLOOKUP(C2358,Меню!A:E,5,0)</f>
        <v>180</v>
      </c>
    </row>
    <row r="2359" spans="1:6" ht="15.75" hidden="1" customHeight="1" x14ac:dyDescent="0.35">
      <c r="A2359" s="1">
        <v>2358</v>
      </c>
      <c r="B2359" s="1">
        <v>453</v>
      </c>
      <c r="C2359" s="1">
        <v>48</v>
      </c>
      <c r="D2359" t="str">
        <f>VLOOKUP(B2359,Заказы!A:C,3,0)</f>
        <v>2023-06-30 17:20:00</v>
      </c>
      <c r="E2359" t="str">
        <f>VLOOKUP(C2359,Меню!A:E,4,0)</f>
        <v>Суши</v>
      </c>
      <c r="F2359">
        <f>VLOOKUP(C2359,Меню!A:E,5,0)</f>
        <v>200</v>
      </c>
    </row>
    <row r="2360" spans="1:6" ht="15.75" hidden="1" customHeight="1" x14ac:dyDescent="0.35">
      <c r="A2360" s="1">
        <v>2359</v>
      </c>
      <c r="B2360" s="1">
        <v>453</v>
      </c>
      <c r="C2360" s="1">
        <v>31</v>
      </c>
      <c r="D2360" t="str">
        <f>VLOOKUP(B2360,Заказы!A:C,3,0)</f>
        <v>2023-06-30 17:20:00</v>
      </c>
      <c r="E2360" t="str">
        <f>VLOOKUP(C2360,Меню!A:E,4,0)</f>
        <v>Десерт</v>
      </c>
      <c r="F2360">
        <f>VLOOKUP(C2360,Меню!A:E,5,0)</f>
        <v>150</v>
      </c>
    </row>
    <row r="2361" spans="1:6" ht="15.75" hidden="1" customHeight="1" x14ac:dyDescent="0.35">
      <c r="A2361" s="1">
        <v>2360</v>
      </c>
      <c r="B2361" s="1">
        <v>453</v>
      </c>
      <c r="C2361" s="1">
        <v>39</v>
      </c>
      <c r="D2361" t="str">
        <f>VLOOKUP(B2361,Заказы!A:C,3,0)</f>
        <v>2023-06-30 17:20:00</v>
      </c>
      <c r="E2361" t="str">
        <f>VLOOKUP(C2361,Меню!A:E,4,0)</f>
        <v>Десерт</v>
      </c>
      <c r="F2361">
        <f>VLOOKUP(C2361,Меню!A:E,5,0)</f>
        <v>150</v>
      </c>
    </row>
    <row r="2362" spans="1:6" ht="15.75" hidden="1" customHeight="1" x14ac:dyDescent="0.35">
      <c r="A2362" s="1">
        <v>2361</v>
      </c>
      <c r="B2362" s="1">
        <v>454</v>
      </c>
      <c r="C2362" s="1">
        <v>27</v>
      </c>
      <c r="D2362" t="str">
        <f>VLOOKUP(B2362,Заказы!A:C,3,0)</f>
        <v>2023-07-01 16:17:00</v>
      </c>
      <c r="E2362" t="str">
        <f>VLOOKUP(C2362,Меню!A:E,4,0)</f>
        <v>Салат</v>
      </c>
      <c r="F2362">
        <f>VLOOKUP(C2362,Меню!A:E,5,0)</f>
        <v>250</v>
      </c>
    </row>
    <row r="2363" spans="1:6" ht="15.75" hidden="1" customHeight="1" x14ac:dyDescent="0.35">
      <c r="A2363" s="1">
        <v>2362</v>
      </c>
      <c r="B2363" s="1">
        <v>454</v>
      </c>
      <c r="C2363" s="1">
        <v>33</v>
      </c>
      <c r="D2363" t="str">
        <f>VLOOKUP(B2363,Заказы!A:C,3,0)</f>
        <v>2023-07-01 16:17:00</v>
      </c>
      <c r="E2363" t="str">
        <f>VLOOKUP(C2363,Меню!A:E,4,0)</f>
        <v>Десерт</v>
      </c>
      <c r="F2363">
        <f>VLOOKUP(C2363,Меню!A:E,5,0)</f>
        <v>150</v>
      </c>
    </row>
    <row r="2364" spans="1:6" ht="15.75" hidden="1" customHeight="1" x14ac:dyDescent="0.35">
      <c r="A2364" s="1">
        <v>2363</v>
      </c>
      <c r="B2364" s="1">
        <v>454</v>
      </c>
      <c r="C2364" s="1">
        <v>47</v>
      </c>
      <c r="D2364" t="str">
        <f>VLOOKUP(B2364,Заказы!A:C,3,0)</f>
        <v>2023-07-01 16:17:00</v>
      </c>
      <c r="E2364" t="str">
        <f>VLOOKUP(C2364,Меню!A:E,4,0)</f>
        <v>Суши</v>
      </c>
      <c r="F2364">
        <f>VLOOKUP(C2364,Меню!A:E,5,0)</f>
        <v>200</v>
      </c>
    </row>
    <row r="2365" spans="1:6" ht="15.75" hidden="1" customHeight="1" x14ac:dyDescent="0.35">
      <c r="A2365" s="1">
        <v>2364</v>
      </c>
      <c r="B2365" s="1">
        <v>454</v>
      </c>
      <c r="C2365" s="1">
        <v>19</v>
      </c>
      <c r="D2365" t="str">
        <f>VLOOKUP(B2365,Заказы!A:C,3,0)</f>
        <v>2023-07-01 16:17:00</v>
      </c>
      <c r="E2365" t="str">
        <f>VLOOKUP(C2365,Меню!A:E,4,0)</f>
        <v>Первое</v>
      </c>
      <c r="F2365">
        <f>VLOOKUP(C2365,Меню!A:E,5,0)</f>
        <v>300</v>
      </c>
    </row>
    <row r="2366" spans="1:6" ht="15.75" hidden="1" customHeight="1" x14ac:dyDescent="0.35">
      <c r="A2366" s="1">
        <v>2365</v>
      </c>
      <c r="B2366" s="1">
        <v>454</v>
      </c>
      <c r="C2366" s="1">
        <v>27</v>
      </c>
      <c r="D2366" t="str">
        <f>VLOOKUP(B2366,Заказы!A:C,3,0)</f>
        <v>2023-07-01 16:17:00</v>
      </c>
      <c r="E2366" t="str">
        <f>VLOOKUP(C2366,Меню!A:E,4,0)</f>
        <v>Салат</v>
      </c>
      <c r="F2366">
        <f>VLOOKUP(C2366,Меню!A:E,5,0)</f>
        <v>250</v>
      </c>
    </row>
    <row r="2367" spans="1:6" ht="15.75" hidden="1" customHeight="1" x14ac:dyDescent="0.35">
      <c r="A2367" s="1">
        <v>2366</v>
      </c>
      <c r="B2367" s="1">
        <v>454</v>
      </c>
      <c r="C2367" s="1">
        <v>41</v>
      </c>
      <c r="D2367" t="str">
        <f>VLOOKUP(B2367,Заказы!A:C,3,0)</f>
        <v>2023-07-01 16:17:00</v>
      </c>
      <c r="E2367" t="str">
        <f>VLOOKUP(C2367,Меню!A:E,4,0)</f>
        <v>Суши</v>
      </c>
      <c r="F2367">
        <f>VLOOKUP(C2367,Меню!A:E,5,0)</f>
        <v>220</v>
      </c>
    </row>
    <row r="2368" spans="1:6" ht="15.75" hidden="1" customHeight="1" x14ac:dyDescent="0.35">
      <c r="A2368" s="1">
        <v>2367</v>
      </c>
      <c r="B2368" s="1">
        <v>454</v>
      </c>
      <c r="C2368" s="1">
        <v>10</v>
      </c>
      <c r="D2368" t="str">
        <f>VLOOKUP(B2368,Заказы!A:C,3,0)</f>
        <v>2023-07-01 16:17:00</v>
      </c>
      <c r="E2368" t="str">
        <f>VLOOKUP(C2368,Меню!A:E,4,0)</f>
        <v>Завтрак</v>
      </c>
      <c r="F2368">
        <f>VLOOKUP(C2368,Меню!A:E,5,0)</f>
        <v>200</v>
      </c>
    </row>
    <row r="2369" spans="1:6" ht="15.75" hidden="1" customHeight="1" x14ac:dyDescent="0.35">
      <c r="A2369" s="1">
        <v>2368</v>
      </c>
      <c r="B2369" s="1">
        <v>454</v>
      </c>
      <c r="C2369" s="1">
        <v>43</v>
      </c>
      <c r="D2369" t="str">
        <f>VLOOKUP(B2369,Заказы!A:C,3,0)</f>
        <v>2023-07-01 16:17:00</v>
      </c>
      <c r="E2369" t="str">
        <f>VLOOKUP(C2369,Меню!A:E,4,0)</f>
        <v>Суши</v>
      </c>
      <c r="F2369">
        <f>VLOOKUP(C2369,Меню!A:E,5,0)</f>
        <v>250</v>
      </c>
    </row>
    <row r="2370" spans="1:6" ht="15.75" hidden="1" customHeight="1" x14ac:dyDescent="0.35">
      <c r="A2370" s="1">
        <v>2369</v>
      </c>
      <c r="B2370" s="1">
        <v>455</v>
      </c>
      <c r="C2370" s="1">
        <v>42</v>
      </c>
      <c r="D2370" t="str">
        <f>VLOOKUP(B2370,Заказы!A:C,3,0)</f>
        <v>2023-07-01 16:32:00</v>
      </c>
      <c r="E2370" t="str">
        <f>VLOOKUP(C2370,Меню!A:E,4,0)</f>
        <v>Суши</v>
      </c>
      <c r="F2370">
        <f>VLOOKUP(C2370,Меню!A:E,5,0)</f>
        <v>250</v>
      </c>
    </row>
    <row r="2371" spans="1:6" ht="15.75" hidden="1" customHeight="1" x14ac:dyDescent="0.35">
      <c r="A2371" s="1">
        <v>2370</v>
      </c>
      <c r="B2371" s="1">
        <v>455</v>
      </c>
      <c r="C2371" s="1">
        <v>44</v>
      </c>
      <c r="D2371" t="str">
        <f>VLOOKUP(B2371,Заказы!A:C,3,0)</f>
        <v>2023-07-01 16:32:00</v>
      </c>
      <c r="E2371" t="str">
        <f>VLOOKUP(C2371,Меню!A:E,4,0)</f>
        <v>Суши</v>
      </c>
      <c r="F2371">
        <f>VLOOKUP(C2371,Меню!A:E,5,0)</f>
        <v>250</v>
      </c>
    </row>
    <row r="2372" spans="1:6" ht="15.75" hidden="1" customHeight="1" x14ac:dyDescent="0.35">
      <c r="A2372" s="1">
        <v>2371</v>
      </c>
      <c r="B2372" s="1">
        <v>455</v>
      </c>
      <c r="C2372" s="1">
        <v>9</v>
      </c>
      <c r="D2372" t="str">
        <f>VLOOKUP(B2372,Заказы!A:C,3,0)</f>
        <v>2023-07-01 16:32:00</v>
      </c>
      <c r="E2372" t="str">
        <f>VLOOKUP(C2372,Меню!A:E,4,0)</f>
        <v>Завтрак</v>
      </c>
      <c r="F2372">
        <f>VLOOKUP(C2372,Меню!A:E,5,0)</f>
        <v>220</v>
      </c>
    </row>
    <row r="2373" spans="1:6" ht="15.75" hidden="1" customHeight="1" x14ac:dyDescent="0.35">
      <c r="A2373" s="1">
        <v>2372</v>
      </c>
      <c r="B2373" s="1">
        <v>455</v>
      </c>
      <c r="C2373" s="1">
        <v>20</v>
      </c>
      <c r="D2373" t="str">
        <f>VLOOKUP(B2373,Заказы!A:C,3,0)</f>
        <v>2023-07-01 16:32:00</v>
      </c>
      <c r="E2373" t="str">
        <f>VLOOKUP(C2373,Меню!A:E,4,0)</f>
        <v>Первое</v>
      </c>
      <c r="F2373">
        <f>VLOOKUP(C2373,Меню!A:E,5,0)</f>
        <v>250</v>
      </c>
    </row>
    <row r="2374" spans="1:6" ht="15.75" hidden="1" customHeight="1" x14ac:dyDescent="0.35">
      <c r="A2374" s="1">
        <v>2373</v>
      </c>
      <c r="B2374" s="1">
        <v>455</v>
      </c>
      <c r="C2374" s="1">
        <v>18</v>
      </c>
      <c r="D2374" t="str">
        <f>VLOOKUP(B2374,Заказы!A:C,3,0)</f>
        <v>2023-07-01 16:32:00</v>
      </c>
      <c r="E2374" t="str">
        <f>VLOOKUP(C2374,Меню!A:E,4,0)</f>
        <v>Первое</v>
      </c>
      <c r="F2374">
        <f>VLOOKUP(C2374,Меню!A:E,5,0)</f>
        <v>300</v>
      </c>
    </row>
    <row r="2375" spans="1:6" ht="15.75" hidden="1" customHeight="1" x14ac:dyDescent="0.35">
      <c r="A2375" s="1">
        <v>2374</v>
      </c>
      <c r="B2375" s="1">
        <v>455</v>
      </c>
      <c r="C2375" s="1">
        <v>23</v>
      </c>
      <c r="D2375" t="str">
        <f>VLOOKUP(B2375,Заказы!A:C,3,0)</f>
        <v>2023-07-01 16:32:00</v>
      </c>
      <c r="E2375" t="str">
        <f>VLOOKUP(C2375,Меню!A:E,4,0)</f>
        <v>Салат</v>
      </c>
      <c r="F2375">
        <f>VLOOKUP(C2375,Меню!A:E,5,0)</f>
        <v>250</v>
      </c>
    </row>
    <row r="2376" spans="1:6" ht="15.75" hidden="1" customHeight="1" x14ac:dyDescent="0.35">
      <c r="A2376" s="1">
        <v>2375</v>
      </c>
      <c r="B2376" s="1">
        <v>456</v>
      </c>
      <c r="C2376" s="1">
        <v>44</v>
      </c>
      <c r="D2376" t="str">
        <f>VLOOKUP(B2376,Заказы!A:C,3,0)</f>
        <v>2023-07-01 20:11:00</v>
      </c>
      <c r="E2376" t="str">
        <f>VLOOKUP(C2376,Меню!A:E,4,0)</f>
        <v>Суши</v>
      </c>
      <c r="F2376">
        <f>VLOOKUP(C2376,Меню!A:E,5,0)</f>
        <v>250</v>
      </c>
    </row>
    <row r="2377" spans="1:6" ht="15.75" hidden="1" customHeight="1" x14ac:dyDescent="0.35">
      <c r="A2377" s="1">
        <v>2376</v>
      </c>
      <c r="B2377" s="1">
        <v>456</v>
      </c>
      <c r="C2377" s="1">
        <v>49</v>
      </c>
      <c r="D2377" t="str">
        <f>VLOOKUP(B2377,Заказы!A:C,3,0)</f>
        <v>2023-07-01 20:11:00</v>
      </c>
      <c r="E2377" t="str">
        <f>VLOOKUP(C2377,Меню!A:E,4,0)</f>
        <v>Суши</v>
      </c>
      <c r="F2377">
        <f>VLOOKUP(C2377,Меню!A:E,5,0)</f>
        <v>200</v>
      </c>
    </row>
    <row r="2378" spans="1:6" ht="15.75" hidden="1" customHeight="1" x14ac:dyDescent="0.35">
      <c r="A2378" s="1">
        <v>2377</v>
      </c>
      <c r="B2378" s="1">
        <v>456</v>
      </c>
      <c r="C2378" s="1">
        <v>50</v>
      </c>
      <c r="D2378" t="str">
        <f>VLOOKUP(B2378,Заказы!A:C,3,0)</f>
        <v>2023-07-01 20:11:00</v>
      </c>
      <c r="E2378" t="str">
        <f>VLOOKUP(C2378,Меню!A:E,4,0)</f>
        <v>Суши</v>
      </c>
      <c r="F2378">
        <f>VLOOKUP(C2378,Меню!A:E,5,0)</f>
        <v>200</v>
      </c>
    </row>
    <row r="2379" spans="1:6" ht="15.75" hidden="1" customHeight="1" x14ac:dyDescent="0.35">
      <c r="A2379" s="1">
        <v>2378</v>
      </c>
      <c r="B2379" s="1">
        <v>456</v>
      </c>
      <c r="C2379" s="1">
        <v>39</v>
      </c>
      <c r="D2379" t="str">
        <f>VLOOKUP(B2379,Заказы!A:C,3,0)</f>
        <v>2023-07-01 20:11:00</v>
      </c>
      <c r="E2379" t="str">
        <f>VLOOKUP(C2379,Меню!A:E,4,0)</f>
        <v>Десерт</v>
      </c>
      <c r="F2379">
        <f>VLOOKUP(C2379,Меню!A:E,5,0)</f>
        <v>150</v>
      </c>
    </row>
    <row r="2380" spans="1:6" ht="15.75" hidden="1" customHeight="1" x14ac:dyDescent="0.35">
      <c r="A2380" s="1">
        <v>2379</v>
      </c>
      <c r="B2380" s="1">
        <v>456</v>
      </c>
      <c r="C2380" s="1">
        <v>53</v>
      </c>
      <c r="D2380" t="str">
        <f>VLOOKUP(B2380,Заказы!A:C,3,0)</f>
        <v>2023-07-01 20:11:00</v>
      </c>
      <c r="E2380" t="str">
        <f>VLOOKUP(C2380,Меню!A:E,4,0)</f>
        <v>Суши</v>
      </c>
      <c r="F2380">
        <f>VLOOKUP(C2380,Меню!A:E,5,0)</f>
        <v>100</v>
      </c>
    </row>
    <row r="2381" spans="1:6" ht="15.75" hidden="1" customHeight="1" x14ac:dyDescent="0.35">
      <c r="A2381" s="1">
        <v>2380</v>
      </c>
      <c r="B2381" s="1">
        <v>456</v>
      </c>
      <c r="C2381" s="1">
        <v>37</v>
      </c>
      <c r="D2381" t="str">
        <f>VLOOKUP(B2381,Заказы!A:C,3,0)</f>
        <v>2023-07-01 20:11:00</v>
      </c>
      <c r="E2381" t="str">
        <f>VLOOKUP(C2381,Меню!A:E,4,0)</f>
        <v>Десерт</v>
      </c>
      <c r="F2381">
        <f>VLOOKUP(C2381,Меню!A:E,5,0)</f>
        <v>100</v>
      </c>
    </row>
    <row r="2382" spans="1:6" ht="15.75" hidden="1" customHeight="1" x14ac:dyDescent="0.35">
      <c r="A2382" s="1">
        <v>2381</v>
      </c>
      <c r="B2382" s="1">
        <v>457</v>
      </c>
      <c r="C2382" s="1">
        <v>50</v>
      </c>
      <c r="D2382" t="str">
        <f>VLOOKUP(B2382,Заказы!A:C,3,0)</f>
        <v>2023-07-02 15:43:00</v>
      </c>
      <c r="E2382" t="str">
        <f>VLOOKUP(C2382,Меню!A:E,4,0)</f>
        <v>Суши</v>
      </c>
      <c r="F2382">
        <f>VLOOKUP(C2382,Меню!A:E,5,0)</f>
        <v>200</v>
      </c>
    </row>
    <row r="2383" spans="1:6" ht="15.75" hidden="1" customHeight="1" x14ac:dyDescent="0.35">
      <c r="A2383" s="1">
        <v>2382</v>
      </c>
      <c r="B2383" s="1">
        <v>457</v>
      </c>
      <c r="C2383" s="1">
        <v>45</v>
      </c>
      <c r="D2383" t="str">
        <f>VLOOKUP(B2383,Заказы!A:C,3,0)</f>
        <v>2023-07-02 15:43:00</v>
      </c>
      <c r="E2383" t="str">
        <f>VLOOKUP(C2383,Меню!A:E,4,0)</f>
        <v>Суши</v>
      </c>
      <c r="F2383">
        <f>VLOOKUP(C2383,Меню!A:E,5,0)</f>
        <v>200</v>
      </c>
    </row>
    <row r="2384" spans="1:6" ht="15.75" hidden="1" customHeight="1" x14ac:dyDescent="0.35">
      <c r="A2384" s="1">
        <v>2383</v>
      </c>
      <c r="B2384" s="1">
        <v>457</v>
      </c>
      <c r="C2384" s="1">
        <v>50</v>
      </c>
      <c r="D2384" t="str">
        <f>VLOOKUP(B2384,Заказы!A:C,3,0)</f>
        <v>2023-07-02 15:43:00</v>
      </c>
      <c r="E2384" t="str">
        <f>VLOOKUP(C2384,Меню!A:E,4,0)</f>
        <v>Суши</v>
      </c>
      <c r="F2384">
        <f>VLOOKUP(C2384,Меню!A:E,5,0)</f>
        <v>200</v>
      </c>
    </row>
    <row r="2385" spans="1:6" ht="15.75" hidden="1" customHeight="1" x14ac:dyDescent="0.35">
      <c r="A2385" s="1">
        <v>2384</v>
      </c>
      <c r="B2385" s="1">
        <v>457</v>
      </c>
      <c r="C2385" s="1">
        <v>46</v>
      </c>
      <c r="D2385" t="str">
        <f>VLOOKUP(B2385,Заказы!A:C,3,0)</f>
        <v>2023-07-02 15:43:00</v>
      </c>
      <c r="E2385" t="str">
        <f>VLOOKUP(C2385,Меню!A:E,4,0)</f>
        <v>Суши</v>
      </c>
      <c r="F2385">
        <f>VLOOKUP(C2385,Меню!A:E,5,0)</f>
        <v>200</v>
      </c>
    </row>
    <row r="2386" spans="1:6" ht="15.75" hidden="1" customHeight="1" x14ac:dyDescent="0.35">
      <c r="A2386" s="1">
        <v>2385</v>
      </c>
      <c r="B2386" s="1">
        <v>457</v>
      </c>
      <c r="C2386" s="1">
        <v>56</v>
      </c>
      <c r="D2386" t="str">
        <f>VLOOKUP(B2386,Заказы!A:C,3,0)</f>
        <v>2023-07-02 15:43:00</v>
      </c>
      <c r="E2386" t="str">
        <f>VLOOKUP(C2386,Меню!A:E,4,0)</f>
        <v>Суши</v>
      </c>
      <c r="F2386">
        <f>VLOOKUP(C2386,Меню!A:E,5,0)</f>
        <v>200</v>
      </c>
    </row>
    <row r="2387" spans="1:6" ht="15.75" hidden="1" customHeight="1" x14ac:dyDescent="0.35">
      <c r="A2387" s="1">
        <v>2386</v>
      </c>
      <c r="B2387" s="1">
        <v>457</v>
      </c>
      <c r="C2387" s="1">
        <v>22</v>
      </c>
      <c r="D2387" t="str">
        <f>VLOOKUP(B2387,Заказы!A:C,3,0)</f>
        <v>2023-07-02 15:43:00</v>
      </c>
      <c r="E2387" t="str">
        <f>VLOOKUP(C2387,Меню!A:E,4,0)</f>
        <v>Салат</v>
      </c>
      <c r="F2387">
        <f>VLOOKUP(C2387,Меню!A:E,5,0)</f>
        <v>250</v>
      </c>
    </row>
    <row r="2388" spans="1:6" ht="15.75" hidden="1" customHeight="1" x14ac:dyDescent="0.35">
      <c r="A2388" s="1">
        <v>2387</v>
      </c>
      <c r="B2388" s="1">
        <v>457</v>
      </c>
      <c r="C2388" s="1">
        <v>5</v>
      </c>
      <c r="D2388" t="str">
        <f>VLOOKUP(B2388,Заказы!A:C,3,0)</f>
        <v>2023-07-02 15:43:00</v>
      </c>
      <c r="E2388" t="str">
        <f>VLOOKUP(C2388,Меню!A:E,4,0)</f>
        <v>Завтрак</v>
      </c>
      <c r="F2388">
        <f>VLOOKUP(C2388,Меню!A:E,5,0)</f>
        <v>220</v>
      </c>
    </row>
    <row r="2389" spans="1:6" ht="15.75" hidden="1" customHeight="1" x14ac:dyDescent="0.35">
      <c r="A2389" s="1">
        <v>2388</v>
      </c>
      <c r="B2389" s="1">
        <v>458</v>
      </c>
      <c r="C2389" s="1">
        <v>13</v>
      </c>
      <c r="D2389" t="str">
        <f>VLOOKUP(B2389,Заказы!A:C,3,0)</f>
        <v>2023-07-02 16:19:00</v>
      </c>
      <c r="E2389" t="str">
        <f>VLOOKUP(C2389,Меню!A:E,4,0)</f>
        <v>Первое</v>
      </c>
      <c r="F2389">
        <f>VLOOKUP(C2389,Меню!A:E,5,0)</f>
        <v>280</v>
      </c>
    </row>
    <row r="2390" spans="1:6" ht="15.75" hidden="1" customHeight="1" x14ac:dyDescent="0.35">
      <c r="A2390" s="1">
        <v>2389</v>
      </c>
      <c r="B2390" s="1">
        <v>458</v>
      </c>
      <c r="C2390" s="1">
        <v>14</v>
      </c>
      <c r="D2390" t="str">
        <f>VLOOKUP(B2390,Заказы!A:C,3,0)</f>
        <v>2023-07-02 16:19:00</v>
      </c>
      <c r="E2390" t="str">
        <f>VLOOKUP(C2390,Меню!A:E,4,0)</f>
        <v>Первое</v>
      </c>
      <c r="F2390">
        <f>VLOOKUP(C2390,Меню!A:E,5,0)</f>
        <v>350</v>
      </c>
    </row>
    <row r="2391" spans="1:6" ht="15.75" hidden="1" customHeight="1" x14ac:dyDescent="0.35">
      <c r="A2391" s="1">
        <v>2390</v>
      </c>
      <c r="B2391" s="1">
        <v>458</v>
      </c>
      <c r="C2391" s="1">
        <v>40</v>
      </c>
      <c r="D2391" t="str">
        <f>VLOOKUP(B2391,Заказы!A:C,3,0)</f>
        <v>2023-07-02 16:19:00</v>
      </c>
      <c r="E2391" t="str">
        <f>VLOOKUP(C2391,Меню!A:E,4,0)</f>
        <v>Десерт</v>
      </c>
      <c r="F2391">
        <f>VLOOKUP(C2391,Меню!A:E,5,0)</f>
        <v>150</v>
      </c>
    </row>
    <row r="2392" spans="1:6" ht="15.75" hidden="1" customHeight="1" x14ac:dyDescent="0.35">
      <c r="A2392" s="1">
        <v>2391</v>
      </c>
      <c r="B2392" s="1">
        <v>458</v>
      </c>
      <c r="C2392" s="1">
        <v>39</v>
      </c>
      <c r="D2392" t="str">
        <f>VLOOKUP(B2392,Заказы!A:C,3,0)</f>
        <v>2023-07-02 16:19:00</v>
      </c>
      <c r="E2392" t="str">
        <f>VLOOKUP(C2392,Меню!A:E,4,0)</f>
        <v>Десерт</v>
      </c>
      <c r="F2392">
        <f>VLOOKUP(C2392,Меню!A:E,5,0)</f>
        <v>150</v>
      </c>
    </row>
    <row r="2393" spans="1:6" ht="15.75" hidden="1" customHeight="1" x14ac:dyDescent="0.35">
      <c r="A2393" s="1">
        <v>2392</v>
      </c>
      <c r="B2393" s="1">
        <v>458</v>
      </c>
      <c r="C2393" s="1">
        <v>50</v>
      </c>
      <c r="D2393" t="str">
        <f>VLOOKUP(B2393,Заказы!A:C,3,0)</f>
        <v>2023-07-02 16:19:00</v>
      </c>
      <c r="E2393" t="str">
        <f>VLOOKUP(C2393,Меню!A:E,4,0)</f>
        <v>Суши</v>
      </c>
      <c r="F2393">
        <f>VLOOKUP(C2393,Меню!A:E,5,0)</f>
        <v>200</v>
      </c>
    </row>
    <row r="2394" spans="1:6" ht="15.75" hidden="1" customHeight="1" x14ac:dyDescent="0.35">
      <c r="A2394" s="1">
        <v>2393</v>
      </c>
      <c r="B2394" s="1">
        <v>458</v>
      </c>
      <c r="C2394" s="1">
        <v>43</v>
      </c>
      <c r="D2394" t="str">
        <f>VLOOKUP(B2394,Заказы!A:C,3,0)</f>
        <v>2023-07-02 16:19:00</v>
      </c>
      <c r="E2394" t="str">
        <f>VLOOKUP(C2394,Меню!A:E,4,0)</f>
        <v>Суши</v>
      </c>
      <c r="F2394">
        <f>VLOOKUP(C2394,Меню!A:E,5,0)</f>
        <v>250</v>
      </c>
    </row>
    <row r="2395" spans="1:6" ht="15.75" hidden="1" customHeight="1" x14ac:dyDescent="0.35">
      <c r="A2395" s="1">
        <v>2394</v>
      </c>
      <c r="B2395" s="1">
        <v>459</v>
      </c>
      <c r="C2395" s="1">
        <v>44</v>
      </c>
      <c r="D2395" t="str">
        <f>VLOOKUP(B2395,Заказы!A:C,3,0)</f>
        <v>2023-07-02 17:32:00</v>
      </c>
      <c r="E2395" t="str">
        <f>VLOOKUP(C2395,Меню!A:E,4,0)</f>
        <v>Суши</v>
      </c>
      <c r="F2395">
        <f>VLOOKUP(C2395,Меню!A:E,5,0)</f>
        <v>250</v>
      </c>
    </row>
    <row r="2396" spans="1:6" ht="15.75" hidden="1" customHeight="1" x14ac:dyDescent="0.35">
      <c r="A2396" s="1">
        <v>2395</v>
      </c>
      <c r="B2396" s="1">
        <v>459</v>
      </c>
      <c r="C2396" s="1">
        <v>51</v>
      </c>
      <c r="D2396" t="str">
        <f>VLOOKUP(B2396,Заказы!A:C,3,0)</f>
        <v>2023-07-02 17:32:00</v>
      </c>
      <c r="E2396" t="str">
        <f>VLOOKUP(C2396,Меню!A:E,4,0)</f>
        <v>Суши</v>
      </c>
      <c r="F2396">
        <f>VLOOKUP(C2396,Меню!A:E,5,0)</f>
        <v>100</v>
      </c>
    </row>
    <row r="2397" spans="1:6" ht="15.75" hidden="1" customHeight="1" x14ac:dyDescent="0.35">
      <c r="A2397" s="1">
        <v>2396</v>
      </c>
      <c r="B2397" s="1">
        <v>460</v>
      </c>
      <c r="C2397" s="1">
        <v>56</v>
      </c>
      <c r="D2397" t="str">
        <f>VLOOKUP(B2397,Заказы!A:C,3,0)</f>
        <v>2023-07-02 19:39:00</v>
      </c>
      <c r="E2397" t="str">
        <f>VLOOKUP(C2397,Меню!A:E,4,0)</f>
        <v>Суши</v>
      </c>
      <c r="F2397">
        <f>VLOOKUP(C2397,Меню!A:E,5,0)</f>
        <v>200</v>
      </c>
    </row>
    <row r="2398" spans="1:6" ht="15.75" hidden="1" customHeight="1" x14ac:dyDescent="0.35">
      <c r="A2398" s="1">
        <v>2397</v>
      </c>
      <c r="B2398" s="1">
        <v>460</v>
      </c>
      <c r="C2398" s="1">
        <v>6</v>
      </c>
      <c r="D2398" t="str">
        <f>VLOOKUP(B2398,Заказы!A:C,3,0)</f>
        <v>2023-07-02 19:39:00</v>
      </c>
      <c r="E2398" t="str">
        <f>VLOOKUP(C2398,Меню!A:E,4,0)</f>
        <v>Завтрак</v>
      </c>
      <c r="F2398">
        <f>VLOOKUP(C2398,Меню!A:E,5,0)</f>
        <v>300</v>
      </c>
    </row>
    <row r="2399" spans="1:6" ht="15.75" hidden="1" customHeight="1" x14ac:dyDescent="0.35">
      <c r="A2399" s="1">
        <v>2398</v>
      </c>
      <c r="B2399" s="1">
        <v>460</v>
      </c>
      <c r="C2399" s="1">
        <v>28</v>
      </c>
      <c r="D2399" t="str">
        <f>VLOOKUP(B2399,Заказы!A:C,3,0)</f>
        <v>2023-07-02 19:39:00</v>
      </c>
      <c r="E2399" t="str">
        <f>VLOOKUP(C2399,Меню!A:E,4,0)</f>
        <v>Салат</v>
      </c>
      <c r="F2399">
        <f>VLOOKUP(C2399,Меню!A:E,5,0)</f>
        <v>250</v>
      </c>
    </row>
    <row r="2400" spans="1:6" ht="15.75" hidden="1" customHeight="1" x14ac:dyDescent="0.35">
      <c r="A2400" s="1">
        <v>2399</v>
      </c>
      <c r="B2400" s="1">
        <v>460</v>
      </c>
      <c r="C2400" s="1">
        <v>8</v>
      </c>
      <c r="D2400" t="str">
        <f>VLOOKUP(B2400,Заказы!A:C,3,0)</f>
        <v>2023-07-02 19:39:00</v>
      </c>
      <c r="E2400" t="str">
        <f>VLOOKUP(C2400,Меню!A:E,4,0)</f>
        <v>Завтрак</v>
      </c>
      <c r="F2400">
        <f>VLOOKUP(C2400,Меню!A:E,5,0)</f>
        <v>180</v>
      </c>
    </row>
    <row r="2401" spans="1:6" ht="15.75" hidden="1" customHeight="1" x14ac:dyDescent="0.35">
      <c r="A2401" s="1">
        <v>2400</v>
      </c>
      <c r="B2401" s="1">
        <v>460</v>
      </c>
      <c r="C2401" s="1">
        <v>36</v>
      </c>
      <c r="D2401" t="str">
        <f>VLOOKUP(B2401,Заказы!A:C,3,0)</f>
        <v>2023-07-02 19:39:00</v>
      </c>
      <c r="E2401" t="str">
        <f>VLOOKUP(C2401,Меню!A:E,4,0)</f>
        <v>Десерт</v>
      </c>
      <c r="F2401">
        <f>VLOOKUP(C2401,Меню!A:E,5,0)</f>
        <v>150</v>
      </c>
    </row>
    <row r="2402" spans="1:6" ht="15.75" hidden="1" customHeight="1" x14ac:dyDescent="0.35">
      <c r="A2402" s="1">
        <v>2401</v>
      </c>
      <c r="B2402" s="1">
        <v>460</v>
      </c>
      <c r="C2402" s="1">
        <v>52</v>
      </c>
      <c r="D2402" t="str">
        <f>VLOOKUP(B2402,Заказы!A:C,3,0)</f>
        <v>2023-07-02 19:39:00</v>
      </c>
      <c r="E2402" t="str">
        <f>VLOOKUP(C2402,Меню!A:E,4,0)</f>
        <v>Суши</v>
      </c>
      <c r="F2402">
        <f>VLOOKUP(C2402,Меню!A:E,5,0)</f>
        <v>100</v>
      </c>
    </row>
    <row r="2403" spans="1:6" ht="15.75" hidden="1" customHeight="1" x14ac:dyDescent="0.35">
      <c r="A2403" s="1">
        <v>2402</v>
      </c>
      <c r="B2403" s="1">
        <v>460</v>
      </c>
      <c r="C2403" s="1">
        <v>37</v>
      </c>
      <c r="D2403" t="str">
        <f>VLOOKUP(B2403,Заказы!A:C,3,0)</f>
        <v>2023-07-02 19:39:00</v>
      </c>
      <c r="E2403" t="str">
        <f>VLOOKUP(C2403,Меню!A:E,4,0)</f>
        <v>Десерт</v>
      </c>
      <c r="F2403">
        <f>VLOOKUP(C2403,Меню!A:E,5,0)</f>
        <v>100</v>
      </c>
    </row>
    <row r="2404" spans="1:6" ht="15.75" hidden="1" customHeight="1" x14ac:dyDescent="0.35">
      <c r="A2404" s="1">
        <v>2403</v>
      </c>
      <c r="B2404" s="1">
        <v>460</v>
      </c>
      <c r="C2404" s="1">
        <v>13</v>
      </c>
      <c r="D2404" t="str">
        <f>VLOOKUP(B2404,Заказы!A:C,3,0)</f>
        <v>2023-07-02 19:39:00</v>
      </c>
      <c r="E2404" t="str">
        <f>VLOOKUP(C2404,Меню!A:E,4,0)</f>
        <v>Первое</v>
      </c>
      <c r="F2404">
        <f>VLOOKUP(C2404,Меню!A:E,5,0)</f>
        <v>280</v>
      </c>
    </row>
    <row r="2405" spans="1:6" ht="15.75" hidden="1" customHeight="1" x14ac:dyDescent="0.35">
      <c r="A2405" s="1">
        <v>2404</v>
      </c>
      <c r="B2405" s="1">
        <v>460</v>
      </c>
      <c r="C2405" s="1">
        <v>49</v>
      </c>
      <c r="D2405" t="str">
        <f>VLOOKUP(B2405,Заказы!A:C,3,0)</f>
        <v>2023-07-02 19:39:00</v>
      </c>
      <c r="E2405" t="str">
        <f>VLOOKUP(C2405,Меню!A:E,4,0)</f>
        <v>Суши</v>
      </c>
      <c r="F2405">
        <f>VLOOKUP(C2405,Меню!A:E,5,0)</f>
        <v>200</v>
      </c>
    </row>
    <row r="2406" spans="1:6" ht="15.75" hidden="1" customHeight="1" x14ac:dyDescent="0.35">
      <c r="A2406" s="1">
        <v>2405</v>
      </c>
      <c r="B2406" s="1">
        <v>460</v>
      </c>
      <c r="C2406" s="1">
        <v>53</v>
      </c>
      <c r="D2406" t="str">
        <f>VLOOKUP(B2406,Заказы!A:C,3,0)</f>
        <v>2023-07-02 19:39:00</v>
      </c>
      <c r="E2406" t="str">
        <f>VLOOKUP(C2406,Меню!A:E,4,0)</f>
        <v>Суши</v>
      </c>
      <c r="F2406">
        <f>VLOOKUP(C2406,Меню!A:E,5,0)</f>
        <v>100</v>
      </c>
    </row>
    <row r="2407" spans="1:6" ht="15.75" hidden="1" customHeight="1" x14ac:dyDescent="0.35">
      <c r="A2407" s="1">
        <v>2406</v>
      </c>
      <c r="B2407" s="1">
        <v>461</v>
      </c>
      <c r="C2407" s="1">
        <v>19</v>
      </c>
      <c r="D2407" t="str">
        <f>VLOOKUP(B2407,Заказы!A:C,3,0)</f>
        <v>2023-07-02 20:44:00</v>
      </c>
      <c r="E2407" t="str">
        <f>VLOOKUP(C2407,Меню!A:E,4,0)</f>
        <v>Первое</v>
      </c>
      <c r="F2407">
        <f>VLOOKUP(C2407,Меню!A:E,5,0)</f>
        <v>300</v>
      </c>
    </row>
    <row r="2408" spans="1:6" ht="15.75" hidden="1" customHeight="1" x14ac:dyDescent="0.35">
      <c r="A2408" s="1">
        <v>2407</v>
      </c>
      <c r="B2408" s="1">
        <v>461</v>
      </c>
      <c r="C2408" s="1">
        <v>46</v>
      </c>
      <c r="D2408" t="str">
        <f>VLOOKUP(B2408,Заказы!A:C,3,0)</f>
        <v>2023-07-02 20:44:00</v>
      </c>
      <c r="E2408" t="str">
        <f>VLOOKUP(C2408,Меню!A:E,4,0)</f>
        <v>Суши</v>
      </c>
      <c r="F2408">
        <f>VLOOKUP(C2408,Меню!A:E,5,0)</f>
        <v>200</v>
      </c>
    </row>
    <row r="2409" spans="1:6" ht="15.75" hidden="1" customHeight="1" x14ac:dyDescent="0.35">
      <c r="A2409" s="1">
        <v>2408</v>
      </c>
      <c r="B2409" s="1">
        <v>461</v>
      </c>
      <c r="C2409" s="1">
        <v>44</v>
      </c>
      <c r="D2409" t="str">
        <f>VLOOKUP(B2409,Заказы!A:C,3,0)</f>
        <v>2023-07-02 20:44:00</v>
      </c>
      <c r="E2409" t="str">
        <f>VLOOKUP(C2409,Меню!A:E,4,0)</f>
        <v>Суши</v>
      </c>
      <c r="F2409">
        <f>VLOOKUP(C2409,Меню!A:E,5,0)</f>
        <v>250</v>
      </c>
    </row>
    <row r="2410" spans="1:6" ht="15.75" hidden="1" customHeight="1" x14ac:dyDescent="0.35">
      <c r="A2410" s="1">
        <v>2409</v>
      </c>
      <c r="B2410" s="1">
        <v>462</v>
      </c>
      <c r="C2410" s="1">
        <v>56</v>
      </c>
      <c r="D2410" t="str">
        <f>VLOOKUP(B2410,Заказы!A:C,3,0)</f>
        <v>2023-07-02 20:47:00</v>
      </c>
      <c r="E2410" t="str">
        <f>VLOOKUP(C2410,Меню!A:E,4,0)</f>
        <v>Суши</v>
      </c>
      <c r="F2410">
        <f>VLOOKUP(C2410,Меню!A:E,5,0)</f>
        <v>200</v>
      </c>
    </row>
    <row r="2411" spans="1:6" ht="15.75" hidden="1" customHeight="1" x14ac:dyDescent="0.35">
      <c r="A2411" s="1">
        <v>2410</v>
      </c>
      <c r="B2411" s="1">
        <v>462</v>
      </c>
      <c r="C2411" s="1">
        <v>54</v>
      </c>
      <c r="D2411" t="str">
        <f>VLOOKUP(B2411,Заказы!A:C,3,0)</f>
        <v>2023-07-02 20:47:00</v>
      </c>
      <c r="E2411" t="str">
        <f>VLOOKUP(C2411,Меню!A:E,4,0)</f>
        <v>Суши</v>
      </c>
      <c r="F2411">
        <f>VLOOKUP(C2411,Меню!A:E,5,0)</f>
        <v>100</v>
      </c>
    </row>
    <row r="2412" spans="1:6" ht="15.75" hidden="1" customHeight="1" x14ac:dyDescent="0.35">
      <c r="A2412" s="1">
        <v>2411</v>
      </c>
      <c r="B2412" s="1">
        <v>462</v>
      </c>
      <c r="C2412" s="1">
        <v>58</v>
      </c>
      <c r="D2412" t="str">
        <f>VLOOKUP(B2412,Заказы!A:C,3,0)</f>
        <v>2023-07-02 20:47:00</v>
      </c>
      <c r="E2412" t="str">
        <f>VLOOKUP(C2412,Меню!A:E,4,0)</f>
        <v>Суши</v>
      </c>
      <c r="F2412">
        <f>VLOOKUP(C2412,Меню!A:E,5,0)</f>
        <v>200</v>
      </c>
    </row>
    <row r="2413" spans="1:6" ht="15.75" hidden="1" customHeight="1" x14ac:dyDescent="0.35">
      <c r="A2413" s="1">
        <v>2412</v>
      </c>
      <c r="B2413" s="1">
        <v>462</v>
      </c>
      <c r="C2413" s="1">
        <v>60</v>
      </c>
      <c r="D2413" t="str">
        <f>VLOOKUP(B2413,Заказы!A:C,3,0)</f>
        <v>2023-07-02 20:47:00</v>
      </c>
      <c r="E2413" t="str">
        <f>VLOOKUP(C2413,Меню!A:E,4,0)</f>
        <v>Суши</v>
      </c>
      <c r="F2413">
        <f>VLOOKUP(C2413,Меню!A:E,5,0)</f>
        <v>250</v>
      </c>
    </row>
    <row r="2414" spans="1:6" ht="15.75" hidden="1" customHeight="1" x14ac:dyDescent="0.35">
      <c r="A2414" s="1">
        <v>2413</v>
      </c>
      <c r="B2414" s="1">
        <v>462</v>
      </c>
      <c r="C2414" s="1">
        <v>13</v>
      </c>
      <c r="D2414" t="str">
        <f>VLOOKUP(B2414,Заказы!A:C,3,0)</f>
        <v>2023-07-02 20:47:00</v>
      </c>
      <c r="E2414" t="str">
        <f>VLOOKUP(C2414,Меню!A:E,4,0)</f>
        <v>Первое</v>
      </c>
      <c r="F2414">
        <f>VLOOKUP(C2414,Меню!A:E,5,0)</f>
        <v>280</v>
      </c>
    </row>
    <row r="2415" spans="1:6" ht="15.75" hidden="1" customHeight="1" x14ac:dyDescent="0.35">
      <c r="A2415" s="1">
        <v>2414</v>
      </c>
      <c r="B2415" s="1">
        <v>462</v>
      </c>
      <c r="C2415" s="1">
        <v>55</v>
      </c>
      <c r="D2415" t="str">
        <f>VLOOKUP(B2415,Заказы!A:C,3,0)</f>
        <v>2023-07-02 20:47:00</v>
      </c>
      <c r="E2415" t="str">
        <f>VLOOKUP(C2415,Меню!A:E,4,0)</f>
        <v>Суши</v>
      </c>
      <c r="F2415">
        <f>VLOOKUP(C2415,Меню!A:E,5,0)</f>
        <v>100</v>
      </c>
    </row>
    <row r="2416" spans="1:6" ht="15.75" hidden="1" customHeight="1" x14ac:dyDescent="0.35">
      <c r="A2416" s="1">
        <v>2415</v>
      </c>
      <c r="B2416" s="1">
        <v>463</v>
      </c>
      <c r="C2416" s="1">
        <v>6</v>
      </c>
      <c r="D2416" t="str">
        <f>VLOOKUP(B2416,Заказы!A:C,3,0)</f>
        <v>2023-07-02 22:02:00</v>
      </c>
      <c r="E2416" t="str">
        <f>VLOOKUP(C2416,Меню!A:E,4,0)</f>
        <v>Завтрак</v>
      </c>
      <c r="F2416">
        <f>VLOOKUP(C2416,Меню!A:E,5,0)</f>
        <v>300</v>
      </c>
    </row>
    <row r="2417" spans="1:6" ht="15.75" hidden="1" customHeight="1" x14ac:dyDescent="0.35">
      <c r="A2417" s="1">
        <v>2416</v>
      </c>
      <c r="B2417" s="1">
        <v>463</v>
      </c>
      <c r="C2417" s="1">
        <v>39</v>
      </c>
      <c r="D2417" t="str">
        <f>VLOOKUP(B2417,Заказы!A:C,3,0)</f>
        <v>2023-07-02 22:02:00</v>
      </c>
      <c r="E2417" t="str">
        <f>VLOOKUP(C2417,Меню!A:E,4,0)</f>
        <v>Десерт</v>
      </c>
      <c r="F2417">
        <f>VLOOKUP(C2417,Меню!A:E,5,0)</f>
        <v>150</v>
      </c>
    </row>
    <row r="2418" spans="1:6" ht="15.75" hidden="1" customHeight="1" x14ac:dyDescent="0.35">
      <c r="A2418" s="1">
        <v>2417</v>
      </c>
      <c r="B2418" s="1">
        <v>463</v>
      </c>
      <c r="C2418" s="1">
        <v>30</v>
      </c>
      <c r="D2418" t="str">
        <f>VLOOKUP(B2418,Заказы!A:C,3,0)</f>
        <v>2023-07-02 22:02:00</v>
      </c>
      <c r="E2418" t="str">
        <f>VLOOKUP(C2418,Меню!A:E,4,0)</f>
        <v>Салат</v>
      </c>
      <c r="F2418">
        <f>VLOOKUP(C2418,Меню!A:E,5,0)</f>
        <v>250</v>
      </c>
    </row>
    <row r="2419" spans="1:6" ht="15.75" hidden="1" customHeight="1" x14ac:dyDescent="0.35">
      <c r="A2419" s="1">
        <v>2418</v>
      </c>
      <c r="B2419" s="1">
        <v>463</v>
      </c>
      <c r="C2419" s="1">
        <v>32</v>
      </c>
      <c r="D2419" t="str">
        <f>VLOOKUP(B2419,Заказы!A:C,3,0)</f>
        <v>2023-07-02 22:02:00</v>
      </c>
      <c r="E2419" t="str">
        <f>VLOOKUP(C2419,Меню!A:E,4,0)</f>
        <v>Десерт</v>
      </c>
      <c r="F2419">
        <f>VLOOKUP(C2419,Меню!A:E,5,0)</f>
        <v>150</v>
      </c>
    </row>
    <row r="2420" spans="1:6" ht="15.75" hidden="1" customHeight="1" x14ac:dyDescent="0.35">
      <c r="A2420" s="1">
        <v>2419</v>
      </c>
      <c r="B2420" s="1">
        <v>463</v>
      </c>
      <c r="C2420" s="1">
        <v>13</v>
      </c>
      <c r="D2420" t="str">
        <f>VLOOKUP(B2420,Заказы!A:C,3,0)</f>
        <v>2023-07-02 22:02:00</v>
      </c>
      <c r="E2420" t="str">
        <f>VLOOKUP(C2420,Меню!A:E,4,0)</f>
        <v>Первое</v>
      </c>
      <c r="F2420">
        <f>VLOOKUP(C2420,Меню!A:E,5,0)</f>
        <v>280</v>
      </c>
    </row>
    <row r="2421" spans="1:6" ht="15.75" hidden="1" customHeight="1" x14ac:dyDescent="0.35">
      <c r="A2421" s="1">
        <v>2420</v>
      </c>
      <c r="B2421" s="1">
        <v>463</v>
      </c>
      <c r="C2421" s="1">
        <v>52</v>
      </c>
      <c r="D2421" t="str">
        <f>VLOOKUP(B2421,Заказы!A:C,3,0)</f>
        <v>2023-07-02 22:02:00</v>
      </c>
      <c r="E2421" t="str">
        <f>VLOOKUP(C2421,Меню!A:E,4,0)</f>
        <v>Суши</v>
      </c>
      <c r="F2421">
        <f>VLOOKUP(C2421,Меню!A:E,5,0)</f>
        <v>100</v>
      </c>
    </row>
    <row r="2422" spans="1:6" ht="15.75" hidden="1" customHeight="1" x14ac:dyDescent="0.35">
      <c r="A2422" s="1">
        <v>2421</v>
      </c>
      <c r="B2422" s="1">
        <v>463</v>
      </c>
      <c r="C2422" s="1">
        <v>25</v>
      </c>
      <c r="D2422" t="str">
        <f>VLOOKUP(B2422,Заказы!A:C,3,0)</f>
        <v>2023-07-02 22:02:00</v>
      </c>
      <c r="E2422" t="str">
        <f>VLOOKUP(C2422,Меню!A:E,4,0)</f>
        <v>Салат</v>
      </c>
      <c r="F2422">
        <f>VLOOKUP(C2422,Меню!A:E,5,0)</f>
        <v>250</v>
      </c>
    </row>
    <row r="2423" spans="1:6" ht="15.75" hidden="1" customHeight="1" x14ac:dyDescent="0.35">
      <c r="A2423" s="1">
        <v>2422</v>
      </c>
      <c r="B2423" s="1">
        <v>464</v>
      </c>
      <c r="C2423" s="1">
        <v>57</v>
      </c>
      <c r="D2423" t="str">
        <f>VLOOKUP(B2423,Заказы!A:C,3,0)</f>
        <v>2023-07-03 19:12:00</v>
      </c>
      <c r="E2423" t="str">
        <f>VLOOKUP(C2423,Меню!A:E,4,0)</f>
        <v>Суши</v>
      </c>
      <c r="F2423">
        <f>VLOOKUP(C2423,Меню!A:E,5,0)</f>
        <v>200</v>
      </c>
    </row>
    <row r="2424" spans="1:6" ht="15.75" hidden="1" customHeight="1" x14ac:dyDescent="0.35">
      <c r="A2424" s="1">
        <v>2423</v>
      </c>
      <c r="B2424" s="1">
        <v>464</v>
      </c>
      <c r="C2424" s="1">
        <v>34</v>
      </c>
      <c r="D2424" t="str">
        <f>VLOOKUP(B2424,Заказы!A:C,3,0)</f>
        <v>2023-07-03 19:12:00</v>
      </c>
      <c r="E2424" t="str">
        <f>VLOOKUP(C2424,Меню!A:E,4,0)</f>
        <v>Десерт</v>
      </c>
      <c r="F2424">
        <f>VLOOKUP(C2424,Меню!A:E,5,0)</f>
        <v>150</v>
      </c>
    </row>
    <row r="2425" spans="1:6" ht="15.75" hidden="1" customHeight="1" x14ac:dyDescent="0.35">
      <c r="A2425" s="1">
        <v>2424</v>
      </c>
      <c r="B2425" s="1">
        <v>464</v>
      </c>
      <c r="C2425" s="1">
        <v>30</v>
      </c>
      <c r="D2425" t="str">
        <f>VLOOKUP(B2425,Заказы!A:C,3,0)</f>
        <v>2023-07-03 19:12:00</v>
      </c>
      <c r="E2425" t="str">
        <f>VLOOKUP(C2425,Меню!A:E,4,0)</f>
        <v>Салат</v>
      </c>
      <c r="F2425">
        <f>VLOOKUP(C2425,Меню!A:E,5,0)</f>
        <v>250</v>
      </c>
    </row>
    <row r="2426" spans="1:6" ht="15.75" hidden="1" customHeight="1" x14ac:dyDescent="0.35">
      <c r="A2426" s="1">
        <v>2425</v>
      </c>
      <c r="B2426" s="1">
        <v>464</v>
      </c>
      <c r="C2426" s="1">
        <v>11</v>
      </c>
      <c r="D2426" t="str">
        <f>VLOOKUP(B2426,Заказы!A:C,3,0)</f>
        <v>2023-07-03 19:12:00</v>
      </c>
      <c r="E2426" t="str">
        <f>VLOOKUP(C2426,Меню!A:E,4,0)</f>
        <v>Первое</v>
      </c>
      <c r="F2426">
        <f>VLOOKUP(C2426,Меню!A:E,5,0)</f>
        <v>300</v>
      </c>
    </row>
    <row r="2427" spans="1:6" ht="15.75" hidden="1" customHeight="1" x14ac:dyDescent="0.35">
      <c r="A2427" s="1">
        <v>2426</v>
      </c>
      <c r="B2427" s="1">
        <v>464</v>
      </c>
      <c r="C2427" s="1">
        <v>57</v>
      </c>
      <c r="D2427" t="str">
        <f>VLOOKUP(B2427,Заказы!A:C,3,0)</f>
        <v>2023-07-03 19:12:00</v>
      </c>
      <c r="E2427" t="str">
        <f>VLOOKUP(C2427,Меню!A:E,4,0)</f>
        <v>Суши</v>
      </c>
      <c r="F2427">
        <f>VLOOKUP(C2427,Меню!A:E,5,0)</f>
        <v>200</v>
      </c>
    </row>
    <row r="2428" spans="1:6" ht="15.75" hidden="1" customHeight="1" x14ac:dyDescent="0.35">
      <c r="A2428" s="1">
        <v>2427</v>
      </c>
      <c r="B2428" s="1">
        <v>465</v>
      </c>
      <c r="C2428" s="1">
        <v>29</v>
      </c>
      <c r="D2428" t="str">
        <f>VLOOKUP(B2428,Заказы!A:C,3,0)</f>
        <v>2023-07-03 19:40:00</v>
      </c>
      <c r="E2428" t="str">
        <f>VLOOKUP(C2428,Меню!A:E,4,0)</f>
        <v>Салат</v>
      </c>
      <c r="F2428">
        <f>VLOOKUP(C2428,Меню!A:E,5,0)</f>
        <v>250</v>
      </c>
    </row>
    <row r="2429" spans="1:6" ht="15.75" hidden="1" customHeight="1" x14ac:dyDescent="0.35">
      <c r="A2429" s="1">
        <v>2428</v>
      </c>
      <c r="B2429" s="1">
        <v>465</v>
      </c>
      <c r="C2429" s="1">
        <v>47</v>
      </c>
      <c r="D2429" t="str">
        <f>VLOOKUP(B2429,Заказы!A:C,3,0)</f>
        <v>2023-07-03 19:40:00</v>
      </c>
      <c r="E2429" t="str">
        <f>VLOOKUP(C2429,Меню!A:E,4,0)</f>
        <v>Суши</v>
      </c>
      <c r="F2429">
        <f>VLOOKUP(C2429,Меню!A:E,5,0)</f>
        <v>200</v>
      </c>
    </row>
    <row r="2430" spans="1:6" ht="15.75" hidden="1" customHeight="1" x14ac:dyDescent="0.35">
      <c r="A2430" s="1">
        <v>2429</v>
      </c>
      <c r="B2430" s="1">
        <v>465</v>
      </c>
      <c r="C2430" s="1">
        <v>53</v>
      </c>
      <c r="D2430" t="str">
        <f>VLOOKUP(B2430,Заказы!A:C,3,0)</f>
        <v>2023-07-03 19:40:00</v>
      </c>
      <c r="E2430" t="str">
        <f>VLOOKUP(C2430,Меню!A:E,4,0)</f>
        <v>Суши</v>
      </c>
      <c r="F2430">
        <f>VLOOKUP(C2430,Меню!A:E,5,0)</f>
        <v>100</v>
      </c>
    </row>
    <row r="2431" spans="1:6" ht="15.75" hidden="1" customHeight="1" x14ac:dyDescent="0.35">
      <c r="A2431" s="1">
        <v>2430</v>
      </c>
      <c r="B2431" s="1">
        <v>465</v>
      </c>
      <c r="C2431" s="1">
        <v>55</v>
      </c>
      <c r="D2431" t="str">
        <f>VLOOKUP(B2431,Заказы!A:C,3,0)</f>
        <v>2023-07-03 19:40:00</v>
      </c>
      <c r="E2431" t="str">
        <f>VLOOKUP(C2431,Меню!A:E,4,0)</f>
        <v>Суши</v>
      </c>
      <c r="F2431">
        <f>VLOOKUP(C2431,Меню!A:E,5,0)</f>
        <v>100</v>
      </c>
    </row>
    <row r="2432" spans="1:6" ht="15.75" hidden="1" customHeight="1" x14ac:dyDescent="0.35">
      <c r="A2432" s="1">
        <v>2431</v>
      </c>
      <c r="B2432" s="1">
        <v>465</v>
      </c>
      <c r="C2432" s="1">
        <v>13</v>
      </c>
      <c r="D2432" t="str">
        <f>VLOOKUP(B2432,Заказы!A:C,3,0)</f>
        <v>2023-07-03 19:40:00</v>
      </c>
      <c r="E2432" t="str">
        <f>VLOOKUP(C2432,Меню!A:E,4,0)</f>
        <v>Первое</v>
      </c>
      <c r="F2432">
        <f>VLOOKUP(C2432,Меню!A:E,5,0)</f>
        <v>280</v>
      </c>
    </row>
    <row r="2433" spans="1:6" ht="15.75" hidden="1" customHeight="1" x14ac:dyDescent="0.35">
      <c r="A2433" s="1">
        <v>2432</v>
      </c>
      <c r="B2433" s="1">
        <v>465</v>
      </c>
      <c r="C2433" s="1">
        <v>26</v>
      </c>
      <c r="D2433" t="str">
        <f>VLOOKUP(B2433,Заказы!A:C,3,0)</f>
        <v>2023-07-03 19:40:00</v>
      </c>
      <c r="E2433" t="str">
        <f>VLOOKUP(C2433,Меню!A:E,4,0)</f>
        <v>Салат</v>
      </c>
      <c r="F2433">
        <f>VLOOKUP(C2433,Меню!A:E,5,0)</f>
        <v>250</v>
      </c>
    </row>
    <row r="2434" spans="1:6" ht="15.75" hidden="1" customHeight="1" x14ac:dyDescent="0.35">
      <c r="A2434" s="1">
        <v>2433</v>
      </c>
      <c r="B2434" s="1">
        <v>465</v>
      </c>
      <c r="C2434" s="1">
        <v>52</v>
      </c>
      <c r="D2434" t="str">
        <f>VLOOKUP(B2434,Заказы!A:C,3,0)</f>
        <v>2023-07-03 19:40:00</v>
      </c>
      <c r="E2434" t="str">
        <f>VLOOKUP(C2434,Меню!A:E,4,0)</f>
        <v>Суши</v>
      </c>
      <c r="F2434">
        <f>VLOOKUP(C2434,Меню!A:E,5,0)</f>
        <v>100</v>
      </c>
    </row>
    <row r="2435" spans="1:6" ht="15.75" hidden="1" customHeight="1" x14ac:dyDescent="0.35">
      <c r="A2435" s="1">
        <v>2434</v>
      </c>
      <c r="B2435" s="1">
        <v>465</v>
      </c>
      <c r="C2435" s="1">
        <v>20</v>
      </c>
      <c r="D2435" t="str">
        <f>VLOOKUP(B2435,Заказы!A:C,3,0)</f>
        <v>2023-07-03 19:40:00</v>
      </c>
      <c r="E2435" t="str">
        <f>VLOOKUP(C2435,Меню!A:E,4,0)</f>
        <v>Первое</v>
      </c>
      <c r="F2435">
        <f>VLOOKUP(C2435,Меню!A:E,5,0)</f>
        <v>250</v>
      </c>
    </row>
    <row r="2436" spans="1:6" ht="15.75" hidden="1" customHeight="1" x14ac:dyDescent="0.35">
      <c r="A2436" s="1">
        <v>2435</v>
      </c>
      <c r="B2436" s="1">
        <v>465</v>
      </c>
      <c r="C2436" s="1">
        <v>33</v>
      </c>
      <c r="D2436" t="str">
        <f>VLOOKUP(B2436,Заказы!A:C,3,0)</f>
        <v>2023-07-03 19:40:00</v>
      </c>
      <c r="E2436" t="str">
        <f>VLOOKUP(C2436,Меню!A:E,4,0)</f>
        <v>Десерт</v>
      </c>
      <c r="F2436">
        <f>VLOOKUP(C2436,Меню!A:E,5,0)</f>
        <v>150</v>
      </c>
    </row>
    <row r="2437" spans="1:6" ht="15.75" hidden="1" customHeight="1" x14ac:dyDescent="0.35">
      <c r="A2437" s="1">
        <v>2436</v>
      </c>
      <c r="B2437" s="1">
        <v>465</v>
      </c>
      <c r="C2437" s="1">
        <v>26</v>
      </c>
      <c r="D2437" t="str">
        <f>VLOOKUP(B2437,Заказы!A:C,3,0)</f>
        <v>2023-07-03 19:40:00</v>
      </c>
      <c r="E2437" t="str">
        <f>VLOOKUP(C2437,Меню!A:E,4,0)</f>
        <v>Салат</v>
      </c>
      <c r="F2437">
        <f>VLOOKUP(C2437,Меню!A:E,5,0)</f>
        <v>250</v>
      </c>
    </row>
    <row r="2438" spans="1:6" ht="15.75" hidden="1" customHeight="1" x14ac:dyDescent="0.35">
      <c r="A2438" s="1">
        <v>2437</v>
      </c>
      <c r="B2438" s="1">
        <v>465</v>
      </c>
      <c r="C2438" s="1">
        <v>38</v>
      </c>
      <c r="D2438" t="str">
        <f>VLOOKUP(B2438,Заказы!A:C,3,0)</f>
        <v>2023-07-03 19:40:00</v>
      </c>
      <c r="E2438" t="str">
        <f>VLOOKUP(C2438,Меню!A:E,4,0)</f>
        <v>Десерт</v>
      </c>
      <c r="F2438">
        <f>VLOOKUP(C2438,Меню!A:E,5,0)</f>
        <v>150</v>
      </c>
    </row>
    <row r="2439" spans="1:6" ht="15.75" hidden="1" customHeight="1" x14ac:dyDescent="0.35">
      <c r="A2439" s="1">
        <v>2438</v>
      </c>
      <c r="B2439" s="1">
        <v>466</v>
      </c>
      <c r="C2439" s="1">
        <v>13</v>
      </c>
      <c r="D2439" t="str">
        <f>VLOOKUP(B2439,Заказы!A:C,3,0)</f>
        <v>2023-07-03 19:49:00</v>
      </c>
      <c r="E2439" t="str">
        <f>VLOOKUP(C2439,Меню!A:E,4,0)</f>
        <v>Первое</v>
      </c>
      <c r="F2439">
        <f>VLOOKUP(C2439,Меню!A:E,5,0)</f>
        <v>280</v>
      </c>
    </row>
    <row r="2440" spans="1:6" ht="15.75" hidden="1" customHeight="1" x14ac:dyDescent="0.35">
      <c r="A2440" s="1">
        <v>2439</v>
      </c>
      <c r="B2440" s="1">
        <v>466</v>
      </c>
      <c r="C2440" s="1">
        <v>44</v>
      </c>
      <c r="D2440" t="str">
        <f>VLOOKUP(B2440,Заказы!A:C,3,0)</f>
        <v>2023-07-03 19:49:00</v>
      </c>
      <c r="E2440" t="str">
        <f>VLOOKUP(C2440,Меню!A:E,4,0)</f>
        <v>Суши</v>
      </c>
      <c r="F2440">
        <f>VLOOKUP(C2440,Меню!A:E,5,0)</f>
        <v>250</v>
      </c>
    </row>
    <row r="2441" spans="1:6" ht="15.75" hidden="1" customHeight="1" x14ac:dyDescent="0.35">
      <c r="A2441" s="1">
        <v>2440</v>
      </c>
      <c r="B2441" s="1">
        <v>466</v>
      </c>
      <c r="C2441" s="1">
        <v>2</v>
      </c>
      <c r="D2441" t="str">
        <f>VLOOKUP(B2441,Заказы!A:C,3,0)</f>
        <v>2023-07-03 19:49:00</v>
      </c>
      <c r="E2441" t="str">
        <f>VLOOKUP(C2441,Меню!A:E,4,0)</f>
        <v>Завтрак</v>
      </c>
      <c r="F2441">
        <f>VLOOKUP(C2441,Меню!A:E,5,0)</f>
        <v>250</v>
      </c>
    </row>
    <row r="2442" spans="1:6" ht="15.75" hidden="1" customHeight="1" x14ac:dyDescent="0.35">
      <c r="A2442" s="1">
        <v>2441</v>
      </c>
      <c r="B2442" s="1">
        <v>466</v>
      </c>
      <c r="C2442" s="1">
        <v>38</v>
      </c>
      <c r="D2442" t="str">
        <f>VLOOKUP(B2442,Заказы!A:C,3,0)</f>
        <v>2023-07-03 19:49:00</v>
      </c>
      <c r="E2442" t="str">
        <f>VLOOKUP(C2442,Меню!A:E,4,0)</f>
        <v>Десерт</v>
      </c>
      <c r="F2442">
        <f>VLOOKUP(C2442,Меню!A:E,5,0)</f>
        <v>150</v>
      </c>
    </row>
    <row r="2443" spans="1:6" ht="15.75" hidden="1" customHeight="1" x14ac:dyDescent="0.35">
      <c r="A2443" s="1">
        <v>2442</v>
      </c>
      <c r="B2443" s="1">
        <v>467</v>
      </c>
      <c r="C2443" s="1">
        <v>40</v>
      </c>
      <c r="D2443" t="str">
        <f>VLOOKUP(B2443,Заказы!A:C,3,0)</f>
        <v>2023-07-03 19:58:00</v>
      </c>
      <c r="E2443" t="str">
        <f>VLOOKUP(C2443,Меню!A:E,4,0)</f>
        <v>Десерт</v>
      </c>
      <c r="F2443">
        <f>VLOOKUP(C2443,Меню!A:E,5,0)</f>
        <v>150</v>
      </c>
    </row>
    <row r="2444" spans="1:6" ht="15.75" hidden="1" customHeight="1" x14ac:dyDescent="0.35">
      <c r="A2444" s="1">
        <v>2443</v>
      </c>
      <c r="B2444" s="1">
        <v>467</v>
      </c>
      <c r="C2444" s="1">
        <v>7</v>
      </c>
      <c r="D2444" t="str">
        <f>VLOOKUP(B2444,Заказы!A:C,3,0)</f>
        <v>2023-07-03 19:58:00</v>
      </c>
      <c r="E2444" t="str">
        <f>VLOOKUP(C2444,Меню!A:E,4,0)</f>
        <v>Завтрак</v>
      </c>
      <c r="F2444">
        <f>VLOOKUP(C2444,Меню!A:E,5,0)</f>
        <v>200</v>
      </c>
    </row>
    <row r="2445" spans="1:6" ht="15.75" hidden="1" customHeight="1" x14ac:dyDescent="0.35">
      <c r="A2445" s="1">
        <v>2444</v>
      </c>
      <c r="B2445" s="1">
        <v>467</v>
      </c>
      <c r="C2445" s="1">
        <v>8</v>
      </c>
      <c r="D2445" t="str">
        <f>VLOOKUP(B2445,Заказы!A:C,3,0)</f>
        <v>2023-07-03 19:58:00</v>
      </c>
      <c r="E2445" t="str">
        <f>VLOOKUP(C2445,Меню!A:E,4,0)</f>
        <v>Завтрак</v>
      </c>
      <c r="F2445">
        <f>VLOOKUP(C2445,Меню!A:E,5,0)</f>
        <v>180</v>
      </c>
    </row>
    <row r="2446" spans="1:6" ht="15.75" hidden="1" customHeight="1" x14ac:dyDescent="0.35">
      <c r="A2446" s="1">
        <v>2445</v>
      </c>
      <c r="B2446" s="1">
        <v>467</v>
      </c>
      <c r="C2446" s="1">
        <v>33</v>
      </c>
      <c r="D2446" t="str">
        <f>VLOOKUP(B2446,Заказы!A:C,3,0)</f>
        <v>2023-07-03 19:58:00</v>
      </c>
      <c r="E2446" t="str">
        <f>VLOOKUP(C2446,Меню!A:E,4,0)</f>
        <v>Десерт</v>
      </c>
      <c r="F2446">
        <f>VLOOKUP(C2446,Меню!A:E,5,0)</f>
        <v>150</v>
      </c>
    </row>
    <row r="2447" spans="1:6" ht="15.75" hidden="1" customHeight="1" x14ac:dyDescent="0.35">
      <c r="A2447" s="1">
        <v>2446</v>
      </c>
      <c r="B2447" s="1">
        <v>467</v>
      </c>
      <c r="C2447" s="1">
        <v>19</v>
      </c>
      <c r="D2447" t="str">
        <f>VLOOKUP(B2447,Заказы!A:C,3,0)</f>
        <v>2023-07-03 19:58:00</v>
      </c>
      <c r="E2447" t="str">
        <f>VLOOKUP(C2447,Меню!A:E,4,0)</f>
        <v>Первое</v>
      </c>
      <c r="F2447">
        <f>VLOOKUP(C2447,Меню!A:E,5,0)</f>
        <v>300</v>
      </c>
    </row>
    <row r="2448" spans="1:6" ht="15.75" hidden="1" customHeight="1" x14ac:dyDescent="0.35">
      <c r="A2448" s="1">
        <v>2447</v>
      </c>
      <c r="B2448" s="1">
        <v>468</v>
      </c>
      <c r="C2448" s="1">
        <v>41</v>
      </c>
      <c r="D2448" t="str">
        <f>VLOOKUP(B2448,Заказы!A:C,3,0)</f>
        <v>2023-07-04 16:08:00</v>
      </c>
      <c r="E2448" t="str">
        <f>VLOOKUP(C2448,Меню!A:E,4,0)</f>
        <v>Суши</v>
      </c>
      <c r="F2448">
        <f>VLOOKUP(C2448,Меню!A:E,5,0)</f>
        <v>220</v>
      </c>
    </row>
    <row r="2449" spans="1:6" ht="15.75" hidden="1" customHeight="1" x14ac:dyDescent="0.35">
      <c r="A2449" s="1">
        <v>2448</v>
      </c>
      <c r="B2449" s="1">
        <v>468</v>
      </c>
      <c r="C2449" s="1">
        <v>41</v>
      </c>
      <c r="D2449" t="str">
        <f>VLOOKUP(B2449,Заказы!A:C,3,0)</f>
        <v>2023-07-04 16:08:00</v>
      </c>
      <c r="E2449" t="str">
        <f>VLOOKUP(C2449,Меню!A:E,4,0)</f>
        <v>Суши</v>
      </c>
      <c r="F2449">
        <f>VLOOKUP(C2449,Меню!A:E,5,0)</f>
        <v>220</v>
      </c>
    </row>
    <row r="2450" spans="1:6" ht="15.75" hidden="1" customHeight="1" x14ac:dyDescent="0.35">
      <c r="A2450" s="1">
        <v>2449</v>
      </c>
      <c r="B2450" s="1">
        <v>468</v>
      </c>
      <c r="C2450" s="1">
        <v>21</v>
      </c>
      <c r="D2450" t="str">
        <f>VLOOKUP(B2450,Заказы!A:C,3,0)</f>
        <v>2023-07-04 16:08:00</v>
      </c>
      <c r="E2450" t="str">
        <f>VLOOKUP(C2450,Меню!A:E,4,0)</f>
        <v>Салат</v>
      </c>
      <c r="F2450">
        <f>VLOOKUP(C2450,Меню!A:E,5,0)</f>
        <v>250</v>
      </c>
    </row>
    <row r="2451" spans="1:6" ht="15.75" hidden="1" customHeight="1" x14ac:dyDescent="0.35">
      <c r="A2451" s="1">
        <v>2450</v>
      </c>
      <c r="B2451" s="1">
        <v>468</v>
      </c>
      <c r="C2451" s="1">
        <v>51</v>
      </c>
      <c r="D2451" t="str">
        <f>VLOOKUP(B2451,Заказы!A:C,3,0)</f>
        <v>2023-07-04 16:08:00</v>
      </c>
      <c r="E2451" t="str">
        <f>VLOOKUP(C2451,Меню!A:E,4,0)</f>
        <v>Суши</v>
      </c>
      <c r="F2451">
        <f>VLOOKUP(C2451,Меню!A:E,5,0)</f>
        <v>100</v>
      </c>
    </row>
    <row r="2452" spans="1:6" ht="15.75" hidden="1" customHeight="1" x14ac:dyDescent="0.35">
      <c r="A2452" s="1">
        <v>2451</v>
      </c>
      <c r="B2452" s="1">
        <v>469</v>
      </c>
      <c r="C2452" s="1">
        <v>56</v>
      </c>
      <c r="D2452" t="str">
        <f>VLOOKUP(B2452,Заказы!A:C,3,0)</f>
        <v>2023-07-04 16:58:00</v>
      </c>
      <c r="E2452" t="str">
        <f>VLOOKUP(C2452,Меню!A:E,4,0)</f>
        <v>Суши</v>
      </c>
      <c r="F2452">
        <f>VLOOKUP(C2452,Меню!A:E,5,0)</f>
        <v>200</v>
      </c>
    </row>
    <row r="2453" spans="1:6" ht="15.75" hidden="1" customHeight="1" x14ac:dyDescent="0.35">
      <c r="A2453" s="1">
        <v>2452</v>
      </c>
      <c r="B2453" s="1">
        <v>469</v>
      </c>
      <c r="C2453" s="1">
        <v>36</v>
      </c>
      <c r="D2453" t="str">
        <f>VLOOKUP(B2453,Заказы!A:C,3,0)</f>
        <v>2023-07-04 16:58:00</v>
      </c>
      <c r="E2453" t="str">
        <f>VLOOKUP(C2453,Меню!A:E,4,0)</f>
        <v>Десерт</v>
      </c>
      <c r="F2453">
        <f>VLOOKUP(C2453,Меню!A:E,5,0)</f>
        <v>150</v>
      </c>
    </row>
    <row r="2454" spans="1:6" ht="15.75" hidden="1" customHeight="1" x14ac:dyDescent="0.35">
      <c r="A2454" s="1">
        <v>2453</v>
      </c>
      <c r="B2454" s="1">
        <v>469</v>
      </c>
      <c r="C2454" s="1">
        <v>34</v>
      </c>
      <c r="D2454" t="str">
        <f>VLOOKUP(B2454,Заказы!A:C,3,0)</f>
        <v>2023-07-04 16:58:00</v>
      </c>
      <c r="E2454" t="str">
        <f>VLOOKUP(C2454,Меню!A:E,4,0)</f>
        <v>Десерт</v>
      </c>
      <c r="F2454">
        <f>VLOOKUP(C2454,Меню!A:E,5,0)</f>
        <v>150</v>
      </c>
    </row>
    <row r="2455" spans="1:6" ht="15.75" hidden="1" customHeight="1" x14ac:dyDescent="0.35">
      <c r="A2455" s="1">
        <v>2454</v>
      </c>
      <c r="B2455" s="1">
        <v>469</v>
      </c>
      <c r="C2455" s="1">
        <v>29</v>
      </c>
      <c r="D2455" t="str">
        <f>VLOOKUP(B2455,Заказы!A:C,3,0)</f>
        <v>2023-07-04 16:58:00</v>
      </c>
      <c r="E2455" t="str">
        <f>VLOOKUP(C2455,Меню!A:E,4,0)</f>
        <v>Салат</v>
      </c>
      <c r="F2455">
        <f>VLOOKUP(C2455,Меню!A:E,5,0)</f>
        <v>250</v>
      </c>
    </row>
    <row r="2456" spans="1:6" ht="15.75" hidden="1" customHeight="1" x14ac:dyDescent="0.35">
      <c r="A2456" s="1">
        <v>2455</v>
      </c>
      <c r="B2456" s="1">
        <v>469</v>
      </c>
      <c r="C2456" s="1">
        <v>48</v>
      </c>
      <c r="D2456" t="str">
        <f>VLOOKUP(B2456,Заказы!A:C,3,0)</f>
        <v>2023-07-04 16:58:00</v>
      </c>
      <c r="E2456" t="str">
        <f>VLOOKUP(C2456,Меню!A:E,4,0)</f>
        <v>Суши</v>
      </c>
      <c r="F2456">
        <f>VLOOKUP(C2456,Меню!A:E,5,0)</f>
        <v>200</v>
      </c>
    </row>
    <row r="2457" spans="1:6" ht="15.75" hidden="1" customHeight="1" x14ac:dyDescent="0.35">
      <c r="A2457" s="1">
        <v>2456</v>
      </c>
      <c r="B2457" s="1">
        <v>469</v>
      </c>
      <c r="C2457" s="1">
        <v>29</v>
      </c>
      <c r="D2457" t="str">
        <f>VLOOKUP(B2457,Заказы!A:C,3,0)</f>
        <v>2023-07-04 16:58:00</v>
      </c>
      <c r="E2457" t="str">
        <f>VLOOKUP(C2457,Меню!A:E,4,0)</f>
        <v>Салат</v>
      </c>
      <c r="F2457">
        <f>VLOOKUP(C2457,Меню!A:E,5,0)</f>
        <v>250</v>
      </c>
    </row>
    <row r="2458" spans="1:6" ht="15.75" hidden="1" customHeight="1" x14ac:dyDescent="0.35">
      <c r="A2458" s="1">
        <v>2457</v>
      </c>
      <c r="B2458" s="1">
        <v>469</v>
      </c>
      <c r="C2458" s="1">
        <v>51</v>
      </c>
      <c r="D2458" t="str">
        <f>VLOOKUP(B2458,Заказы!A:C,3,0)</f>
        <v>2023-07-04 16:58:00</v>
      </c>
      <c r="E2458" t="str">
        <f>VLOOKUP(C2458,Меню!A:E,4,0)</f>
        <v>Суши</v>
      </c>
      <c r="F2458">
        <f>VLOOKUP(C2458,Меню!A:E,5,0)</f>
        <v>100</v>
      </c>
    </row>
    <row r="2459" spans="1:6" ht="15.75" hidden="1" customHeight="1" x14ac:dyDescent="0.35">
      <c r="A2459" s="1">
        <v>2458</v>
      </c>
      <c r="B2459" s="1">
        <v>470</v>
      </c>
      <c r="C2459" s="1">
        <v>30</v>
      </c>
      <c r="D2459" t="str">
        <f>VLOOKUP(B2459,Заказы!A:C,3,0)</f>
        <v>2023-07-04 17:29:00</v>
      </c>
      <c r="E2459" t="str">
        <f>VLOOKUP(C2459,Меню!A:E,4,0)</f>
        <v>Салат</v>
      </c>
      <c r="F2459">
        <f>VLOOKUP(C2459,Меню!A:E,5,0)</f>
        <v>250</v>
      </c>
    </row>
    <row r="2460" spans="1:6" ht="15.75" hidden="1" customHeight="1" x14ac:dyDescent="0.35">
      <c r="A2460" s="1">
        <v>2459</v>
      </c>
      <c r="B2460" s="1">
        <v>470</v>
      </c>
      <c r="C2460" s="1">
        <v>37</v>
      </c>
      <c r="D2460" t="str">
        <f>VLOOKUP(B2460,Заказы!A:C,3,0)</f>
        <v>2023-07-04 17:29:00</v>
      </c>
      <c r="E2460" t="str">
        <f>VLOOKUP(C2460,Меню!A:E,4,0)</f>
        <v>Десерт</v>
      </c>
      <c r="F2460">
        <f>VLOOKUP(C2460,Меню!A:E,5,0)</f>
        <v>100</v>
      </c>
    </row>
    <row r="2461" spans="1:6" ht="15.75" hidden="1" customHeight="1" x14ac:dyDescent="0.35">
      <c r="A2461" s="1">
        <v>2460</v>
      </c>
      <c r="B2461" s="1">
        <v>470</v>
      </c>
      <c r="C2461" s="1">
        <v>58</v>
      </c>
      <c r="D2461" t="str">
        <f>VLOOKUP(B2461,Заказы!A:C,3,0)</f>
        <v>2023-07-04 17:29:00</v>
      </c>
      <c r="E2461" t="str">
        <f>VLOOKUP(C2461,Меню!A:E,4,0)</f>
        <v>Суши</v>
      </c>
      <c r="F2461">
        <f>VLOOKUP(C2461,Меню!A:E,5,0)</f>
        <v>200</v>
      </c>
    </row>
    <row r="2462" spans="1:6" ht="15.75" hidden="1" customHeight="1" x14ac:dyDescent="0.35">
      <c r="A2462" s="1">
        <v>2461</v>
      </c>
      <c r="B2462" s="1">
        <v>470</v>
      </c>
      <c r="C2462" s="1">
        <v>53</v>
      </c>
      <c r="D2462" t="str">
        <f>VLOOKUP(B2462,Заказы!A:C,3,0)</f>
        <v>2023-07-04 17:29:00</v>
      </c>
      <c r="E2462" t="str">
        <f>VLOOKUP(C2462,Меню!A:E,4,0)</f>
        <v>Суши</v>
      </c>
      <c r="F2462">
        <f>VLOOKUP(C2462,Меню!A:E,5,0)</f>
        <v>100</v>
      </c>
    </row>
    <row r="2463" spans="1:6" ht="15.75" hidden="1" customHeight="1" x14ac:dyDescent="0.35">
      <c r="A2463" s="1">
        <v>2462</v>
      </c>
      <c r="B2463" s="1">
        <v>470</v>
      </c>
      <c r="C2463" s="1">
        <v>11</v>
      </c>
      <c r="D2463" t="str">
        <f>VLOOKUP(B2463,Заказы!A:C,3,0)</f>
        <v>2023-07-04 17:29:00</v>
      </c>
      <c r="E2463" t="str">
        <f>VLOOKUP(C2463,Меню!A:E,4,0)</f>
        <v>Первое</v>
      </c>
      <c r="F2463">
        <f>VLOOKUP(C2463,Меню!A:E,5,0)</f>
        <v>300</v>
      </c>
    </row>
    <row r="2464" spans="1:6" ht="15.75" hidden="1" customHeight="1" x14ac:dyDescent="0.35">
      <c r="A2464" s="1">
        <v>2463</v>
      </c>
      <c r="B2464" s="1">
        <v>470</v>
      </c>
      <c r="C2464" s="1">
        <v>29</v>
      </c>
      <c r="D2464" t="str">
        <f>VLOOKUP(B2464,Заказы!A:C,3,0)</f>
        <v>2023-07-04 17:29:00</v>
      </c>
      <c r="E2464" t="str">
        <f>VLOOKUP(C2464,Меню!A:E,4,0)</f>
        <v>Салат</v>
      </c>
      <c r="F2464">
        <f>VLOOKUP(C2464,Меню!A:E,5,0)</f>
        <v>250</v>
      </c>
    </row>
    <row r="2465" spans="1:6" ht="15.75" hidden="1" customHeight="1" x14ac:dyDescent="0.35">
      <c r="A2465" s="1">
        <v>2464</v>
      </c>
      <c r="B2465" s="1">
        <v>470</v>
      </c>
      <c r="C2465" s="1">
        <v>2</v>
      </c>
      <c r="D2465" t="str">
        <f>VLOOKUP(B2465,Заказы!A:C,3,0)</f>
        <v>2023-07-04 17:29:00</v>
      </c>
      <c r="E2465" t="str">
        <f>VLOOKUP(C2465,Меню!A:E,4,0)</f>
        <v>Завтрак</v>
      </c>
      <c r="F2465">
        <f>VLOOKUP(C2465,Меню!A:E,5,0)</f>
        <v>250</v>
      </c>
    </row>
    <row r="2466" spans="1:6" ht="15.75" hidden="1" customHeight="1" x14ac:dyDescent="0.35">
      <c r="A2466" s="1">
        <v>2465</v>
      </c>
      <c r="B2466" s="1">
        <v>471</v>
      </c>
      <c r="C2466" s="1">
        <v>6</v>
      </c>
      <c r="D2466" t="str">
        <f>VLOOKUP(B2466,Заказы!A:C,3,0)</f>
        <v>2023-07-04 18:43:00</v>
      </c>
      <c r="E2466" t="str">
        <f>VLOOKUP(C2466,Меню!A:E,4,0)</f>
        <v>Завтрак</v>
      </c>
      <c r="F2466">
        <f>VLOOKUP(C2466,Меню!A:E,5,0)</f>
        <v>300</v>
      </c>
    </row>
    <row r="2467" spans="1:6" ht="15.75" hidden="1" customHeight="1" x14ac:dyDescent="0.35">
      <c r="A2467" s="1">
        <v>2466</v>
      </c>
      <c r="B2467" s="1">
        <v>471</v>
      </c>
      <c r="C2467" s="1">
        <v>9</v>
      </c>
      <c r="D2467" t="str">
        <f>VLOOKUP(B2467,Заказы!A:C,3,0)</f>
        <v>2023-07-04 18:43:00</v>
      </c>
      <c r="E2467" t="str">
        <f>VLOOKUP(C2467,Меню!A:E,4,0)</f>
        <v>Завтрак</v>
      </c>
      <c r="F2467">
        <f>VLOOKUP(C2467,Меню!A:E,5,0)</f>
        <v>220</v>
      </c>
    </row>
    <row r="2468" spans="1:6" ht="15.75" hidden="1" customHeight="1" x14ac:dyDescent="0.35">
      <c r="A2468" s="1">
        <v>2467</v>
      </c>
      <c r="B2468" s="1">
        <v>471</v>
      </c>
      <c r="C2468" s="1">
        <v>33</v>
      </c>
      <c r="D2468" t="str">
        <f>VLOOKUP(B2468,Заказы!A:C,3,0)</f>
        <v>2023-07-04 18:43:00</v>
      </c>
      <c r="E2468" t="str">
        <f>VLOOKUP(C2468,Меню!A:E,4,0)</f>
        <v>Десерт</v>
      </c>
      <c r="F2468">
        <f>VLOOKUP(C2468,Меню!A:E,5,0)</f>
        <v>150</v>
      </c>
    </row>
    <row r="2469" spans="1:6" ht="15.75" hidden="1" customHeight="1" x14ac:dyDescent="0.35">
      <c r="A2469" s="1">
        <v>2468</v>
      </c>
      <c r="B2469" s="1">
        <v>471</v>
      </c>
      <c r="C2469" s="1">
        <v>25</v>
      </c>
      <c r="D2469" t="str">
        <f>VLOOKUP(B2469,Заказы!A:C,3,0)</f>
        <v>2023-07-04 18:43:00</v>
      </c>
      <c r="E2469" t="str">
        <f>VLOOKUP(C2469,Меню!A:E,4,0)</f>
        <v>Салат</v>
      </c>
      <c r="F2469">
        <f>VLOOKUP(C2469,Меню!A:E,5,0)</f>
        <v>250</v>
      </c>
    </row>
    <row r="2470" spans="1:6" ht="15.75" hidden="1" customHeight="1" x14ac:dyDescent="0.35">
      <c r="A2470" s="1">
        <v>2469</v>
      </c>
      <c r="B2470" s="1">
        <v>471</v>
      </c>
      <c r="C2470" s="1">
        <v>34</v>
      </c>
      <c r="D2470" t="str">
        <f>VLOOKUP(B2470,Заказы!A:C,3,0)</f>
        <v>2023-07-04 18:43:00</v>
      </c>
      <c r="E2470" t="str">
        <f>VLOOKUP(C2470,Меню!A:E,4,0)</f>
        <v>Десерт</v>
      </c>
      <c r="F2470">
        <f>VLOOKUP(C2470,Меню!A:E,5,0)</f>
        <v>150</v>
      </c>
    </row>
    <row r="2471" spans="1:6" ht="15.75" hidden="1" customHeight="1" x14ac:dyDescent="0.35">
      <c r="A2471" s="1">
        <v>2470</v>
      </c>
      <c r="B2471" s="1">
        <v>471</v>
      </c>
      <c r="C2471" s="1">
        <v>23</v>
      </c>
      <c r="D2471" t="str">
        <f>VLOOKUP(B2471,Заказы!A:C,3,0)</f>
        <v>2023-07-04 18:43:00</v>
      </c>
      <c r="E2471" t="str">
        <f>VLOOKUP(C2471,Меню!A:E,4,0)</f>
        <v>Салат</v>
      </c>
      <c r="F2471">
        <f>VLOOKUP(C2471,Меню!A:E,5,0)</f>
        <v>250</v>
      </c>
    </row>
    <row r="2472" spans="1:6" ht="15.75" hidden="1" customHeight="1" x14ac:dyDescent="0.35">
      <c r="A2472" s="1">
        <v>2471</v>
      </c>
      <c r="B2472" s="1">
        <v>472</v>
      </c>
      <c r="C2472" s="1">
        <v>38</v>
      </c>
      <c r="D2472" t="str">
        <f>VLOOKUP(B2472,Заказы!A:C,3,0)</f>
        <v>2023-07-04 18:52:00</v>
      </c>
      <c r="E2472" t="str">
        <f>VLOOKUP(C2472,Меню!A:E,4,0)</f>
        <v>Десерт</v>
      </c>
      <c r="F2472">
        <f>VLOOKUP(C2472,Меню!A:E,5,0)</f>
        <v>150</v>
      </c>
    </row>
    <row r="2473" spans="1:6" ht="15.75" hidden="1" customHeight="1" x14ac:dyDescent="0.35">
      <c r="A2473" s="1">
        <v>2472</v>
      </c>
      <c r="B2473" s="1">
        <v>472</v>
      </c>
      <c r="C2473" s="1">
        <v>58</v>
      </c>
      <c r="D2473" t="str">
        <f>VLOOKUP(B2473,Заказы!A:C,3,0)</f>
        <v>2023-07-04 18:52:00</v>
      </c>
      <c r="E2473" t="str">
        <f>VLOOKUP(C2473,Меню!A:E,4,0)</f>
        <v>Суши</v>
      </c>
      <c r="F2473">
        <f>VLOOKUP(C2473,Меню!A:E,5,0)</f>
        <v>200</v>
      </c>
    </row>
    <row r="2474" spans="1:6" ht="15.75" hidden="1" customHeight="1" x14ac:dyDescent="0.35">
      <c r="A2474" s="1">
        <v>2473</v>
      </c>
      <c r="B2474" s="1">
        <v>472</v>
      </c>
      <c r="C2474" s="1">
        <v>28</v>
      </c>
      <c r="D2474" t="str">
        <f>VLOOKUP(B2474,Заказы!A:C,3,0)</f>
        <v>2023-07-04 18:52:00</v>
      </c>
      <c r="E2474" t="str">
        <f>VLOOKUP(C2474,Меню!A:E,4,0)</f>
        <v>Салат</v>
      </c>
      <c r="F2474">
        <f>VLOOKUP(C2474,Меню!A:E,5,0)</f>
        <v>250</v>
      </c>
    </row>
    <row r="2475" spans="1:6" ht="15.75" hidden="1" customHeight="1" x14ac:dyDescent="0.35">
      <c r="A2475" s="1">
        <v>2474</v>
      </c>
      <c r="B2475" s="1">
        <v>472</v>
      </c>
      <c r="C2475" s="1">
        <v>53</v>
      </c>
      <c r="D2475" t="str">
        <f>VLOOKUP(B2475,Заказы!A:C,3,0)</f>
        <v>2023-07-04 18:52:00</v>
      </c>
      <c r="E2475" t="str">
        <f>VLOOKUP(C2475,Меню!A:E,4,0)</f>
        <v>Суши</v>
      </c>
      <c r="F2475">
        <f>VLOOKUP(C2475,Меню!A:E,5,0)</f>
        <v>100</v>
      </c>
    </row>
    <row r="2476" spans="1:6" ht="15.75" hidden="1" customHeight="1" x14ac:dyDescent="0.35">
      <c r="A2476" s="1">
        <v>2475</v>
      </c>
      <c r="B2476" s="1">
        <v>472</v>
      </c>
      <c r="C2476" s="1">
        <v>3</v>
      </c>
      <c r="D2476" t="str">
        <f>VLOOKUP(B2476,Заказы!A:C,3,0)</f>
        <v>2023-07-04 18:52:00</v>
      </c>
      <c r="E2476" t="str">
        <f>VLOOKUP(C2476,Меню!A:E,4,0)</f>
        <v>Завтрак</v>
      </c>
      <c r="F2476">
        <f>VLOOKUP(C2476,Меню!A:E,5,0)</f>
        <v>150</v>
      </c>
    </row>
    <row r="2477" spans="1:6" ht="15.75" hidden="1" customHeight="1" x14ac:dyDescent="0.35">
      <c r="A2477" s="1">
        <v>2476</v>
      </c>
      <c r="B2477" s="1">
        <v>472</v>
      </c>
      <c r="C2477" s="1">
        <v>54</v>
      </c>
      <c r="D2477" t="str">
        <f>VLOOKUP(B2477,Заказы!A:C,3,0)</f>
        <v>2023-07-04 18:52:00</v>
      </c>
      <c r="E2477" t="str">
        <f>VLOOKUP(C2477,Меню!A:E,4,0)</f>
        <v>Суши</v>
      </c>
      <c r="F2477">
        <f>VLOOKUP(C2477,Меню!A:E,5,0)</f>
        <v>100</v>
      </c>
    </row>
    <row r="2478" spans="1:6" ht="15.75" hidden="1" customHeight="1" x14ac:dyDescent="0.35">
      <c r="A2478" s="1">
        <v>2477</v>
      </c>
      <c r="B2478" s="1">
        <v>472</v>
      </c>
      <c r="C2478" s="1">
        <v>1</v>
      </c>
      <c r="D2478" t="str">
        <f>VLOOKUP(B2478,Заказы!A:C,3,0)</f>
        <v>2023-07-04 18:52:00</v>
      </c>
      <c r="E2478" t="str">
        <f>VLOOKUP(C2478,Меню!A:E,4,0)</f>
        <v>Завтрак</v>
      </c>
      <c r="F2478">
        <f>VLOOKUP(C2478,Меню!A:E,5,0)</f>
        <v>200</v>
      </c>
    </row>
    <row r="2479" spans="1:6" ht="15.75" hidden="1" customHeight="1" x14ac:dyDescent="0.35">
      <c r="A2479" s="1">
        <v>2478</v>
      </c>
      <c r="B2479" s="1">
        <v>473</v>
      </c>
      <c r="C2479" s="1">
        <v>42</v>
      </c>
      <c r="D2479" t="str">
        <f>VLOOKUP(B2479,Заказы!A:C,3,0)</f>
        <v>2023-07-04 20:16:00</v>
      </c>
      <c r="E2479" t="str">
        <f>VLOOKUP(C2479,Меню!A:E,4,0)</f>
        <v>Суши</v>
      </c>
      <c r="F2479">
        <f>VLOOKUP(C2479,Меню!A:E,5,0)</f>
        <v>250</v>
      </c>
    </row>
    <row r="2480" spans="1:6" ht="15.75" hidden="1" customHeight="1" x14ac:dyDescent="0.35">
      <c r="A2480" s="1">
        <v>2479</v>
      </c>
      <c r="B2480" s="1">
        <v>473</v>
      </c>
      <c r="C2480" s="1">
        <v>6</v>
      </c>
      <c r="D2480" t="str">
        <f>VLOOKUP(B2480,Заказы!A:C,3,0)</f>
        <v>2023-07-04 20:16:00</v>
      </c>
      <c r="E2480" t="str">
        <f>VLOOKUP(C2480,Меню!A:E,4,0)</f>
        <v>Завтрак</v>
      </c>
      <c r="F2480">
        <f>VLOOKUP(C2480,Меню!A:E,5,0)</f>
        <v>300</v>
      </c>
    </row>
    <row r="2481" spans="1:6" ht="15.75" hidden="1" customHeight="1" x14ac:dyDescent="0.35">
      <c r="A2481" s="1">
        <v>2480</v>
      </c>
      <c r="B2481" s="1">
        <v>473</v>
      </c>
      <c r="C2481" s="1">
        <v>7</v>
      </c>
      <c r="D2481" t="str">
        <f>VLOOKUP(B2481,Заказы!A:C,3,0)</f>
        <v>2023-07-04 20:16:00</v>
      </c>
      <c r="E2481" t="str">
        <f>VLOOKUP(C2481,Меню!A:E,4,0)</f>
        <v>Завтрак</v>
      </c>
      <c r="F2481">
        <f>VLOOKUP(C2481,Меню!A:E,5,0)</f>
        <v>200</v>
      </c>
    </row>
    <row r="2482" spans="1:6" ht="15.75" hidden="1" customHeight="1" x14ac:dyDescent="0.35">
      <c r="A2482" s="1">
        <v>2481</v>
      </c>
      <c r="B2482" s="1">
        <v>473</v>
      </c>
      <c r="C2482" s="1">
        <v>30</v>
      </c>
      <c r="D2482" t="str">
        <f>VLOOKUP(B2482,Заказы!A:C,3,0)</f>
        <v>2023-07-04 20:16:00</v>
      </c>
      <c r="E2482" t="str">
        <f>VLOOKUP(C2482,Меню!A:E,4,0)</f>
        <v>Салат</v>
      </c>
      <c r="F2482">
        <f>VLOOKUP(C2482,Меню!A:E,5,0)</f>
        <v>250</v>
      </c>
    </row>
    <row r="2483" spans="1:6" ht="15.75" hidden="1" customHeight="1" x14ac:dyDescent="0.35">
      <c r="A2483" s="1">
        <v>2482</v>
      </c>
      <c r="B2483" s="1">
        <v>473</v>
      </c>
      <c r="C2483" s="1">
        <v>46</v>
      </c>
      <c r="D2483" t="str">
        <f>VLOOKUP(B2483,Заказы!A:C,3,0)</f>
        <v>2023-07-04 20:16:00</v>
      </c>
      <c r="E2483" t="str">
        <f>VLOOKUP(C2483,Меню!A:E,4,0)</f>
        <v>Суши</v>
      </c>
      <c r="F2483">
        <f>VLOOKUP(C2483,Меню!A:E,5,0)</f>
        <v>200</v>
      </c>
    </row>
    <row r="2484" spans="1:6" ht="15.75" hidden="1" customHeight="1" x14ac:dyDescent="0.35">
      <c r="A2484" s="1">
        <v>2483</v>
      </c>
      <c r="B2484" s="1">
        <v>473</v>
      </c>
      <c r="C2484" s="1">
        <v>31</v>
      </c>
      <c r="D2484" t="str">
        <f>VLOOKUP(B2484,Заказы!A:C,3,0)</f>
        <v>2023-07-04 20:16:00</v>
      </c>
      <c r="E2484" t="str">
        <f>VLOOKUP(C2484,Меню!A:E,4,0)</f>
        <v>Десерт</v>
      </c>
      <c r="F2484">
        <f>VLOOKUP(C2484,Меню!A:E,5,0)</f>
        <v>150</v>
      </c>
    </row>
    <row r="2485" spans="1:6" ht="15.75" hidden="1" customHeight="1" x14ac:dyDescent="0.35">
      <c r="A2485" s="1">
        <v>2484</v>
      </c>
      <c r="B2485" s="1">
        <v>474</v>
      </c>
      <c r="C2485" s="1">
        <v>18</v>
      </c>
      <c r="D2485" t="str">
        <f>VLOOKUP(B2485,Заказы!A:C,3,0)</f>
        <v>2023-07-05 15:58:00</v>
      </c>
      <c r="E2485" t="str">
        <f>VLOOKUP(C2485,Меню!A:E,4,0)</f>
        <v>Первое</v>
      </c>
      <c r="F2485">
        <f>VLOOKUP(C2485,Меню!A:E,5,0)</f>
        <v>300</v>
      </c>
    </row>
    <row r="2486" spans="1:6" ht="15.75" hidden="1" customHeight="1" x14ac:dyDescent="0.35">
      <c r="A2486" s="1">
        <v>2485</v>
      </c>
      <c r="B2486" s="1">
        <v>474</v>
      </c>
      <c r="C2486" s="1">
        <v>3</v>
      </c>
      <c r="D2486" t="str">
        <f>VLOOKUP(B2486,Заказы!A:C,3,0)</f>
        <v>2023-07-05 15:58:00</v>
      </c>
      <c r="E2486" t="str">
        <f>VLOOKUP(C2486,Меню!A:E,4,0)</f>
        <v>Завтрак</v>
      </c>
      <c r="F2486">
        <f>VLOOKUP(C2486,Меню!A:E,5,0)</f>
        <v>150</v>
      </c>
    </row>
    <row r="2487" spans="1:6" ht="15.75" hidden="1" customHeight="1" x14ac:dyDescent="0.35">
      <c r="A2487" s="1">
        <v>2486</v>
      </c>
      <c r="B2487" s="1">
        <v>474</v>
      </c>
      <c r="C2487" s="1">
        <v>25</v>
      </c>
      <c r="D2487" t="str">
        <f>VLOOKUP(B2487,Заказы!A:C,3,0)</f>
        <v>2023-07-05 15:58:00</v>
      </c>
      <c r="E2487" t="str">
        <f>VLOOKUP(C2487,Меню!A:E,4,0)</f>
        <v>Салат</v>
      </c>
      <c r="F2487">
        <f>VLOOKUP(C2487,Меню!A:E,5,0)</f>
        <v>250</v>
      </c>
    </row>
    <row r="2488" spans="1:6" ht="15.75" hidden="1" customHeight="1" x14ac:dyDescent="0.35">
      <c r="A2488" s="1">
        <v>2487</v>
      </c>
      <c r="B2488" s="1">
        <v>474</v>
      </c>
      <c r="C2488" s="1">
        <v>27</v>
      </c>
      <c r="D2488" t="str">
        <f>VLOOKUP(B2488,Заказы!A:C,3,0)</f>
        <v>2023-07-05 15:58:00</v>
      </c>
      <c r="E2488" t="str">
        <f>VLOOKUP(C2488,Меню!A:E,4,0)</f>
        <v>Салат</v>
      </c>
      <c r="F2488">
        <f>VLOOKUP(C2488,Меню!A:E,5,0)</f>
        <v>250</v>
      </c>
    </row>
    <row r="2489" spans="1:6" ht="15.75" hidden="1" customHeight="1" x14ac:dyDescent="0.35">
      <c r="A2489" s="1">
        <v>2488</v>
      </c>
      <c r="B2489" s="1">
        <v>475</v>
      </c>
      <c r="C2489" s="1">
        <v>55</v>
      </c>
      <c r="D2489" t="str">
        <f>VLOOKUP(B2489,Заказы!A:C,3,0)</f>
        <v>2023-07-05 20:09:00</v>
      </c>
      <c r="E2489" t="str">
        <f>VLOOKUP(C2489,Меню!A:E,4,0)</f>
        <v>Суши</v>
      </c>
      <c r="F2489">
        <f>VLOOKUP(C2489,Меню!A:E,5,0)</f>
        <v>100</v>
      </c>
    </row>
    <row r="2490" spans="1:6" ht="15.75" hidden="1" customHeight="1" x14ac:dyDescent="0.35">
      <c r="A2490" s="1">
        <v>2489</v>
      </c>
      <c r="B2490" s="1">
        <v>475</v>
      </c>
      <c r="C2490" s="1">
        <v>43</v>
      </c>
      <c r="D2490" t="str">
        <f>VLOOKUP(B2490,Заказы!A:C,3,0)</f>
        <v>2023-07-05 20:09:00</v>
      </c>
      <c r="E2490" t="str">
        <f>VLOOKUP(C2490,Меню!A:E,4,0)</f>
        <v>Суши</v>
      </c>
      <c r="F2490">
        <f>VLOOKUP(C2490,Меню!A:E,5,0)</f>
        <v>250</v>
      </c>
    </row>
    <row r="2491" spans="1:6" ht="15.75" hidden="1" customHeight="1" x14ac:dyDescent="0.35">
      <c r="A2491" s="1">
        <v>2490</v>
      </c>
      <c r="B2491" s="1">
        <v>476</v>
      </c>
      <c r="C2491" s="1">
        <v>11</v>
      </c>
      <c r="D2491" t="str">
        <f>VLOOKUP(B2491,Заказы!A:C,3,0)</f>
        <v>2023-07-05 21:29:00</v>
      </c>
      <c r="E2491" t="str">
        <f>VLOOKUP(C2491,Меню!A:E,4,0)</f>
        <v>Первое</v>
      </c>
      <c r="F2491">
        <f>VLOOKUP(C2491,Меню!A:E,5,0)</f>
        <v>300</v>
      </c>
    </row>
    <row r="2492" spans="1:6" ht="15.75" hidden="1" customHeight="1" x14ac:dyDescent="0.35">
      <c r="A2492" s="1">
        <v>2491</v>
      </c>
      <c r="B2492" s="1">
        <v>476</v>
      </c>
      <c r="C2492" s="1">
        <v>28</v>
      </c>
      <c r="D2492" t="str">
        <f>VLOOKUP(B2492,Заказы!A:C,3,0)</f>
        <v>2023-07-05 21:29:00</v>
      </c>
      <c r="E2492" t="str">
        <f>VLOOKUP(C2492,Меню!A:E,4,0)</f>
        <v>Салат</v>
      </c>
      <c r="F2492">
        <f>VLOOKUP(C2492,Меню!A:E,5,0)</f>
        <v>250</v>
      </c>
    </row>
    <row r="2493" spans="1:6" ht="15.75" hidden="1" customHeight="1" x14ac:dyDescent="0.35">
      <c r="A2493" s="1">
        <v>2492</v>
      </c>
      <c r="B2493" s="1">
        <v>476</v>
      </c>
      <c r="C2493" s="1">
        <v>56</v>
      </c>
      <c r="D2493" t="str">
        <f>VLOOKUP(B2493,Заказы!A:C,3,0)</f>
        <v>2023-07-05 21:29:00</v>
      </c>
      <c r="E2493" t="str">
        <f>VLOOKUP(C2493,Меню!A:E,4,0)</f>
        <v>Суши</v>
      </c>
      <c r="F2493">
        <f>VLOOKUP(C2493,Меню!A:E,5,0)</f>
        <v>200</v>
      </c>
    </row>
    <row r="2494" spans="1:6" ht="15.75" hidden="1" customHeight="1" x14ac:dyDescent="0.35">
      <c r="A2494" s="1">
        <v>2493</v>
      </c>
      <c r="B2494" s="1">
        <v>476</v>
      </c>
      <c r="C2494" s="1">
        <v>53</v>
      </c>
      <c r="D2494" t="str">
        <f>VLOOKUP(B2494,Заказы!A:C,3,0)</f>
        <v>2023-07-05 21:29:00</v>
      </c>
      <c r="E2494" t="str">
        <f>VLOOKUP(C2494,Меню!A:E,4,0)</f>
        <v>Суши</v>
      </c>
      <c r="F2494">
        <f>VLOOKUP(C2494,Меню!A:E,5,0)</f>
        <v>100</v>
      </c>
    </row>
    <row r="2495" spans="1:6" ht="15.75" hidden="1" customHeight="1" x14ac:dyDescent="0.35">
      <c r="A2495" s="1">
        <v>2494</v>
      </c>
      <c r="B2495" s="1">
        <v>476</v>
      </c>
      <c r="C2495" s="1">
        <v>12</v>
      </c>
      <c r="D2495" t="str">
        <f>VLOOKUP(B2495,Заказы!A:C,3,0)</f>
        <v>2023-07-05 21:29:00</v>
      </c>
      <c r="E2495" t="str">
        <f>VLOOKUP(C2495,Меню!A:E,4,0)</f>
        <v>Первое</v>
      </c>
      <c r="F2495">
        <f>VLOOKUP(C2495,Меню!A:E,5,0)</f>
        <v>300</v>
      </c>
    </row>
    <row r="2496" spans="1:6" ht="15.75" hidden="1" customHeight="1" x14ac:dyDescent="0.35">
      <c r="A2496" s="1">
        <v>2495</v>
      </c>
      <c r="B2496" s="1">
        <v>476</v>
      </c>
      <c r="C2496" s="1">
        <v>15</v>
      </c>
      <c r="D2496" t="str">
        <f>VLOOKUP(B2496,Заказы!A:C,3,0)</f>
        <v>2023-07-05 21:29:00</v>
      </c>
      <c r="E2496" t="str">
        <f>VLOOKUP(C2496,Меню!A:E,4,0)</f>
        <v>Первое</v>
      </c>
      <c r="F2496">
        <f>VLOOKUP(C2496,Меню!A:E,5,0)</f>
        <v>250</v>
      </c>
    </row>
    <row r="2497" spans="1:6" ht="15.75" hidden="1" customHeight="1" x14ac:dyDescent="0.35">
      <c r="A2497" s="1">
        <v>2496</v>
      </c>
      <c r="B2497" s="1">
        <v>476</v>
      </c>
      <c r="C2497" s="1">
        <v>37</v>
      </c>
      <c r="D2497" t="str">
        <f>VLOOKUP(B2497,Заказы!A:C,3,0)</f>
        <v>2023-07-05 21:29:00</v>
      </c>
      <c r="E2497" t="str">
        <f>VLOOKUP(C2497,Меню!A:E,4,0)</f>
        <v>Десерт</v>
      </c>
      <c r="F2497">
        <f>VLOOKUP(C2497,Меню!A:E,5,0)</f>
        <v>100</v>
      </c>
    </row>
    <row r="2498" spans="1:6" ht="15.75" hidden="1" customHeight="1" x14ac:dyDescent="0.35">
      <c r="A2498" s="1">
        <v>2497</v>
      </c>
      <c r="B2498" s="1">
        <v>476</v>
      </c>
      <c r="C2498" s="1">
        <v>52</v>
      </c>
      <c r="D2498" t="str">
        <f>VLOOKUP(B2498,Заказы!A:C,3,0)</f>
        <v>2023-07-05 21:29:00</v>
      </c>
      <c r="E2498" t="str">
        <f>VLOOKUP(C2498,Меню!A:E,4,0)</f>
        <v>Суши</v>
      </c>
      <c r="F2498">
        <f>VLOOKUP(C2498,Меню!A:E,5,0)</f>
        <v>100</v>
      </c>
    </row>
    <row r="2499" spans="1:6" ht="15.75" hidden="1" customHeight="1" x14ac:dyDescent="0.35">
      <c r="A2499" s="1">
        <v>2498</v>
      </c>
      <c r="B2499" s="1">
        <v>476</v>
      </c>
      <c r="C2499" s="1">
        <v>29</v>
      </c>
      <c r="D2499" t="str">
        <f>VLOOKUP(B2499,Заказы!A:C,3,0)</f>
        <v>2023-07-05 21:29:00</v>
      </c>
      <c r="E2499" t="str">
        <f>VLOOKUP(C2499,Меню!A:E,4,0)</f>
        <v>Салат</v>
      </c>
      <c r="F2499">
        <f>VLOOKUP(C2499,Меню!A:E,5,0)</f>
        <v>250</v>
      </c>
    </row>
    <row r="2500" spans="1:6" ht="15.75" hidden="1" customHeight="1" x14ac:dyDescent="0.35">
      <c r="A2500" s="1">
        <v>2499</v>
      </c>
      <c r="B2500" s="1">
        <v>476</v>
      </c>
      <c r="C2500" s="1">
        <v>28</v>
      </c>
      <c r="D2500" t="str">
        <f>VLOOKUP(B2500,Заказы!A:C,3,0)</f>
        <v>2023-07-05 21:29:00</v>
      </c>
      <c r="E2500" t="str">
        <f>VLOOKUP(C2500,Меню!A:E,4,0)</f>
        <v>Салат</v>
      </c>
      <c r="F2500">
        <f>VLOOKUP(C2500,Меню!A:E,5,0)</f>
        <v>250</v>
      </c>
    </row>
    <row r="2501" spans="1:6" ht="15.75" hidden="1" customHeight="1" x14ac:dyDescent="0.35">
      <c r="A2501" s="1">
        <v>2500</v>
      </c>
      <c r="B2501" s="1">
        <v>477</v>
      </c>
      <c r="C2501" s="1">
        <v>38</v>
      </c>
      <c r="D2501" t="str">
        <f>VLOOKUP(B2501,Заказы!A:C,3,0)</f>
        <v>2023-07-05 22:03:00</v>
      </c>
      <c r="E2501" t="str">
        <f>VLOOKUP(C2501,Меню!A:E,4,0)</f>
        <v>Десерт</v>
      </c>
      <c r="F2501">
        <f>VLOOKUP(C2501,Меню!A:E,5,0)</f>
        <v>150</v>
      </c>
    </row>
    <row r="2502" spans="1:6" ht="15.75" hidden="1" customHeight="1" x14ac:dyDescent="0.35">
      <c r="A2502" s="1">
        <v>2501</v>
      </c>
      <c r="B2502" s="1">
        <v>477</v>
      </c>
      <c r="C2502" s="1">
        <v>1</v>
      </c>
      <c r="D2502" t="str">
        <f>VLOOKUP(B2502,Заказы!A:C,3,0)</f>
        <v>2023-07-05 22:03:00</v>
      </c>
      <c r="E2502" t="str">
        <f>VLOOKUP(C2502,Меню!A:E,4,0)</f>
        <v>Завтрак</v>
      </c>
      <c r="F2502">
        <f>VLOOKUP(C2502,Меню!A:E,5,0)</f>
        <v>200</v>
      </c>
    </row>
    <row r="2503" spans="1:6" ht="15.75" hidden="1" customHeight="1" x14ac:dyDescent="0.35">
      <c r="A2503" s="1">
        <v>2502</v>
      </c>
      <c r="B2503" s="1">
        <v>477</v>
      </c>
      <c r="C2503" s="1">
        <v>40</v>
      </c>
      <c r="D2503" t="str">
        <f>VLOOKUP(B2503,Заказы!A:C,3,0)</f>
        <v>2023-07-05 22:03:00</v>
      </c>
      <c r="E2503" t="str">
        <f>VLOOKUP(C2503,Меню!A:E,4,0)</f>
        <v>Десерт</v>
      </c>
      <c r="F2503">
        <f>VLOOKUP(C2503,Меню!A:E,5,0)</f>
        <v>150</v>
      </c>
    </row>
    <row r="2504" spans="1:6" ht="15.75" hidden="1" customHeight="1" x14ac:dyDescent="0.35">
      <c r="A2504" s="1">
        <v>2503</v>
      </c>
      <c r="B2504" s="1">
        <v>477</v>
      </c>
      <c r="C2504" s="1">
        <v>16</v>
      </c>
      <c r="D2504" t="str">
        <f>VLOOKUP(B2504,Заказы!A:C,3,0)</f>
        <v>2023-07-05 22:03:00</v>
      </c>
      <c r="E2504" t="str">
        <f>VLOOKUP(C2504,Меню!A:E,4,0)</f>
        <v>Первое</v>
      </c>
      <c r="F2504">
        <f>VLOOKUP(C2504,Меню!A:E,5,0)</f>
        <v>250</v>
      </c>
    </row>
    <row r="2505" spans="1:6" ht="15.75" hidden="1" customHeight="1" x14ac:dyDescent="0.35">
      <c r="A2505" s="1">
        <v>2504</v>
      </c>
      <c r="B2505" s="1">
        <v>478</v>
      </c>
      <c r="C2505" s="1">
        <v>6</v>
      </c>
      <c r="D2505" t="str">
        <f>VLOOKUP(B2505,Заказы!A:C,3,0)</f>
        <v>2023-07-06 16:02:00</v>
      </c>
      <c r="E2505" t="str">
        <f>VLOOKUP(C2505,Меню!A:E,4,0)</f>
        <v>Завтрак</v>
      </c>
      <c r="F2505">
        <f>VLOOKUP(C2505,Меню!A:E,5,0)</f>
        <v>300</v>
      </c>
    </row>
    <row r="2506" spans="1:6" ht="15.75" hidden="1" customHeight="1" x14ac:dyDescent="0.35">
      <c r="A2506" s="1">
        <v>2505</v>
      </c>
      <c r="B2506" s="1">
        <v>478</v>
      </c>
      <c r="C2506" s="1">
        <v>27</v>
      </c>
      <c r="D2506" t="str">
        <f>VLOOKUP(B2506,Заказы!A:C,3,0)</f>
        <v>2023-07-06 16:02:00</v>
      </c>
      <c r="E2506" t="str">
        <f>VLOOKUP(C2506,Меню!A:E,4,0)</f>
        <v>Салат</v>
      </c>
      <c r="F2506">
        <f>VLOOKUP(C2506,Меню!A:E,5,0)</f>
        <v>250</v>
      </c>
    </row>
    <row r="2507" spans="1:6" ht="15.75" hidden="1" customHeight="1" x14ac:dyDescent="0.35">
      <c r="A2507" s="1">
        <v>2506</v>
      </c>
      <c r="B2507" s="1">
        <v>478</v>
      </c>
      <c r="C2507" s="1">
        <v>14</v>
      </c>
      <c r="D2507" t="str">
        <f>VLOOKUP(B2507,Заказы!A:C,3,0)</f>
        <v>2023-07-06 16:02:00</v>
      </c>
      <c r="E2507" t="str">
        <f>VLOOKUP(C2507,Меню!A:E,4,0)</f>
        <v>Первое</v>
      </c>
      <c r="F2507">
        <f>VLOOKUP(C2507,Меню!A:E,5,0)</f>
        <v>350</v>
      </c>
    </row>
    <row r="2508" spans="1:6" ht="15.75" hidden="1" customHeight="1" x14ac:dyDescent="0.35">
      <c r="A2508" s="1">
        <v>2507</v>
      </c>
      <c r="B2508" s="1">
        <v>478</v>
      </c>
      <c r="C2508" s="1">
        <v>12</v>
      </c>
      <c r="D2508" t="str">
        <f>VLOOKUP(B2508,Заказы!A:C,3,0)</f>
        <v>2023-07-06 16:02:00</v>
      </c>
      <c r="E2508" t="str">
        <f>VLOOKUP(C2508,Меню!A:E,4,0)</f>
        <v>Первое</v>
      </c>
      <c r="F2508">
        <f>VLOOKUP(C2508,Меню!A:E,5,0)</f>
        <v>300</v>
      </c>
    </row>
    <row r="2509" spans="1:6" ht="15.75" hidden="1" customHeight="1" x14ac:dyDescent="0.35">
      <c r="A2509" s="1">
        <v>2508</v>
      </c>
      <c r="B2509" s="1">
        <v>478</v>
      </c>
      <c r="C2509" s="1">
        <v>40</v>
      </c>
      <c r="D2509" t="str">
        <f>VLOOKUP(B2509,Заказы!A:C,3,0)</f>
        <v>2023-07-06 16:02:00</v>
      </c>
      <c r="E2509" t="str">
        <f>VLOOKUP(C2509,Меню!A:E,4,0)</f>
        <v>Десерт</v>
      </c>
      <c r="F2509">
        <f>VLOOKUP(C2509,Меню!A:E,5,0)</f>
        <v>150</v>
      </c>
    </row>
    <row r="2510" spans="1:6" ht="15.75" hidden="1" customHeight="1" x14ac:dyDescent="0.35">
      <c r="A2510" s="1">
        <v>2509</v>
      </c>
      <c r="B2510" s="1">
        <v>478</v>
      </c>
      <c r="C2510" s="1">
        <v>40</v>
      </c>
      <c r="D2510" t="str">
        <f>VLOOKUP(B2510,Заказы!A:C,3,0)</f>
        <v>2023-07-06 16:02:00</v>
      </c>
      <c r="E2510" t="str">
        <f>VLOOKUP(C2510,Меню!A:E,4,0)</f>
        <v>Десерт</v>
      </c>
      <c r="F2510">
        <f>VLOOKUP(C2510,Меню!A:E,5,0)</f>
        <v>150</v>
      </c>
    </row>
    <row r="2511" spans="1:6" ht="15.75" hidden="1" customHeight="1" x14ac:dyDescent="0.35">
      <c r="A2511" s="1">
        <v>2510</v>
      </c>
      <c r="B2511" s="1">
        <v>478</v>
      </c>
      <c r="C2511" s="1">
        <v>9</v>
      </c>
      <c r="D2511" t="str">
        <f>VLOOKUP(B2511,Заказы!A:C,3,0)</f>
        <v>2023-07-06 16:02:00</v>
      </c>
      <c r="E2511" t="str">
        <f>VLOOKUP(C2511,Меню!A:E,4,0)</f>
        <v>Завтрак</v>
      </c>
      <c r="F2511">
        <f>VLOOKUP(C2511,Меню!A:E,5,0)</f>
        <v>220</v>
      </c>
    </row>
    <row r="2512" spans="1:6" ht="15.75" hidden="1" customHeight="1" x14ac:dyDescent="0.35">
      <c r="A2512" s="1">
        <v>2511</v>
      </c>
      <c r="B2512" s="1">
        <v>478</v>
      </c>
      <c r="C2512" s="1">
        <v>19</v>
      </c>
      <c r="D2512" t="str">
        <f>VLOOKUP(B2512,Заказы!A:C,3,0)</f>
        <v>2023-07-06 16:02:00</v>
      </c>
      <c r="E2512" t="str">
        <f>VLOOKUP(C2512,Меню!A:E,4,0)</f>
        <v>Первое</v>
      </c>
      <c r="F2512">
        <f>VLOOKUP(C2512,Меню!A:E,5,0)</f>
        <v>300</v>
      </c>
    </row>
    <row r="2513" spans="1:6" ht="15.75" hidden="1" customHeight="1" x14ac:dyDescent="0.35">
      <c r="A2513" s="1">
        <v>2512</v>
      </c>
      <c r="B2513" s="1">
        <v>479</v>
      </c>
      <c r="C2513" s="1">
        <v>40</v>
      </c>
      <c r="D2513" t="str">
        <f>VLOOKUP(B2513,Заказы!A:C,3,0)</f>
        <v>2023-07-06 17:18:00</v>
      </c>
      <c r="E2513" t="str">
        <f>VLOOKUP(C2513,Меню!A:E,4,0)</f>
        <v>Десерт</v>
      </c>
      <c r="F2513">
        <f>VLOOKUP(C2513,Меню!A:E,5,0)</f>
        <v>150</v>
      </c>
    </row>
    <row r="2514" spans="1:6" ht="15.75" hidden="1" customHeight="1" x14ac:dyDescent="0.35">
      <c r="A2514" s="1">
        <v>2513</v>
      </c>
      <c r="B2514" s="1">
        <v>479</v>
      </c>
      <c r="C2514" s="1">
        <v>53</v>
      </c>
      <c r="D2514" t="str">
        <f>VLOOKUP(B2514,Заказы!A:C,3,0)</f>
        <v>2023-07-06 17:18:00</v>
      </c>
      <c r="E2514" t="str">
        <f>VLOOKUP(C2514,Меню!A:E,4,0)</f>
        <v>Суши</v>
      </c>
      <c r="F2514">
        <f>VLOOKUP(C2514,Меню!A:E,5,0)</f>
        <v>100</v>
      </c>
    </row>
    <row r="2515" spans="1:6" ht="15.75" hidden="1" customHeight="1" x14ac:dyDescent="0.35">
      <c r="A2515" s="1">
        <v>2514</v>
      </c>
      <c r="B2515" s="1">
        <v>479</v>
      </c>
      <c r="C2515" s="1">
        <v>16</v>
      </c>
      <c r="D2515" t="str">
        <f>VLOOKUP(B2515,Заказы!A:C,3,0)</f>
        <v>2023-07-06 17:18:00</v>
      </c>
      <c r="E2515" t="str">
        <f>VLOOKUP(C2515,Меню!A:E,4,0)</f>
        <v>Первое</v>
      </c>
      <c r="F2515">
        <f>VLOOKUP(C2515,Меню!A:E,5,0)</f>
        <v>250</v>
      </c>
    </row>
    <row r="2516" spans="1:6" ht="15.75" hidden="1" customHeight="1" x14ac:dyDescent="0.35">
      <c r="A2516" s="1">
        <v>2515</v>
      </c>
      <c r="B2516" s="1">
        <v>479</v>
      </c>
      <c r="C2516" s="1">
        <v>2</v>
      </c>
      <c r="D2516" t="str">
        <f>VLOOKUP(B2516,Заказы!A:C,3,0)</f>
        <v>2023-07-06 17:18:00</v>
      </c>
      <c r="E2516" t="str">
        <f>VLOOKUP(C2516,Меню!A:E,4,0)</f>
        <v>Завтрак</v>
      </c>
      <c r="F2516">
        <f>VLOOKUP(C2516,Меню!A:E,5,0)</f>
        <v>250</v>
      </c>
    </row>
    <row r="2517" spans="1:6" ht="15.75" hidden="1" customHeight="1" x14ac:dyDescent="0.35">
      <c r="A2517" s="1">
        <v>2516</v>
      </c>
      <c r="B2517" s="1">
        <v>479</v>
      </c>
      <c r="C2517" s="1">
        <v>29</v>
      </c>
      <c r="D2517" t="str">
        <f>VLOOKUP(B2517,Заказы!A:C,3,0)</f>
        <v>2023-07-06 17:18:00</v>
      </c>
      <c r="E2517" t="str">
        <f>VLOOKUP(C2517,Меню!A:E,4,0)</f>
        <v>Салат</v>
      </c>
      <c r="F2517">
        <f>VLOOKUP(C2517,Меню!A:E,5,0)</f>
        <v>250</v>
      </c>
    </row>
    <row r="2518" spans="1:6" ht="15.75" hidden="1" customHeight="1" x14ac:dyDescent="0.35">
      <c r="A2518" s="1">
        <v>2517</v>
      </c>
      <c r="B2518" s="1">
        <v>479</v>
      </c>
      <c r="C2518" s="1">
        <v>10</v>
      </c>
      <c r="D2518" t="str">
        <f>VLOOKUP(B2518,Заказы!A:C,3,0)</f>
        <v>2023-07-06 17:18:00</v>
      </c>
      <c r="E2518" t="str">
        <f>VLOOKUP(C2518,Меню!A:E,4,0)</f>
        <v>Завтрак</v>
      </c>
      <c r="F2518">
        <f>VLOOKUP(C2518,Меню!A:E,5,0)</f>
        <v>200</v>
      </c>
    </row>
    <row r="2519" spans="1:6" ht="15.75" hidden="1" customHeight="1" x14ac:dyDescent="0.35">
      <c r="A2519" s="1">
        <v>2518</v>
      </c>
      <c r="B2519" s="1">
        <v>480</v>
      </c>
      <c r="C2519" s="1">
        <v>35</v>
      </c>
      <c r="D2519" t="str">
        <f>VLOOKUP(B2519,Заказы!A:C,3,0)</f>
        <v>2023-07-06 17:52:00</v>
      </c>
      <c r="E2519" t="str">
        <f>VLOOKUP(C2519,Меню!A:E,4,0)</f>
        <v>Десерт</v>
      </c>
      <c r="F2519">
        <f>VLOOKUP(C2519,Меню!A:E,5,0)</f>
        <v>150</v>
      </c>
    </row>
    <row r="2520" spans="1:6" ht="15.75" hidden="1" customHeight="1" x14ac:dyDescent="0.35">
      <c r="A2520" s="1">
        <v>2519</v>
      </c>
      <c r="B2520" s="1">
        <v>480</v>
      </c>
      <c r="C2520" s="1">
        <v>21</v>
      </c>
      <c r="D2520" t="str">
        <f>VLOOKUP(B2520,Заказы!A:C,3,0)</f>
        <v>2023-07-06 17:52:00</v>
      </c>
      <c r="E2520" t="str">
        <f>VLOOKUP(C2520,Меню!A:E,4,0)</f>
        <v>Салат</v>
      </c>
      <c r="F2520">
        <f>VLOOKUP(C2520,Меню!A:E,5,0)</f>
        <v>250</v>
      </c>
    </row>
    <row r="2521" spans="1:6" ht="15.75" hidden="1" customHeight="1" x14ac:dyDescent="0.35">
      <c r="A2521" s="1">
        <v>2520</v>
      </c>
      <c r="B2521" s="1">
        <v>481</v>
      </c>
      <c r="C2521" s="1">
        <v>43</v>
      </c>
      <c r="D2521" t="str">
        <f>VLOOKUP(B2521,Заказы!A:C,3,0)</f>
        <v>2023-07-06 19:52:00</v>
      </c>
      <c r="E2521" t="str">
        <f>VLOOKUP(C2521,Меню!A:E,4,0)</f>
        <v>Суши</v>
      </c>
      <c r="F2521">
        <f>VLOOKUP(C2521,Меню!A:E,5,0)</f>
        <v>250</v>
      </c>
    </row>
    <row r="2522" spans="1:6" ht="15.75" hidden="1" customHeight="1" x14ac:dyDescent="0.35">
      <c r="A2522" s="1">
        <v>2521</v>
      </c>
      <c r="B2522" s="1">
        <v>481</v>
      </c>
      <c r="C2522" s="1">
        <v>31</v>
      </c>
      <c r="D2522" t="str">
        <f>VLOOKUP(B2522,Заказы!A:C,3,0)</f>
        <v>2023-07-06 19:52:00</v>
      </c>
      <c r="E2522" t="str">
        <f>VLOOKUP(C2522,Меню!A:E,4,0)</f>
        <v>Десерт</v>
      </c>
      <c r="F2522">
        <f>VLOOKUP(C2522,Меню!A:E,5,0)</f>
        <v>150</v>
      </c>
    </row>
    <row r="2523" spans="1:6" ht="15.75" hidden="1" customHeight="1" x14ac:dyDescent="0.35">
      <c r="A2523" s="1">
        <v>2522</v>
      </c>
      <c r="B2523" s="1">
        <v>481</v>
      </c>
      <c r="C2523" s="1">
        <v>40</v>
      </c>
      <c r="D2523" t="str">
        <f>VLOOKUP(B2523,Заказы!A:C,3,0)</f>
        <v>2023-07-06 19:52:00</v>
      </c>
      <c r="E2523" t="str">
        <f>VLOOKUP(C2523,Меню!A:E,4,0)</f>
        <v>Десерт</v>
      </c>
      <c r="F2523">
        <f>VLOOKUP(C2523,Меню!A:E,5,0)</f>
        <v>150</v>
      </c>
    </row>
    <row r="2524" spans="1:6" ht="15.75" hidden="1" customHeight="1" x14ac:dyDescent="0.35">
      <c r="A2524" s="1">
        <v>2523</v>
      </c>
      <c r="B2524" s="1">
        <v>482</v>
      </c>
      <c r="C2524" s="1">
        <v>25</v>
      </c>
      <c r="D2524" t="str">
        <f>VLOOKUP(B2524,Заказы!A:C,3,0)</f>
        <v>2023-07-07 15:17:00</v>
      </c>
      <c r="E2524" t="str">
        <f>VLOOKUP(C2524,Меню!A:E,4,0)</f>
        <v>Салат</v>
      </c>
      <c r="F2524">
        <f>VLOOKUP(C2524,Меню!A:E,5,0)</f>
        <v>250</v>
      </c>
    </row>
    <row r="2525" spans="1:6" ht="15.75" hidden="1" customHeight="1" x14ac:dyDescent="0.35">
      <c r="A2525" s="1">
        <v>2524</v>
      </c>
      <c r="B2525" s="1">
        <v>483</v>
      </c>
      <c r="C2525" s="1">
        <v>46</v>
      </c>
      <c r="D2525" t="str">
        <f>VLOOKUP(B2525,Заказы!A:C,3,0)</f>
        <v>2023-07-07 15:21:00</v>
      </c>
      <c r="E2525" t="str">
        <f>VLOOKUP(C2525,Меню!A:E,4,0)</f>
        <v>Суши</v>
      </c>
      <c r="F2525">
        <f>VLOOKUP(C2525,Меню!A:E,5,0)</f>
        <v>200</v>
      </c>
    </row>
    <row r="2526" spans="1:6" ht="15.75" hidden="1" customHeight="1" x14ac:dyDescent="0.35">
      <c r="A2526" s="1">
        <v>2525</v>
      </c>
      <c r="B2526" s="1">
        <v>484</v>
      </c>
      <c r="C2526" s="1">
        <v>29</v>
      </c>
      <c r="D2526" t="str">
        <f>VLOOKUP(B2526,Заказы!A:C,3,0)</f>
        <v>2023-07-07 16:04:00</v>
      </c>
      <c r="E2526" t="str">
        <f>VLOOKUP(C2526,Меню!A:E,4,0)</f>
        <v>Салат</v>
      </c>
      <c r="F2526">
        <f>VLOOKUP(C2526,Меню!A:E,5,0)</f>
        <v>250</v>
      </c>
    </row>
    <row r="2527" spans="1:6" ht="15.75" hidden="1" customHeight="1" x14ac:dyDescent="0.35">
      <c r="A2527" s="1">
        <v>2526</v>
      </c>
      <c r="B2527" s="1">
        <v>484</v>
      </c>
      <c r="C2527" s="1">
        <v>5</v>
      </c>
      <c r="D2527" t="str">
        <f>VLOOKUP(B2527,Заказы!A:C,3,0)</f>
        <v>2023-07-07 16:04:00</v>
      </c>
      <c r="E2527" t="str">
        <f>VLOOKUP(C2527,Меню!A:E,4,0)</f>
        <v>Завтрак</v>
      </c>
      <c r="F2527">
        <f>VLOOKUP(C2527,Меню!A:E,5,0)</f>
        <v>220</v>
      </c>
    </row>
    <row r="2528" spans="1:6" ht="15.75" hidden="1" customHeight="1" x14ac:dyDescent="0.35">
      <c r="A2528" s="1">
        <v>2527</v>
      </c>
      <c r="B2528" s="1">
        <v>484</v>
      </c>
      <c r="C2528" s="1">
        <v>44</v>
      </c>
      <c r="D2528" t="str">
        <f>VLOOKUP(B2528,Заказы!A:C,3,0)</f>
        <v>2023-07-07 16:04:00</v>
      </c>
      <c r="E2528" t="str">
        <f>VLOOKUP(C2528,Меню!A:E,4,0)</f>
        <v>Суши</v>
      </c>
      <c r="F2528">
        <f>VLOOKUP(C2528,Меню!A:E,5,0)</f>
        <v>250</v>
      </c>
    </row>
    <row r="2529" spans="1:6" ht="15.75" hidden="1" customHeight="1" x14ac:dyDescent="0.35">
      <c r="A2529" s="1">
        <v>2528</v>
      </c>
      <c r="B2529" s="1">
        <v>484</v>
      </c>
      <c r="C2529" s="1">
        <v>24</v>
      </c>
      <c r="D2529" t="str">
        <f>VLOOKUP(B2529,Заказы!A:C,3,0)</f>
        <v>2023-07-07 16:04:00</v>
      </c>
      <c r="E2529" t="str">
        <f>VLOOKUP(C2529,Меню!A:E,4,0)</f>
        <v>Салат</v>
      </c>
      <c r="F2529">
        <f>VLOOKUP(C2529,Меню!A:E,5,0)</f>
        <v>250</v>
      </c>
    </row>
    <row r="2530" spans="1:6" ht="15.75" hidden="1" customHeight="1" x14ac:dyDescent="0.35">
      <c r="A2530" s="1">
        <v>2529</v>
      </c>
      <c r="B2530" s="1">
        <v>484</v>
      </c>
      <c r="C2530" s="1">
        <v>36</v>
      </c>
      <c r="D2530" t="str">
        <f>VLOOKUP(B2530,Заказы!A:C,3,0)</f>
        <v>2023-07-07 16:04:00</v>
      </c>
      <c r="E2530" t="str">
        <f>VLOOKUP(C2530,Меню!A:E,4,0)</f>
        <v>Десерт</v>
      </c>
      <c r="F2530">
        <f>VLOOKUP(C2530,Меню!A:E,5,0)</f>
        <v>150</v>
      </c>
    </row>
    <row r="2531" spans="1:6" ht="15.75" hidden="1" customHeight="1" x14ac:dyDescent="0.35">
      <c r="A2531" s="1">
        <v>2530</v>
      </c>
      <c r="B2531" s="1">
        <v>484</v>
      </c>
      <c r="C2531" s="1">
        <v>26</v>
      </c>
      <c r="D2531" t="str">
        <f>VLOOKUP(B2531,Заказы!A:C,3,0)</f>
        <v>2023-07-07 16:04:00</v>
      </c>
      <c r="E2531" t="str">
        <f>VLOOKUP(C2531,Меню!A:E,4,0)</f>
        <v>Салат</v>
      </c>
      <c r="F2531">
        <f>VLOOKUP(C2531,Меню!A:E,5,0)</f>
        <v>250</v>
      </c>
    </row>
    <row r="2532" spans="1:6" ht="15.75" hidden="1" customHeight="1" x14ac:dyDescent="0.35">
      <c r="A2532" s="1">
        <v>2531</v>
      </c>
      <c r="B2532" s="1">
        <v>484</v>
      </c>
      <c r="C2532" s="1">
        <v>14</v>
      </c>
      <c r="D2532" t="str">
        <f>VLOOKUP(B2532,Заказы!A:C,3,0)</f>
        <v>2023-07-07 16:04:00</v>
      </c>
      <c r="E2532" t="str">
        <f>VLOOKUP(C2532,Меню!A:E,4,0)</f>
        <v>Первое</v>
      </c>
      <c r="F2532">
        <f>VLOOKUP(C2532,Меню!A:E,5,0)</f>
        <v>350</v>
      </c>
    </row>
    <row r="2533" spans="1:6" ht="15.75" hidden="1" customHeight="1" x14ac:dyDescent="0.35">
      <c r="A2533" s="1">
        <v>2532</v>
      </c>
      <c r="B2533" s="1">
        <v>484</v>
      </c>
      <c r="C2533" s="1">
        <v>38</v>
      </c>
      <c r="D2533" t="str">
        <f>VLOOKUP(B2533,Заказы!A:C,3,0)</f>
        <v>2023-07-07 16:04:00</v>
      </c>
      <c r="E2533" t="str">
        <f>VLOOKUP(C2533,Меню!A:E,4,0)</f>
        <v>Десерт</v>
      </c>
      <c r="F2533">
        <f>VLOOKUP(C2533,Меню!A:E,5,0)</f>
        <v>150</v>
      </c>
    </row>
    <row r="2534" spans="1:6" ht="15.75" hidden="1" customHeight="1" x14ac:dyDescent="0.35">
      <c r="A2534" s="1">
        <v>2533</v>
      </c>
      <c r="B2534" s="1">
        <v>485</v>
      </c>
      <c r="C2534" s="1">
        <v>19</v>
      </c>
      <c r="D2534" t="str">
        <f>VLOOKUP(B2534,Заказы!A:C,3,0)</f>
        <v>2023-07-07 16:51:00</v>
      </c>
      <c r="E2534" t="str">
        <f>VLOOKUP(C2534,Меню!A:E,4,0)</f>
        <v>Первое</v>
      </c>
      <c r="F2534">
        <f>VLOOKUP(C2534,Меню!A:E,5,0)</f>
        <v>300</v>
      </c>
    </row>
    <row r="2535" spans="1:6" ht="15.75" hidden="1" customHeight="1" x14ac:dyDescent="0.35">
      <c r="A2535" s="1">
        <v>2534</v>
      </c>
      <c r="B2535" s="1">
        <v>485</v>
      </c>
      <c r="C2535" s="1">
        <v>5</v>
      </c>
      <c r="D2535" t="str">
        <f>VLOOKUP(B2535,Заказы!A:C,3,0)</f>
        <v>2023-07-07 16:51:00</v>
      </c>
      <c r="E2535" t="str">
        <f>VLOOKUP(C2535,Меню!A:E,4,0)</f>
        <v>Завтрак</v>
      </c>
      <c r="F2535">
        <f>VLOOKUP(C2535,Меню!A:E,5,0)</f>
        <v>220</v>
      </c>
    </row>
    <row r="2536" spans="1:6" ht="15.75" hidden="1" customHeight="1" x14ac:dyDescent="0.35">
      <c r="A2536" s="1">
        <v>2535</v>
      </c>
      <c r="B2536" s="1">
        <v>485</v>
      </c>
      <c r="C2536" s="1">
        <v>49</v>
      </c>
      <c r="D2536" t="str">
        <f>VLOOKUP(B2536,Заказы!A:C,3,0)</f>
        <v>2023-07-07 16:51:00</v>
      </c>
      <c r="E2536" t="str">
        <f>VLOOKUP(C2536,Меню!A:E,4,0)</f>
        <v>Суши</v>
      </c>
      <c r="F2536">
        <f>VLOOKUP(C2536,Меню!A:E,5,0)</f>
        <v>200</v>
      </c>
    </row>
    <row r="2537" spans="1:6" ht="15.75" hidden="1" customHeight="1" x14ac:dyDescent="0.35">
      <c r="A2537" s="1">
        <v>2536</v>
      </c>
      <c r="B2537" s="1">
        <v>485</v>
      </c>
      <c r="C2537" s="1">
        <v>53</v>
      </c>
      <c r="D2537" t="str">
        <f>VLOOKUP(B2537,Заказы!A:C,3,0)</f>
        <v>2023-07-07 16:51:00</v>
      </c>
      <c r="E2537" t="str">
        <f>VLOOKUP(C2537,Меню!A:E,4,0)</f>
        <v>Суши</v>
      </c>
      <c r="F2537">
        <f>VLOOKUP(C2537,Меню!A:E,5,0)</f>
        <v>100</v>
      </c>
    </row>
    <row r="2538" spans="1:6" ht="15.75" hidden="1" customHeight="1" x14ac:dyDescent="0.35">
      <c r="A2538" s="1">
        <v>2537</v>
      </c>
      <c r="B2538" s="1">
        <v>485</v>
      </c>
      <c r="C2538" s="1">
        <v>30</v>
      </c>
      <c r="D2538" t="str">
        <f>VLOOKUP(B2538,Заказы!A:C,3,0)</f>
        <v>2023-07-07 16:51:00</v>
      </c>
      <c r="E2538" t="str">
        <f>VLOOKUP(C2538,Меню!A:E,4,0)</f>
        <v>Салат</v>
      </c>
      <c r="F2538">
        <f>VLOOKUP(C2538,Меню!A:E,5,0)</f>
        <v>250</v>
      </c>
    </row>
    <row r="2539" spans="1:6" ht="15.75" hidden="1" customHeight="1" x14ac:dyDescent="0.35">
      <c r="A2539" s="1">
        <v>2538</v>
      </c>
      <c r="B2539" s="1">
        <v>485</v>
      </c>
      <c r="C2539" s="1">
        <v>58</v>
      </c>
      <c r="D2539" t="str">
        <f>VLOOKUP(B2539,Заказы!A:C,3,0)</f>
        <v>2023-07-07 16:51:00</v>
      </c>
      <c r="E2539" t="str">
        <f>VLOOKUP(C2539,Меню!A:E,4,0)</f>
        <v>Суши</v>
      </c>
      <c r="F2539">
        <f>VLOOKUP(C2539,Меню!A:E,5,0)</f>
        <v>200</v>
      </c>
    </row>
    <row r="2540" spans="1:6" ht="15.75" hidden="1" customHeight="1" x14ac:dyDescent="0.35">
      <c r="A2540" s="1">
        <v>2539</v>
      </c>
      <c r="B2540" s="1">
        <v>485</v>
      </c>
      <c r="C2540" s="1">
        <v>47</v>
      </c>
      <c r="D2540" t="str">
        <f>VLOOKUP(B2540,Заказы!A:C,3,0)</f>
        <v>2023-07-07 16:51:00</v>
      </c>
      <c r="E2540" t="str">
        <f>VLOOKUP(C2540,Меню!A:E,4,0)</f>
        <v>Суши</v>
      </c>
      <c r="F2540">
        <f>VLOOKUP(C2540,Меню!A:E,5,0)</f>
        <v>200</v>
      </c>
    </row>
    <row r="2541" spans="1:6" ht="15.75" hidden="1" customHeight="1" x14ac:dyDescent="0.35">
      <c r="A2541" s="1">
        <v>2540</v>
      </c>
      <c r="B2541" s="1">
        <v>486</v>
      </c>
      <c r="C2541" s="1">
        <v>32</v>
      </c>
      <c r="D2541" t="str">
        <f>VLOOKUP(B2541,Заказы!A:C,3,0)</f>
        <v>2023-07-07 17:16:00</v>
      </c>
      <c r="E2541" t="str">
        <f>VLOOKUP(C2541,Меню!A:E,4,0)</f>
        <v>Десерт</v>
      </c>
      <c r="F2541">
        <f>VLOOKUP(C2541,Меню!A:E,5,0)</f>
        <v>150</v>
      </c>
    </row>
    <row r="2542" spans="1:6" ht="15.75" hidden="1" customHeight="1" x14ac:dyDescent="0.35">
      <c r="A2542" s="1">
        <v>2541</v>
      </c>
      <c r="B2542" s="1">
        <v>486</v>
      </c>
      <c r="C2542" s="1">
        <v>27</v>
      </c>
      <c r="D2542" t="str">
        <f>VLOOKUP(B2542,Заказы!A:C,3,0)</f>
        <v>2023-07-07 17:16:00</v>
      </c>
      <c r="E2542" t="str">
        <f>VLOOKUP(C2542,Меню!A:E,4,0)</f>
        <v>Салат</v>
      </c>
      <c r="F2542">
        <f>VLOOKUP(C2542,Меню!A:E,5,0)</f>
        <v>250</v>
      </c>
    </row>
    <row r="2543" spans="1:6" ht="15.75" hidden="1" customHeight="1" x14ac:dyDescent="0.35">
      <c r="A2543" s="1">
        <v>2542</v>
      </c>
      <c r="B2543" s="1">
        <v>486</v>
      </c>
      <c r="C2543" s="1">
        <v>44</v>
      </c>
      <c r="D2543" t="str">
        <f>VLOOKUP(B2543,Заказы!A:C,3,0)</f>
        <v>2023-07-07 17:16:00</v>
      </c>
      <c r="E2543" t="str">
        <f>VLOOKUP(C2543,Меню!A:E,4,0)</f>
        <v>Суши</v>
      </c>
      <c r="F2543">
        <f>VLOOKUP(C2543,Меню!A:E,5,0)</f>
        <v>250</v>
      </c>
    </row>
    <row r="2544" spans="1:6" ht="15.75" hidden="1" customHeight="1" x14ac:dyDescent="0.35">
      <c r="A2544" s="1">
        <v>2543</v>
      </c>
      <c r="B2544" s="1">
        <v>486</v>
      </c>
      <c r="C2544" s="1">
        <v>8</v>
      </c>
      <c r="D2544" t="str">
        <f>VLOOKUP(B2544,Заказы!A:C,3,0)</f>
        <v>2023-07-07 17:16:00</v>
      </c>
      <c r="E2544" t="str">
        <f>VLOOKUP(C2544,Меню!A:E,4,0)</f>
        <v>Завтрак</v>
      </c>
      <c r="F2544">
        <f>VLOOKUP(C2544,Меню!A:E,5,0)</f>
        <v>180</v>
      </c>
    </row>
    <row r="2545" spans="1:6" ht="15.75" hidden="1" customHeight="1" x14ac:dyDescent="0.35">
      <c r="A2545" s="1">
        <v>2544</v>
      </c>
      <c r="B2545" s="1">
        <v>486</v>
      </c>
      <c r="C2545" s="1">
        <v>10</v>
      </c>
      <c r="D2545" t="str">
        <f>VLOOKUP(B2545,Заказы!A:C,3,0)</f>
        <v>2023-07-07 17:16:00</v>
      </c>
      <c r="E2545" t="str">
        <f>VLOOKUP(C2545,Меню!A:E,4,0)</f>
        <v>Завтрак</v>
      </c>
      <c r="F2545">
        <f>VLOOKUP(C2545,Меню!A:E,5,0)</f>
        <v>200</v>
      </c>
    </row>
    <row r="2546" spans="1:6" ht="15.75" hidden="1" customHeight="1" x14ac:dyDescent="0.35">
      <c r="A2546" s="1">
        <v>2545</v>
      </c>
      <c r="B2546" s="1">
        <v>486</v>
      </c>
      <c r="C2546" s="1">
        <v>19</v>
      </c>
      <c r="D2546" t="str">
        <f>VLOOKUP(B2546,Заказы!A:C,3,0)</f>
        <v>2023-07-07 17:16:00</v>
      </c>
      <c r="E2546" t="str">
        <f>VLOOKUP(C2546,Меню!A:E,4,0)</f>
        <v>Первое</v>
      </c>
      <c r="F2546">
        <f>VLOOKUP(C2546,Меню!A:E,5,0)</f>
        <v>300</v>
      </c>
    </row>
    <row r="2547" spans="1:6" ht="15.75" hidden="1" customHeight="1" x14ac:dyDescent="0.35">
      <c r="A2547" s="1">
        <v>2546</v>
      </c>
      <c r="B2547" s="1">
        <v>487</v>
      </c>
      <c r="C2547" s="1">
        <v>40</v>
      </c>
      <c r="D2547" t="str">
        <f>VLOOKUP(B2547,Заказы!A:C,3,0)</f>
        <v>2023-07-07 18:30:00</v>
      </c>
      <c r="E2547" t="str">
        <f>VLOOKUP(C2547,Меню!A:E,4,0)</f>
        <v>Десерт</v>
      </c>
      <c r="F2547">
        <f>VLOOKUP(C2547,Меню!A:E,5,0)</f>
        <v>150</v>
      </c>
    </row>
    <row r="2548" spans="1:6" ht="15.75" hidden="1" customHeight="1" x14ac:dyDescent="0.35">
      <c r="A2548" s="1">
        <v>2547</v>
      </c>
      <c r="B2548" s="1">
        <v>487</v>
      </c>
      <c r="C2548" s="1">
        <v>54</v>
      </c>
      <c r="D2548" t="str">
        <f>VLOOKUP(B2548,Заказы!A:C,3,0)</f>
        <v>2023-07-07 18:30:00</v>
      </c>
      <c r="E2548" t="str">
        <f>VLOOKUP(C2548,Меню!A:E,4,0)</f>
        <v>Суши</v>
      </c>
      <c r="F2548">
        <f>VLOOKUP(C2548,Меню!A:E,5,0)</f>
        <v>100</v>
      </c>
    </row>
    <row r="2549" spans="1:6" ht="15.75" hidden="1" customHeight="1" x14ac:dyDescent="0.35">
      <c r="A2549" s="1">
        <v>2548</v>
      </c>
      <c r="B2549" s="1">
        <v>487</v>
      </c>
      <c r="C2549" s="1">
        <v>8</v>
      </c>
      <c r="D2549" t="str">
        <f>VLOOKUP(B2549,Заказы!A:C,3,0)</f>
        <v>2023-07-07 18:30:00</v>
      </c>
      <c r="E2549" t="str">
        <f>VLOOKUP(C2549,Меню!A:E,4,0)</f>
        <v>Завтрак</v>
      </c>
      <c r="F2549">
        <f>VLOOKUP(C2549,Меню!A:E,5,0)</f>
        <v>180</v>
      </c>
    </row>
    <row r="2550" spans="1:6" ht="15.75" hidden="1" customHeight="1" x14ac:dyDescent="0.35">
      <c r="A2550" s="1">
        <v>2549</v>
      </c>
      <c r="B2550" s="1">
        <v>487</v>
      </c>
      <c r="C2550" s="1">
        <v>48</v>
      </c>
      <c r="D2550" t="str">
        <f>VLOOKUP(B2550,Заказы!A:C,3,0)</f>
        <v>2023-07-07 18:30:00</v>
      </c>
      <c r="E2550" t="str">
        <f>VLOOKUP(C2550,Меню!A:E,4,0)</f>
        <v>Суши</v>
      </c>
      <c r="F2550">
        <f>VLOOKUP(C2550,Меню!A:E,5,0)</f>
        <v>200</v>
      </c>
    </row>
    <row r="2551" spans="1:6" ht="15.75" hidden="1" customHeight="1" x14ac:dyDescent="0.35">
      <c r="A2551" s="1">
        <v>2550</v>
      </c>
      <c r="B2551" s="1">
        <v>487</v>
      </c>
      <c r="C2551" s="1">
        <v>14</v>
      </c>
      <c r="D2551" t="str">
        <f>VLOOKUP(B2551,Заказы!A:C,3,0)</f>
        <v>2023-07-07 18:30:00</v>
      </c>
      <c r="E2551" t="str">
        <f>VLOOKUP(C2551,Меню!A:E,4,0)</f>
        <v>Первое</v>
      </c>
      <c r="F2551">
        <f>VLOOKUP(C2551,Меню!A:E,5,0)</f>
        <v>350</v>
      </c>
    </row>
    <row r="2552" spans="1:6" ht="15.75" hidden="1" customHeight="1" x14ac:dyDescent="0.35">
      <c r="A2552" s="1">
        <v>2551</v>
      </c>
      <c r="B2552" s="1">
        <v>487</v>
      </c>
      <c r="C2552" s="1">
        <v>7</v>
      </c>
      <c r="D2552" t="str">
        <f>VLOOKUP(B2552,Заказы!A:C,3,0)</f>
        <v>2023-07-07 18:30:00</v>
      </c>
      <c r="E2552" t="str">
        <f>VLOOKUP(C2552,Меню!A:E,4,0)</f>
        <v>Завтрак</v>
      </c>
      <c r="F2552">
        <f>VLOOKUP(C2552,Меню!A:E,5,0)</f>
        <v>200</v>
      </c>
    </row>
    <row r="2553" spans="1:6" ht="15.75" hidden="1" customHeight="1" x14ac:dyDescent="0.35">
      <c r="A2553" s="1">
        <v>2552</v>
      </c>
      <c r="B2553" s="1">
        <v>487</v>
      </c>
      <c r="C2553" s="1">
        <v>43</v>
      </c>
      <c r="D2553" t="str">
        <f>VLOOKUP(B2553,Заказы!A:C,3,0)</f>
        <v>2023-07-07 18:30:00</v>
      </c>
      <c r="E2553" t="str">
        <f>VLOOKUP(C2553,Меню!A:E,4,0)</f>
        <v>Суши</v>
      </c>
      <c r="F2553">
        <f>VLOOKUP(C2553,Меню!A:E,5,0)</f>
        <v>250</v>
      </c>
    </row>
    <row r="2554" spans="1:6" ht="15.75" hidden="1" customHeight="1" x14ac:dyDescent="0.35">
      <c r="A2554" s="1">
        <v>2553</v>
      </c>
      <c r="B2554" s="1">
        <v>487</v>
      </c>
      <c r="C2554" s="1">
        <v>19</v>
      </c>
      <c r="D2554" t="str">
        <f>VLOOKUP(B2554,Заказы!A:C,3,0)</f>
        <v>2023-07-07 18:30:00</v>
      </c>
      <c r="E2554" t="str">
        <f>VLOOKUP(C2554,Меню!A:E,4,0)</f>
        <v>Первое</v>
      </c>
      <c r="F2554">
        <f>VLOOKUP(C2554,Меню!A:E,5,0)</f>
        <v>300</v>
      </c>
    </row>
    <row r="2555" spans="1:6" ht="15.75" hidden="1" customHeight="1" x14ac:dyDescent="0.35">
      <c r="A2555" s="1">
        <v>2554</v>
      </c>
      <c r="B2555" s="1">
        <v>487</v>
      </c>
      <c r="C2555" s="1">
        <v>12</v>
      </c>
      <c r="D2555" t="str">
        <f>VLOOKUP(B2555,Заказы!A:C,3,0)</f>
        <v>2023-07-07 18:30:00</v>
      </c>
      <c r="E2555" t="str">
        <f>VLOOKUP(C2555,Меню!A:E,4,0)</f>
        <v>Первое</v>
      </c>
      <c r="F2555">
        <f>VLOOKUP(C2555,Меню!A:E,5,0)</f>
        <v>300</v>
      </c>
    </row>
    <row r="2556" spans="1:6" ht="15.75" hidden="1" customHeight="1" x14ac:dyDescent="0.35">
      <c r="A2556" s="1">
        <v>2555</v>
      </c>
      <c r="B2556" s="1">
        <v>487</v>
      </c>
      <c r="C2556" s="1">
        <v>45</v>
      </c>
      <c r="D2556" t="str">
        <f>VLOOKUP(B2556,Заказы!A:C,3,0)</f>
        <v>2023-07-07 18:30:00</v>
      </c>
      <c r="E2556" t="str">
        <f>VLOOKUP(C2556,Меню!A:E,4,0)</f>
        <v>Суши</v>
      </c>
      <c r="F2556">
        <f>VLOOKUP(C2556,Меню!A:E,5,0)</f>
        <v>200</v>
      </c>
    </row>
    <row r="2557" spans="1:6" ht="15.75" hidden="1" customHeight="1" x14ac:dyDescent="0.35">
      <c r="A2557" s="1">
        <v>2556</v>
      </c>
      <c r="B2557" s="1">
        <v>487</v>
      </c>
      <c r="C2557" s="1">
        <v>18</v>
      </c>
      <c r="D2557" t="str">
        <f>VLOOKUP(B2557,Заказы!A:C,3,0)</f>
        <v>2023-07-07 18:30:00</v>
      </c>
      <c r="E2557" t="str">
        <f>VLOOKUP(C2557,Меню!A:E,4,0)</f>
        <v>Первое</v>
      </c>
      <c r="F2557">
        <f>VLOOKUP(C2557,Меню!A:E,5,0)</f>
        <v>300</v>
      </c>
    </row>
    <row r="2558" spans="1:6" ht="15.75" hidden="1" customHeight="1" x14ac:dyDescent="0.35">
      <c r="A2558" s="1">
        <v>2557</v>
      </c>
      <c r="B2558" s="1">
        <v>488</v>
      </c>
      <c r="C2558" s="1">
        <v>12</v>
      </c>
      <c r="D2558" t="str">
        <f>VLOOKUP(B2558,Заказы!A:C,3,0)</f>
        <v>2023-07-07 19:38:00</v>
      </c>
      <c r="E2558" t="str">
        <f>VLOOKUP(C2558,Меню!A:E,4,0)</f>
        <v>Первое</v>
      </c>
      <c r="F2558">
        <f>VLOOKUP(C2558,Меню!A:E,5,0)</f>
        <v>300</v>
      </c>
    </row>
    <row r="2559" spans="1:6" ht="15.75" hidden="1" customHeight="1" x14ac:dyDescent="0.35">
      <c r="A2559" s="1">
        <v>2558</v>
      </c>
      <c r="B2559" s="1">
        <v>488</v>
      </c>
      <c r="C2559" s="1">
        <v>58</v>
      </c>
      <c r="D2559" t="str">
        <f>VLOOKUP(B2559,Заказы!A:C,3,0)</f>
        <v>2023-07-07 19:38:00</v>
      </c>
      <c r="E2559" t="str">
        <f>VLOOKUP(C2559,Меню!A:E,4,0)</f>
        <v>Суши</v>
      </c>
      <c r="F2559">
        <f>VLOOKUP(C2559,Меню!A:E,5,0)</f>
        <v>200</v>
      </c>
    </row>
    <row r="2560" spans="1:6" ht="15.75" hidden="1" customHeight="1" x14ac:dyDescent="0.35">
      <c r="A2560" s="1">
        <v>2559</v>
      </c>
      <c r="B2560" s="1">
        <v>488</v>
      </c>
      <c r="C2560" s="1">
        <v>29</v>
      </c>
      <c r="D2560" t="str">
        <f>VLOOKUP(B2560,Заказы!A:C,3,0)</f>
        <v>2023-07-07 19:38:00</v>
      </c>
      <c r="E2560" t="str">
        <f>VLOOKUP(C2560,Меню!A:E,4,0)</f>
        <v>Салат</v>
      </c>
      <c r="F2560">
        <f>VLOOKUP(C2560,Меню!A:E,5,0)</f>
        <v>250</v>
      </c>
    </row>
    <row r="2561" spans="1:6" ht="15.75" hidden="1" customHeight="1" x14ac:dyDescent="0.35">
      <c r="A2561" s="1">
        <v>2560</v>
      </c>
      <c r="B2561" s="1">
        <v>488</v>
      </c>
      <c r="C2561" s="1">
        <v>28</v>
      </c>
      <c r="D2561" t="str">
        <f>VLOOKUP(B2561,Заказы!A:C,3,0)</f>
        <v>2023-07-07 19:38:00</v>
      </c>
      <c r="E2561" t="str">
        <f>VLOOKUP(C2561,Меню!A:E,4,0)</f>
        <v>Салат</v>
      </c>
      <c r="F2561">
        <f>VLOOKUP(C2561,Меню!A:E,5,0)</f>
        <v>250</v>
      </c>
    </row>
    <row r="2562" spans="1:6" ht="15.75" hidden="1" customHeight="1" x14ac:dyDescent="0.35">
      <c r="A2562" s="1">
        <v>2561</v>
      </c>
      <c r="B2562" s="1">
        <v>488</v>
      </c>
      <c r="C2562" s="1">
        <v>9</v>
      </c>
      <c r="D2562" t="str">
        <f>VLOOKUP(B2562,Заказы!A:C,3,0)</f>
        <v>2023-07-07 19:38:00</v>
      </c>
      <c r="E2562" t="str">
        <f>VLOOKUP(C2562,Меню!A:E,4,0)</f>
        <v>Завтрак</v>
      </c>
      <c r="F2562">
        <f>VLOOKUP(C2562,Меню!A:E,5,0)</f>
        <v>220</v>
      </c>
    </row>
    <row r="2563" spans="1:6" ht="15.75" hidden="1" customHeight="1" x14ac:dyDescent="0.35">
      <c r="A2563" s="1">
        <v>2562</v>
      </c>
      <c r="B2563" s="1">
        <v>488</v>
      </c>
      <c r="C2563" s="1">
        <v>46</v>
      </c>
      <c r="D2563" t="str">
        <f>VLOOKUP(B2563,Заказы!A:C,3,0)</f>
        <v>2023-07-07 19:38:00</v>
      </c>
      <c r="E2563" t="str">
        <f>VLOOKUP(C2563,Меню!A:E,4,0)</f>
        <v>Суши</v>
      </c>
      <c r="F2563">
        <f>VLOOKUP(C2563,Меню!A:E,5,0)</f>
        <v>200</v>
      </c>
    </row>
    <row r="2564" spans="1:6" ht="15.75" hidden="1" customHeight="1" x14ac:dyDescent="0.35">
      <c r="A2564" s="1">
        <v>2563</v>
      </c>
      <c r="B2564" s="1">
        <v>488</v>
      </c>
      <c r="C2564" s="1">
        <v>44</v>
      </c>
      <c r="D2564" t="str">
        <f>VLOOKUP(B2564,Заказы!A:C,3,0)</f>
        <v>2023-07-07 19:38:00</v>
      </c>
      <c r="E2564" t="str">
        <f>VLOOKUP(C2564,Меню!A:E,4,0)</f>
        <v>Суши</v>
      </c>
      <c r="F2564">
        <f>VLOOKUP(C2564,Меню!A:E,5,0)</f>
        <v>250</v>
      </c>
    </row>
    <row r="2565" spans="1:6" ht="15.75" hidden="1" customHeight="1" x14ac:dyDescent="0.35">
      <c r="A2565" s="1">
        <v>2564</v>
      </c>
      <c r="B2565" s="1">
        <v>488</v>
      </c>
      <c r="C2565" s="1">
        <v>8</v>
      </c>
      <c r="D2565" t="str">
        <f>VLOOKUP(B2565,Заказы!A:C,3,0)</f>
        <v>2023-07-07 19:38:00</v>
      </c>
      <c r="E2565" t="str">
        <f>VLOOKUP(C2565,Меню!A:E,4,0)</f>
        <v>Завтрак</v>
      </c>
      <c r="F2565">
        <f>VLOOKUP(C2565,Меню!A:E,5,0)</f>
        <v>180</v>
      </c>
    </row>
    <row r="2566" spans="1:6" ht="15.75" hidden="1" customHeight="1" x14ac:dyDescent="0.35">
      <c r="A2566" s="1">
        <v>2565</v>
      </c>
      <c r="B2566" s="1">
        <v>489</v>
      </c>
      <c r="C2566" s="1">
        <v>39</v>
      </c>
      <c r="D2566" t="str">
        <f>VLOOKUP(B2566,Заказы!A:C,3,0)</f>
        <v>2023-07-07 20:12:00</v>
      </c>
      <c r="E2566" t="str">
        <f>VLOOKUP(C2566,Меню!A:E,4,0)</f>
        <v>Десерт</v>
      </c>
      <c r="F2566">
        <f>VLOOKUP(C2566,Меню!A:E,5,0)</f>
        <v>150</v>
      </c>
    </row>
    <row r="2567" spans="1:6" ht="15.75" hidden="1" customHeight="1" x14ac:dyDescent="0.35">
      <c r="A2567" s="1">
        <v>2566</v>
      </c>
      <c r="B2567" s="1">
        <v>489</v>
      </c>
      <c r="C2567" s="1">
        <v>34</v>
      </c>
      <c r="D2567" t="str">
        <f>VLOOKUP(B2567,Заказы!A:C,3,0)</f>
        <v>2023-07-07 20:12:00</v>
      </c>
      <c r="E2567" t="str">
        <f>VLOOKUP(C2567,Меню!A:E,4,0)</f>
        <v>Десерт</v>
      </c>
      <c r="F2567">
        <f>VLOOKUP(C2567,Меню!A:E,5,0)</f>
        <v>150</v>
      </c>
    </row>
    <row r="2568" spans="1:6" ht="15.75" hidden="1" customHeight="1" x14ac:dyDescent="0.35">
      <c r="A2568" s="1">
        <v>2567</v>
      </c>
      <c r="B2568" s="1">
        <v>489</v>
      </c>
      <c r="C2568" s="1">
        <v>11</v>
      </c>
      <c r="D2568" t="str">
        <f>VLOOKUP(B2568,Заказы!A:C,3,0)</f>
        <v>2023-07-07 20:12:00</v>
      </c>
      <c r="E2568" t="str">
        <f>VLOOKUP(C2568,Меню!A:E,4,0)</f>
        <v>Первое</v>
      </c>
      <c r="F2568">
        <f>VLOOKUP(C2568,Меню!A:E,5,0)</f>
        <v>300</v>
      </c>
    </row>
    <row r="2569" spans="1:6" ht="15.75" hidden="1" customHeight="1" x14ac:dyDescent="0.35">
      <c r="A2569" s="1">
        <v>2568</v>
      </c>
      <c r="B2569" s="1">
        <v>489</v>
      </c>
      <c r="C2569" s="1">
        <v>9</v>
      </c>
      <c r="D2569" t="str">
        <f>VLOOKUP(B2569,Заказы!A:C,3,0)</f>
        <v>2023-07-07 20:12:00</v>
      </c>
      <c r="E2569" t="str">
        <f>VLOOKUP(C2569,Меню!A:E,4,0)</f>
        <v>Завтрак</v>
      </c>
      <c r="F2569">
        <f>VLOOKUP(C2569,Меню!A:E,5,0)</f>
        <v>220</v>
      </c>
    </row>
    <row r="2570" spans="1:6" ht="15.75" hidden="1" customHeight="1" x14ac:dyDescent="0.35">
      <c r="A2570" s="1">
        <v>2569</v>
      </c>
      <c r="B2570" s="1">
        <v>489</v>
      </c>
      <c r="C2570" s="1">
        <v>43</v>
      </c>
      <c r="D2570" t="str">
        <f>VLOOKUP(B2570,Заказы!A:C,3,0)</f>
        <v>2023-07-07 20:12:00</v>
      </c>
      <c r="E2570" t="str">
        <f>VLOOKUP(C2570,Меню!A:E,4,0)</f>
        <v>Суши</v>
      </c>
      <c r="F2570">
        <f>VLOOKUP(C2570,Меню!A:E,5,0)</f>
        <v>250</v>
      </c>
    </row>
    <row r="2571" spans="1:6" ht="15.75" hidden="1" customHeight="1" x14ac:dyDescent="0.35">
      <c r="A2571" s="1">
        <v>2570</v>
      </c>
      <c r="B2571" s="1">
        <v>490</v>
      </c>
      <c r="C2571" s="1">
        <v>47</v>
      </c>
      <c r="D2571" t="str">
        <f>VLOOKUP(B2571,Заказы!A:C,3,0)</f>
        <v>2023-07-08 15:36:00</v>
      </c>
      <c r="E2571" t="str">
        <f>VLOOKUP(C2571,Меню!A:E,4,0)</f>
        <v>Суши</v>
      </c>
      <c r="F2571">
        <f>VLOOKUP(C2571,Меню!A:E,5,0)</f>
        <v>200</v>
      </c>
    </row>
    <row r="2572" spans="1:6" ht="15.75" hidden="1" customHeight="1" x14ac:dyDescent="0.35">
      <c r="A2572" s="1">
        <v>2571</v>
      </c>
      <c r="B2572" s="1">
        <v>490</v>
      </c>
      <c r="C2572" s="1">
        <v>27</v>
      </c>
      <c r="D2572" t="str">
        <f>VLOOKUP(B2572,Заказы!A:C,3,0)</f>
        <v>2023-07-08 15:36:00</v>
      </c>
      <c r="E2572" t="str">
        <f>VLOOKUP(C2572,Меню!A:E,4,0)</f>
        <v>Салат</v>
      </c>
      <c r="F2572">
        <f>VLOOKUP(C2572,Меню!A:E,5,0)</f>
        <v>250</v>
      </c>
    </row>
    <row r="2573" spans="1:6" ht="15.75" hidden="1" customHeight="1" x14ac:dyDescent="0.35">
      <c r="A2573" s="1">
        <v>2572</v>
      </c>
      <c r="B2573" s="1">
        <v>490</v>
      </c>
      <c r="C2573" s="1">
        <v>3</v>
      </c>
      <c r="D2573" t="str">
        <f>VLOOKUP(B2573,Заказы!A:C,3,0)</f>
        <v>2023-07-08 15:36:00</v>
      </c>
      <c r="E2573" t="str">
        <f>VLOOKUP(C2573,Меню!A:E,4,0)</f>
        <v>Завтрак</v>
      </c>
      <c r="F2573">
        <f>VLOOKUP(C2573,Меню!A:E,5,0)</f>
        <v>150</v>
      </c>
    </row>
    <row r="2574" spans="1:6" ht="15.75" hidden="1" customHeight="1" x14ac:dyDescent="0.35">
      <c r="A2574" s="1">
        <v>2573</v>
      </c>
      <c r="B2574" s="1">
        <v>490</v>
      </c>
      <c r="C2574" s="1">
        <v>21</v>
      </c>
      <c r="D2574" t="str">
        <f>VLOOKUP(B2574,Заказы!A:C,3,0)</f>
        <v>2023-07-08 15:36:00</v>
      </c>
      <c r="E2574" t="str">
        <f>VLOOKUP(C2574,Меню!A:E,4,0)</f>
        <v>Салат</v>
      </c>
      <c r="F2574">
        <f>VLOOKUP(C2574,Меню!A:E,5,0)</f>
        <v>250</v>
      </c>
    </row>
    <row r="2575" spans="1:6" ht="15.75" hidden="1" customHeight="1" x14ac:dyDescent="0.35">
      <c r="A2575" s="1">
        <v>2574</v>
      </c>
      <c r="B2575" s="1">
        <v>490</v>
      </c>
      <c r="C2575" s="1">
        <v>32</v>
      </c>
      <c r="D2575" t="str">
        <f>VLOOKUP(B2575,Заказы!A:C,3,0)</f>
        <v>2023-07-08 15:36:00</v>
      </c>
      <c r="E2575" t="str">
        <f>VLOOKUP(C2575,Меню!A:E,4,0)</f>
        <v>Десерт</v>
      </c>
      <c r="F2575">
        <f>VLOOKUP(C2575,Меню!A:E,5,0)</f>
        <v>150</v>
      </c>
    </row>
    <row r="2576" spans="1:6" ht="15.75" hidden="1" customHeight="1" x14ac:dyDescent="0.35">
      <c r="A2576" s="1">
        <v>2575</v>
      </c>
      <c r="B2576" s="1">
        <v>490</v>
      </c>
      <c r="C2576" s="1">
        <v>46</v>
      </c>
      <c r="D2576" t="str">
        <f>VLOOKUP(B2576,Заказы!A:C,3,0)</f>
        <v>2023-07-08 15:36:00</v>
      </c>
      <c r="E2576" t="str">
        <f>VLOOKUP(C2576,Меню!A:E,4,0)</f>
        <v>Суши</v>
      </c>
      <c r="F2576">
        <f>VLOOKUP(C2576,Меню!A:E,5,0)</f>
        <v>200</v>
      </c>
    </row>
    <row r="2577" spans="1:6" ht="15.75" hidden="1" customHeight="1" x14ac:dyDescent="0.35">
      <c r="A2577" s="1">
        <v>2576</v>
      </c>
      <c r="B2577" s="1">
        <v>490</v>
      </c>
      <c r="C2577" s="1">
        <v>11</v>
      </c>
      <c r="D2577" t="str">
        <f>VLOOKUP(B2577,Заказы!A:C,3,0)</f>
        <v>2023-07-08 15:36:00</v>
      </c>
      <c r="E2577" t="str">
        <f>VLOOKUP(C2577,Меню!A:E,4,0)</f>
        <v>Первое</v>
      </c>
      <c r="F2577">
        <f>VLOOKUP(C2577,Меню!A:E,5,0)</f>
        <v>300</v>
      </c>
    </row>
    <row r="2578" spans="1:6" ht="15.75" hidden="1" customHeight="1" x14ac:dyDescent="0.35">
      <c r="A2578" s="1">
        <v>2577</v>
      </c>
      <c r="B2578" s="1">
        <v>490</v>
      </c>
      <c r="C2578" s="1">
        <v>19</v>
      </c>
      <c r="D2578" t="str">
        <f>VLOOKUP(B2578,Заказы!A:C,3,0)</f>
        <v>2023-07-08 15:36:00</v>
      </c>
      <c r="E2578" t="str">
        <f>VLOOKUP(C2578,Меню!A:E,4,0)</f>
        <v>Первое</v>
      </c>
      <c r="F2578">
        <f>VLOOKUP(C2578,Меню!A:E,5,0)</f>
        <v>300</v>
      </c>
    </row>
    <row r="2579" spans="1:6" ht="15.75" hidden="1" customHeight="1" x14ac:dyDescent="0.35">
      <c r="A2579" s="1">
        <v>2578</v>
      </c>
      <c r="B2579" s="1">
        <v>490</v>
      </c>
      <c r="C2579" s="1">
        <v>21</v>
      </c>
      <c r="D2579" t="str">
        <f>VLOOKUP(B2579,Заказы!A:C,3,0)</f>
        <v>2023-07-08 15:36:00</v>
      </c>
      <c r="E2579" t="str">
        <f>VLOOKUP(C2579,Меню!A:E,4,0)</f>
        <v>Салат</v>
      </c>
      <c r="F2579">
        <f>VLOOKUP(C2579,Меню!A:E,5,0)</f>
        <v>250</v>
      </c>
    </row>
    <row r="2580" spans="1:6" ht="15.75" hidden="1" customHeight="1" x14ac:dyDescent="0.35">
      <c r="A2580" s="1">
        <v>2579</v>
      </c>
      <c r="B2580" s="1">
        <v>490</v>
      </c>
      <c r="C2580" s="1">
        <v>6</v>
      </c>
      <c r="D2580" t="str">
        <f>VLOOKUP(B2580,Заказы!A:C,3,0)</f>
        <v>2023-07-08 15:36:00</v>
      </c>
      <c r="E2580" t="str">
        <f>VLOOKUP(C2580,Меню!A:E,4,0)</f>
        <v>Завтрак</v>
      </c>
      <c r="F2580">
        <f>VLOOKUP(C2580,Меню!A:E,5,0)</f>
        <v>300</v>
      </c>
    </row>
    <row r="2581" spans="1:6" ht="15.75" hidden="1" customHeight="1" x14ac:dyDescent="0.35">
      <c r="A2581" s="1">
        <v>2580</v>
      </c>
      <c r="B2581" s="1">
        <v>490</v>
      </c>
      <c r="C2581" s="1">
        <v>15</v>
      </c>
      <c r="D2581" t="str">
        <f>VLOOKUP(B2581,Заказы!A:C,3,0)</f>
        <v>2023-07-08 15:36:00</v>
      </c>
      <c r="E2581" t="str">
        <f>VLOOKUP(C2581,Меню!A:E,4,0)</f>
        <v>Первое</v>
      </c>
      <c r="F2581">
        <f>VLOOKUP(C2581,Меню!A:E,5,0)</f>
        <v>250</v>
      </c>
    </row>
    <row r="2582" spans="1:6" ht="15.75" hidden="1" customHeight="1" x14ac:dyDescent="0.35">
      <c r="A2582" s="1">
        <v>2581</v>
      </c>
      <c r="B2582" s="1">
        <v>491</v>
      </c>
      <c r="C2582" s="1">
        <v>16</v>
      </c>
      <c r="D2582" t="str">
        <f>VLOOKUP(B2582,Заказы!A:C,3,0)</f>
        <v>2023-07-09 16:06:00</v>
      </c>
      <c r="E2582" t="str">
        <f>VLOOKUP(C2582,Меню!A:E,4,0)</f>
        <v>Первое</v>
      </c>
      <c r="F2582">
        <f>VLOOKUP(C2582,Меню!A:E,5,0)</f>
        <v>250</v>
      </c>
    </row>
    <row r="2583" spans="1:6" ht="15.75" hidden="1" customHeight="1" x14ac:dyDescent="0.35">
      <c r="A2583" s="1">
        <v>2582</v>
      </c>
      <c r="B2583" s="1">
        <v>491</v>
      </c>
      <c r="C2583" s="1">
        <v>11</v>
      </c>
      <c r="D2583" t="str">
        <f>VLOOKUP(B2583,Заказы!A:C,3,0)</f>
        <v>2023-07-09 16:06:00</v>
      </c>
      <c r="E2583" t="str">
        <f>VLOOKUP(C2583,Меню!A:E,4,0)</f>
        <v>Первое</v>
      </c>
      <c r="F2583">
        <f>VLOOKUP(C2583,Меню!A:E,5,0)</f>
        <v>300</v>
      </c>
    </row>
    <row r="2584" spans="1:6" ht="15.75" hidden="1" customHeight="1" x14ac:dyDescent="0.35">
      <c r="A2584" s="1">
        <v>2583</v>
      </c>
      <c r="B2584" s="1">
        <v>492</v>
      </c>
      <c r="C2584" s="1">
        <v>54</v>
      </c>
      <c r="D2584" t="str">
        <f>VLOOKUP(B2584,Заказы!A:C,3,0)</f>
        <v>2023-07-09 20:32:00</v>
      </c>
      <c r="E2584" t="str">
        <f>VLOOKUP(C2584,Меню!A:E,4,0)</f>
        <v>Суши</v>
      </c>
      <c r="F2584">
        <f>VLOOKUP(C2584,Меню!A:E,5,0)</f>
        <v>100</v>
      </c>
    </row>
    <row r="2585" spans="1:6" ht="15.75" hidden="1" customHeight="1" x14ac:dyDescent="0.35">
      <c r="A2585" s="1">
        <v>2584</v>
      </c>
      <c r="B2585" s="1">
        <v>492</v>
      </c>
      <c r="C2585" s="1">
        <v>44</v>
      </c>
      <c r="D2585" t="str">
        <f>VLOOKUP(B2585,Заказы!A:C,3,0)</f>
        <v>2023-07-09 20:32:00</v>
      </c>
      <c r="E2585" t="str">
        <f>VLOOKUP(C2585,Меню!A:E,4,0)</f>
        <v>Суши</v>
      </c>
      <c r="F2585">
        <f>VLOOKUP(C2585,Меню!A:E,5,0)</f>
        <v>250</v>
      </c>
    </row>
    <row r="2586" spans="1:6" ht="15.75" hidden="1" customHeight="1" x14ac:dyDescent="0.35">
      <c r="A2586" s="1">
        <v>2585</v>
      </c>
      <c r="B2586" s="1">
        <v>492</v>
      </c>
      <c r="C2586" s="1">
        <v>17</v>
      </c>
      <c r="D2586" t="str">
        <f>VLOOKUP(B2586,Заказы!A:C,3,0)</f>
        <v>2023-07-09 20:32:00</v>
      </c>
      <c r="E2586" t="str">
        <f>VLOOKUP(C2586,Меню!A:E,4,0)</f>
        <v>Первое</v>
      </c>
      <c r="F2586">
        <f>VLOOKUP(C2586,Меню!A:E,5,0)</f>
        <v>250</v>
      </c>
    </row>
    <row r="2587" spans="1:6" ht="15.75" hidden="1" customHeight="1" x14ac:dyDescent="0.35">
      <c r="A2587" s="1">
        <v>2586</v>
      </c>
      <c r="B2587" s="1">
        <v>492</v>
      </c>
      <c r="C2587" s="1">
        <v>60</v>
      </c>
      <c r="D2587" t="str">
        <f>VLOOKUP(B2587,Заказы!A:C,3,0)</f>
        <v>2023-07-09 20:32:00</v>
      </c>
      <c r="E2587" t="str">
        <f>VLOOKUP(C2587,Меню!A:E,4,0)</f>
        <v>Суши</v>
      </c>
      <c r="F2587">
        <f>VLOOKUP(C2587,Меню!A:E,5,0)</f>
        <v>250</v>
      </c>
    </row>
    <row r="2588" spans="1:6" ht="15.75" hidden="1" customHeight="1" x14ac:dyDescent="0.35">
      <c r="A2588" s="1">
        <v>2587</v>
      </c>
      <c r="B2588" s="1">
        <v>493</v>
      </c>
      <c r="C2588" s="1">
        <v>19</v>
      </c>
      <c r="D2588" t="str">
        <f>VLOOKUP(B2588,Заказы!A:C,3,0)</f>
        <v>2023-07-09 20:47:00</v>
      </c>
      <c r="E2588" t="str">
        <f>VLOOKUP(C2588,Меню!A:E,4,0)</f>
        <v>Первое</v>
      </c>
      <c r="F2588">
        <f>VLOOKUP(C2588,Меню!A:E,5,0)</f>
        <v>300</v>
      </c>
    </row>
    <row r="2589" spans="1:6" ht="15.75" hidden="1" customHeight="1" x14ac:dyDescent="0.35">
      <c r="A2589" s="1">
        <v>2588</v>
      </c>
      <c r="B2589" s="1">
        <v>493</v>
      </c>
      <c r="C2589" s="1">
        <v>26</v>
      </c>
      <c r="D2589" t="str">
        <f>VLOOKUP(B2589,Заказы!A:C,3,0)</f>
        <v>2023-07-09 20:47:00</v>
      </c>
      <c r="E2589" t="str">
        <f>VLOOKUP(C2589,Меню!A:E,4,0)</f>
        <v>Салат</v>
      </c>
      <c r="F2589">
        <f>VLOOKUP(C2589,Меню!A:E,5,0)</f>
        <v>250</v>
      </c>
    </row>
    <row r="2590" spans="1:6" ht="15.75" hidden="1" customHeight="1" x14ac:dyDescent="0.35">
      <c r="A2590" s="1">
        <v>2589</v>
      </c>
      <c r="B2590" s="1">
        <v>493</v>
      </c>
      <c r="C2590" s="1">
        <v>14</v>
      </c>
      <c r="D2590" t="str">
        <f>VLOOKUP(B2590,Заказы!A:C,3,0)</f>
        <v>2023-07-09 20:47:00</v>
      </c>
      <c r="E2590" t="str">
        <f>VLOOKUP(C2590,Меню!A:E,4,0)</f>
        <v>Первое</v>
      </c>
      <c r="F2590">
        <f>VLOOKUP(C2590,Меню!A:E,5,0)</f>
        <v>350</v>
      </c>
    </row>
    <row r="2591" spans="1:6" ht="15.75" hidden="1" customHeight="1" x14ac:dyDescent="0.35">
      <c r="A2591" s="1">
        <v>2590</v>
      </c>
      <c r="B2591" s="1">
        <v>493</v>
      </c>
      <c r="C2591" s="1">
        <v>43</v>
      </c>
      <c r="D2591" t="str">
        <f>VLOOKUP(B2591,Заказы!A:C,3,0)</f>
        <v>2023-07-09 20:47:00</v>
      </c>
      <c r="E2591" t="str">
        <f>VLOOKUP(C2591,Меню!A:E,4,0)</f>
        <v>Суши</v>
      </c>
      <c r="F2591">
        <f>VLOOKUP(C2591,Меню!A:E,5,0)</f>
        <v>250</v>
      </c>
    </row>
    <row r="2592" spans="1:6" ht="15.75" hidden="1" customHeight="1" x14ac:dyDescent="0.35">
      <c r="A2592" s="1">
        <v>2591</v>
      </c>
      <c r="B2592" s="1">
        <v>493</v>
      </c>
      <c r="C2592" s="1">
        <v>30</v>
      </c>
      <c r="D2592" t="str">
        <f>VLOOKUP(B2592,Заказы!A:C,3,0)</f>
        <v>2023-07-09 20:47:00</v>
      </c>
      <c r="E2592" t="str">
        <f>VLOOKUP(C2592,Меню!A:E,4,0)</f>
        <v>Салат</v>
      </c>
      <c r="F2592">
        <f>VLOOKUP(C2592,Меню!A:E,5,0)</f>
        <v>250</v>
      </c>
    </row>
    <row r="2593" spans="1:6" ht="15.75" hidden="1" customHeight="1" x14ac:dyDescent="0.35">
      <c r="A2593" s="1">
        <v>2592</v>
      </c>
      <c r="B2593" s="1">
        <v>493</v>
      </c>
      <c r="C2593" s="1">
        <v>1</v>
      </c>
      <c r="D2593" t="str">
        <f>VLOOKUP(B2593,Заказы!A:C,3,0)</f>
        <v>2023-07-09 20:47:00</v>
      </c>
      <c r="E2593" t="str">
        <f>VLOOKUP(C2593,Меню!A:E,4,0)</f>
        <v>Завтрак</v>
      </c>
      <c r="F2593">
        <f>VLOOKUP(C2593,Меню!A:E,5,0)</f>
        <v>200</v>
      </c>
    </row>
    <row r="2594" spans="1:6" ht="15.75" hidden="1" customHeight="1" x14ac:dyDescent="0.35">
      <c r="A2594" s="1">
        <v>2593</v>
      </c>
      <c r="B2594" s="1">
        <v>493</v>
      </c>
      <c r="C2594" s="1">
        <v>35</v>
      </c>
      <c r="D2594" t="str">
        <f>VLOOKUP(B2594,Заказы!A:C,3,0)</f>
        <v>2023-07-09 20:47:00</v>
      </c>
      <c r="E2594" t="str">
        <f>VLOOKUP(C2594,Меню!A:E,4,0)</f>
        <v>Десерт</v>
      </c>
      <c r="F2594">
        <f>VLOOKUP(C2594,Меню!A:E,5,0)</f>
        <v>150</v>
      </c>
    </row>
    <row r="2595" spans="1:6" ht="15.75" hidden="1" customHeight="1" x14ac:dyDescent="0.35">
      <c r="A2595" s="1">
        <v>2594</v>
      </c>
      <c r="B2595" s="1">
        <v>494</v>
      </c>
      <c r="C2595" s="1">
        <v>39</v>
      </c>
      <c r="D2595" t="str">
        <f>VLOOKUP(B2595,Заказы!A:C,3,0)</f>
        <v>2023-07-10 15:57:00</v>
      </c>
      <c r="E2595" t="str">
        <f>VLOOKUP(C2595,Меню!A:E,4,0)</f>
        <v>Десерт</v>
      </c>
      <c r="F2595">
        <f>VLOOKUP(C2595,Меню!A:E,5,0)</f>
        <v>150</v>
      </c>
    </row>
    <row r="2596" spans="1:6" ht="15.75" hidden="1" customHeight="1" x14ac:dyDescent="0.35">
      <c r="A2596" s="1">
        <v>2595</v>
      </c>
      <c r="B2596" s="1">
        <v>494</v>
      </c>
      <c r="C2596" s="1">
        <v>55</v>
      </c>
      <c r="D2596" t="str">
        <f>VLOOKUP(B2596,Заказы!A:C,3,0)</f>
        <v>2023-07-10 15:57:00</v>
      </c>
      <c r="E2596" t="str">
        <f>VLOOKUP(C2596,Меню!A:E,4,0)</f>
        <v>Суши</v>
      </c>
      <c r="F2596">
        <f>VLOOKUP(C2596,Меню!A:E,5,0)</f>
        <v>100</v>
      </c>
    </row>
    <row r="2597" spans="1:6" ht="15.75" hidden="1" customHeight="1" x14ac:dyDescent="0.35">
      <c r="A2597" s="1">
        <v>2596</v>
      </c>
      <c r="B2597" s="1">
        <v>494</v>
      </c>
      <c r="C2597" s="1">
        <v>23</v>
      </c>
      <c r="D2597" t="str">
        <f>VLOOKUP(B2597,Заказы!A:C,3,0)</f>
        <v>2023-07-10 15:57:00</v>
      </c>
      <c r="E2597" t="str">
        <f>VLOOKUP(C2597,Меню!A:E,4,0)</f>
        <v>Салат</v>
      </c>
      <c r="F2597">
        <f>VLOOKUP(C2597,Меню!A:E,5,0)</f>
        <v>250</v>
      </c>
    </row>
    <row r="2598" spans="1:6" ht="15.75" hidden="1" customHeight="1" x14ac:dyDescent="0.35">
      <c r="A2598" s="1">
        <v>2597</v>
      </c>
      <c r="B2598" s="1">
        <v>494</v>
      </c>
      <c r="C2598" s="1">
        <v>24</v>
      </c>
      <c r="D2598" t="str">
        <f>VLOOKUP(B2598,Заказы!A:C,3,0)</f>
        <v>2023-07-10 15:57:00</v>
      </c>
      <c r="E2598" t="str">
        <f>VLOOKUP(C2598,Меню!A:E,4,0)</f>
        <v>Салат</v>
      </c>
      <c r="F2598">
        <f>VLOOKUP(C2598,Меню!A:E,5,0)</f>
        <v>250</v>
      </c>
    </row>
    <row r="2599" spans="1:6" ht="15.75" hidden="1" customHeight="1" x14ac:dyDescent="0.35">
      <c r="A2599" s="1">
        <v>2598</v>
      </c>
      <c r="B2599" s="1">
        <v>494</v>
      </c>
      <c r="C2599" s="1">
        <v>39</v>
      </c>
      <c r="D2599" t="str">
        <f>VLOOKUP(B2599,Заказы!A:C,3,0)</f>
        <v>2023-07-10 15:57:00</v>
      </c>
      <c r="E2599" t="str">
        <f>VLOOKUP(C2599,Меню!A:E,4,0)</f>
        <v>Десерт</v>
      </c>
      <c r="F2599">
        <f>VLOOKUP(C2599,Меню!A:E,5,0)</f>
        <v>150</v>
      </c>
    </row>
    <row r="2600" spans="1:6" ht="15.75" hidden="1" customHeight="1" x14ac:dyDescent="0.35">
      <c r="A2600" s="1">
        <v>2599</v>
      </c>
      <c r="B2600" s="1">
        <v>495</v>
      </c>
      <c r="C2600" s="1">
        <v>51</v>
      </c>
      <c r="D2600" t="str">
        <f>VLOOKUP(B2600,Заказы!A:C,3,0)</f>
        <v>2023-07-10 18:08:00</v>
      </c>
      <c r="E2600" t="str">
        <f>VLOOKUP(C2600,Меню!A:E,4,0)</f>
        <v>Суши</v>
      </c>
      <c r="F2600">
        <f>VLOOKUP(C2600,Меню!A:E,5,0)</f>
        <v>100</v>
      </c>
    </row>
    <row r="2601" spans="1:6" ht="15.75" hidden="1" customHeight="1" x14ac:dyDescent="0.35">
      <c r="A2601" s="1">
        <v>2600</v>
      </c>
      <c r="B2601" s="1">
        <v>495</v>
      </c>
      <c r="C2601" s="1">
        <v>54</v>
      </c>
      <c r="D2601" t="str">
        <f>VLOOKUP(B2601,Заказы!A:C,3,0)</f>
        <v>2023-07-10 18:08:00</v>
      </c>
      <c r="E2601" t="str">
        <f>VLOOKUP(C2601,Меню!A:E,4,0)</f>
        <v>Суши</v>
      </c>
      <c r="F2601">
        <f>VLOOKUP(C2601,Меню!A:E,5,0)</f>
        <v>100</v>
      </c>
    </row>
    <row r="2602" spans="1:6" ht="15.75" hidden="1" customHeight="1" x14ac:dyDescent="0.35">
      <c r="A2602" s="1">
        <v>2601</v>
      </c>
      <c r="B2602" s="1">
        <v>495</v>
      </c>
      <c r="C2602" s="1">
        <v>30</v>
      </c>
      <c r="D2602" t="str">
        <f>VLOOKUP(B2602,Заказы!A:C,3,0)</f>
        <v>2023-07-10 18:08:00</v>
      </c>
      <c r="E2602" t="str">
        <f>VLOOKUP(C2602,Меню!A:E,4,0)</f>
        <v>Салат</v>
      </c>
      <c r="F2602">
        <f>VLOOKUP(C2602,Меню!A:E,5,0)</f>
        <v>250</v>
      </c>
    </row>
    <row r="2603" spans="1:6" ht="15.75" hidden="1" customHeight="1" x14ac:dyDescent="0.35">
      <c r="A2603" s="1">
        <v>2602</v>
      </c>
      <c r="B2603" s="1">
        <v>496</v>
      </c>
      <c r="C2603" s="1">
        <v>33</v>
      </c>
      <c r="D2603" t="str">
        <f>VLOOKUP(B2603,Заказы!A:C,3,0)</f>
        <v>2023-07-10 18:11:00</v>
      </c>
      <c r="E2603" t="str">
        <f>VLOOKUP(C2603,Меню!A:E,4,0)</f>
        <v>Десерт</v>
      </c>
      <c r="F2603">
        <f>VLOOKUP(C2603,Меню!A:E,5,0)</f>
        <v>150</v>
      </c>
    </row>
    <row r="2604" spans="1:6" ht="15.75" hidden="1" customHeight="1" x14ac:dyDescent="0.35">
      <c r="A2604" s="1">
        <v>2603</v>
      </c>
      <c r="B2604" s="1">
        <v>496</v>
      </c>
      <c r="C2604" s="1">
        <v>23</v>
      </c>
      <c r="D2604" t="str">
        <f>VLOOKUP(B2604,Заказы!A:C,3,0)</f>
        <v>2023-07-10 18:11:00</v>
      </c>
      <c r="E2604" t="str">
        <f>VLOOKUP(C2604,Меню!A:E,4,0)</f>
        <v>Салат</v>
      </c>
      <c r="F2604">
        <f>VLOOKUP(C2604,Меню!A:E,5,0)</f>
        <v>250</v>
      </c>
    </row>
    <row r="2605" spans="1:6" ht="15.75" hidden="1" customHeight="1" x14ac:dyDescent="0.35">
      <c r="A2605" s="1">
        <v>2604</v>
      </c>
      <c r="B2605" s="1">
        <v>496</v>
      </c>
      <c r="C2605" s="1">
        <v>43</v>
      </c>
      <c r="D2605" t="str">
        <f>VLOOKUP(B2605,Заказы!A:C,3,0)</f>
        <v>2023-07-10 18:11:00</v>
      </c>
      <c r="E2605" t="str">
        <f>VLOOKUP(C2605,Меню!A:E,4,0)</f>
        <v>Суши</v>
      </c>
      <c r="F2605">
        <f>VLOOKUP(C2605,Меню!A:E,5,0)</f>
        <v>250</v>
      </c>
    </row>
    <row r="2606" spans="1:6" ht="15.75" hidden="1" customHeight="1" x14ac:dyDescent="0.35">
      <c r="A2606" s="1">
        <v>2605</v>
      </c>
      <c r="B2606" s="1">
        <v>496</v>
      </c>
      <c r="C2606" s="1">
        <v>17</v>
      </c>
      <c r="D2606" t="str">
        <f>VLOOKUP(B2606,Заказы!A:C,3,0)</f>
        <v>2023-07-10 18:11:00</v>
      </c>
      <c r="E2606" t="str">
        <f>VLOOKUP(C2606,Меню!A:E,4,0)</f>
        <v>Первое</v>
      </c>
      <c r="F2606">
        <f>VLOOKUP(C2606,Меню!A:E,5,0)</f>
        <v>250</v>
      </c>
    </row>
    <row r="2607" spans="1:6" ht="15.75" hidden="1" customHeight="1" x14ac:dyDescent="0.35">
      <c r="A2607" s="1">
        <v>2606</v>
      </c>
      <c r="B2607" s="1">
        <v>496</v>
      </c>
      <c r="C2607" s="1">
        <v>33</v>
      </c>
      <c r="D2607" t="str">
        <f>VLOOKUP(B2607,Заказы!A:C,3,0)</f>
        <v>2023-07-10 18:11:00</v>
      </c>
      <c r="E2607" t="str">
        <f>VLOOKUP(C2607,Меню!A:E,4,0)</f>
        <v>Десерт</v>
      </c>
      <c r="F2607">
        <f>VLOOKUP(C2607,Меню!A:E,5,0)</f>
        <v>150</v>
      </c>
    </row>
    <row r="2608" spans="1:6" ht="15.75" hidden="1" customHeight="1" x14ac:dyDescent="0.35">
      <c r="A2608" s="1">
        <v>2607</v>
      </c>
      <c r="B2608" s="1">
        <v>496</v>
      </c>
      <c r="C2608" s="1">
        <v>46</v>
      </c>
      <c r="D2608" t="str">
        <f>VLOOKUP(B2608,Заказы!A:C,3,0)</f>
        <v>2023-07-10 18:11:00</v>
      </c>
      <c r="E2608" t="str">
        <f>VLOOKUP(C2608,Меню!A:E,4,0)</f>
        <v>Суши</v>
      </c>
      <c r="F2608">
        <f>VLOOKUP(C2608,Меню!A:E,5,0)</f>
        <v>200</v>
      </c>
    </row>
    <row r="2609" spans="1:6" ht="15.75" hidden="1" customHeight="1" x14ac:dyDescent="0.35">
      <c r="A2609" s="1">
        <v>2608</v>
      </c>
      <c r="B2609" s="1">
        <v>497</v>
      </c>
      <c r="C2609" s="1">
        <v>30</v>
      </c>
      <c r="D2609" t="str">
        <f>VLOOKUP(B2609,Заказы!A:C,3,0)</f>
        <v>2023-07-10 19:29:00</v>
      </c>
      <c r="E2609" t="str">
        <f>VLOOKUP(C2609,Меню!A:E,4,0)</f>
        <v>Салат</v>
      </c>
      <c r="F2609">
        <f>VLOOKUP(C2609,Меню!A:E,5,0)</f>
        <v>250</v>
      </c>
    </row>
    <row r="2610" spans="1:6" ht="15.75" hidden="1" customHeight="1" x14ac:dyDescent="0.35">
      <c r="A2610" s="1">
        <v>2609</v>
      </c>
      <c r="B2610" s="1">
        <v>497</v>
      </c>
      <c r="C2610" s="1">
        <v>19</v>
      </c>
      <c r="D2610" t="str">
        <f>VLOOKUP(B2610,Заказы!A:C,3,0)</f>
        <v>2023-07-10 19:29:00</v>
      </c>
      <c r="E2610" t="str">
        <f>VLOOKUP(C2610,Меню!A:E,4,0)</f>
        <v>Первое</v>
      </c>
      <c r="F2610">
        <f>VLOOKUP(C2610,Меню!A:E,5,0)</f>
        <v>300</v>
      </c>
    </row>
    <row r="2611" spans="1:6" ht="15.75" hidden="1" customHeight="1" x14ac:dyDescent="0.35">
      <c r="A2611" s="1">
        <v>2610</v>
      </c>
      <c r="B2611" s="1">
        <v>497</v>
      </c>
      <c r="C2611" s="1">
        <v>36</v>
      </c>
      <c r="D2611" t="str">
        <f>VLOOKUP(B2611,Заказы!A:C,3,0)</f>
        <v>2023-07-10 19:29:00</v>
      </c>
      <c r="E2611" t="str">
        <f>VLOOKUP(C2611,Меню!A:E,4,0)</f>
        <v>Десерт</v>
      </c>
      <c r="F2611">
        <f>VLOOKUP(C2611,Меню!A:E,5,0)</f>
        <v>150</v>
      </c>
    </row>
    <row r="2612" spans="1:6" ht="15.75" hidden="1" customHeight="1" x14ac:dyDescent="0.35">
      <c r="A2612" s="1">
        <v>2611</v>
      </c>
      <c r="B2612" s="1">
        <v>497</v>
      </c>
      <c r="C2612" s="1">
        <v>43</v>
      </c>
      <c r="D2612" t="str">
        <f>VLOOKUP(B2612,Заказы!A:C,3,0)</f>
        <v>2023-07-10 19:29:00</v>
      </c>
      <c r="E2612" t="str">
        <f>VLOOKUP(C2612,Меню!A:E,4,0)</f>
        <v>Суши</v>
      </c>
      <c r="F2612">
        <f>VLOOKUP(C2612,Меню!A:E,5,0)</f>
        <v>250</v>
      </c>
    </row>
    <row r="2613" spans="1:6" ht="15.75" hidden="1" customHeight="1" x14ac:dyDescent="0.35">
      <c r="A2613" s="1">
        <v>2612</v>
      </c>
      <c r="B2613" s="1">
        <v>497</v>
      </c>
      <c r="C2613" s="1">
        <v>33</v>
      </c>
      <c r="D2613" t="str">
        <f>VLOOKUP(B2613,Заказы!A:C,3,0)</f>
        <v>2023-07-10 19:29:00</v>
      </c>
      <c r="E2613" t="str">
        <f>VLOOKUP(C2613,Меню!A:E,4,0)</f>
        <v>Десерт</v>
      </c>
      <c r="F2613">
        <f>VLOOKUP(C2613,Меню!A:E,5,0)</f>
        <v>150</v>
      </c>
    </row>
    <row r="2614" spans="1:6" ht="15.75" hidden="1" customHeight="1" x14ac:dyDescent="0.35">
      <c r="A2614" s="1">
        <v>2613</v>
      </c>
      <c r="B2614" s="1">
        <v>498</v>
      </c>
      <c r="C2614" s="1">
        <v>25</v>
      </c>
      <c r="D2614" t="str">
        <f>VLOOKUP(B2614,Заказы!A:C,3,0)</f>
        <v>2023-07-10 20:39:00</v>
      </c>
      <c r="E2614" t="str">
        <f>VLOOKUP(C2614,Меню!A:E,4,0)</f>
        <v>Салат</v>
      </c>
      <c r="F2614">
        <f>VLOOKUP(C2614,Меню!A:E,5,0)</f>
        <v>250</v>
      </c>
    </row>
    <row r="2615" spans="1:6" ht="15.75" hidden="1" customHeight="1" x14ac:dyDescent="0.35">
      <c r="A2615" s="1">
        <v>2614</v>
      </c>
      <c r="B2615" s="1">
        <v>499</v>
      </c>
      <c r="C2615" s="1">
        <v>38</v>
      </c>
      <c r="D2615" t="str">
        <f>VLOOKUP(B2615,Заказы!A:C,3,0)</f>
        <v>2023-07-10 20:55:00</v>
      </c>
      <c r="E2615" t="str">
        <f>VLOOKUP(C2615,Меню!A:E,4,0)</f>
        <v>Десерт</v>
      </c>
      <c r="F2615">
        <f>VLOOKUP(C2615,Меню!A:E,5,0)</f>
        <v>150</v>
      </c>
    </row>
    <row r="2616" spans="1:6" ht="15.75" hidden="1" customHeight="1" x14ac:dyDescent="0.35">
      <c r="A2616" s="1">
        <v>2615</v>
      </c>
      <c r="B2616" s="1">
        <v>499</v>
      </c>
      <c r="C2616" s="1">
        <v>2</v>
      </c>
      <c r="D2616" t="str">
        <f>VLOOKUP(B2616,Заказы!A:C,3,0)</f>
        <v>2023-07-10 20:55:00</v>
      </c>
      <c r="E2616" t="str">
        <f>VLOOKUP(C2616,Меню!A:E,4,0)</f>
        <v>Завтрак</v>
      </c>
      <c r="F2616">
        <f>VLOOKUP(C2616,Меню!A:E,5,0)</f>
        <v>250</v>
      </c>
    </row>
    <row r="2617" spans="1:6" ht="15.75" hidden="1" customHeight="1" x14ac:dyDescent="0.35">
      <c r="A2617" s="1">
        <v>2616</v>
      </c>
      <c r="B2617" s="1">
        <v>499</v>
      </c>
      <c r="C2617" s="1">
        <v>39</v>
      </c>
      <c r="D2617" t="str">
        <f>VLOOKUP(B2617,Заказы!A:C,3,0)</f>
        <v>2023-07-10 20:55:00</v>
      </c>
      <c r="E2617" t="str">
        <f>VLOOKUP(C2617,Меню!A:E,4,0)</f>
        <v>Десерт</v>
      </c>
      <c r="F2617">
        <f>VLOOKUP(C2617,Меню!A:E,5,0)</f>
        <v>150</v>
      </c>
    </row>
    <row r="2618" spans="1:6" ht="15.75" hidden="1" customHeight="1" x14ac:dyDescent="0.35">
      <c r="A2618" s="1">
        <v>2617</v>
      </c>
      <c r="B2618" s="1">
        <v>499</v>
      </c>
      <c r="C2618" s="1">
        <v>57</v>
      </c>
      <c r="D2618" t="str">
        <f>VLOOKUP(B2618,Заказы!A:C,3,0)</f>
        <v>2023-07-10 20:55:00</v>
      </c>
      <c r="E2618" t="str">
        <f>VLOOKUP(C2618,Меню!A:E,4,0)</f>
        <v>Суши</v>
      </c>
      <c r="F2618">
        <f>VLOOKUP(C2618,Меню!A:E,5,0)</f>
        <v>200</v>
      </c>
    </row>
    <row r="2619" spans="1:6" ht="15.75" hidden="1" customHeight="1" x14ac:dyDescent="0.35">
      <c r="A2619" s="1">
        <v>2618</v>
      </c>
      <c r="B2619" s="1">
        <v>499</v>
      </c>
      <c r="C2619" s="1">
        <v>2</v>
      </c>
      <c r="D2619" t="str">
        <f>VLOOKUP(B2619,Заказы!A:C,3,0)</f>
        <v>2023-07-10 20:55:00</v>
      </c>
      <c r="E2619" t="str">
        <f>VLOOKUP(C2619,Меню!A:E,4,0)</f>
        <v>Завтрак</v>
      </c>
      <c r="F2619">
        <f>VLOOKUP(C2619,Меню!A:E,5,0)</f>
        <v>250</v>
      </c>
    </row>
    <row r="2620" spans="1:6" ht="15.75" hidden="1" customHeight="1" x14ac:dyDescent="0.35">
      <c r="A2620" s="1">
        <v>2619</v>
      </c>
      <c r="B2620" s="1">
        <v>499</v>
      </c>
      <c r="C2620" s="1">
        <v>37</v>
      </c>
      <c r="D2620" t="str">
        <f>VLOOKUP(B2620,Заказы!A:C,3,0)</f>
        <v>2023-07-10 20:55:00</v>
      </c>
      <c r="E2620" t="str">
        <f>VLOOKUP(C2620,Меню!A:E,4,0)</f>
        <v>Десерт</v>
      </c>
      <c r="F2620">
        <f>VLOOKUP(C2620,Меню!A:E,5,0)</f>
        <v>100</v>
      </c>
    </row>
    <row r="2621" spans="1:6" ht="15.75" hidden="1" customHeight="1" x14ac:dyDescent="0.35">
      <c r="A2621" s="1">
        <v>2620</v>
      </c>
      <c r="B2621" s="1">
        <v>499</v>
      </c>
      <c r="C2621" s="1">
        <v>19</v>
      </c>
      <c r="D2621" t="str">
        <f>VLOOKUP(B2621,Заказы!A:C,3,0)</f>
        <v>2023-07-10 20:55:00</v>
      </c>
      <c r="E2621" t="str">
        <f>VLOOKUP(C2621,Меню!A:E,4,0)</f>
        <v>Первое</v>
      </c>
      <c r="F2621">
        <f>VLOOKUP(C2621,Меню!A:E,5,0)</f>
        <v>300</v>
      </c>
    </row>
    <row r="2622" spans="1:6" ht="15.75" hidden="1" customHeight="1" x14ac:dyDescent="0.35">
      <c r="A2622" s="1">
        <v>2621</v>
      </c>
      <c r="B2622" s="1">
        <v>500</v>
      </c>
      <c r="C2622" s="1">
        <v>53</v>
      </c>
      <c r="D2622" t="str">
        <f>VLOOKUP(B2622,Заказы!A:C,3,0)</f>
        <v>2023-07-10 21:30:00</v>
      </c>
      <c r="E2622" t="str">
        <f>VLOOKUP(C2622,Меню!A:E,4,0)</f>
        <v>Суши</v>
      </c>
      <c r="F2622">
        <f>VLOOKUP(C2622,Меню!A:E,5,0)</f>
        <v>100</v>
      </c>
    </row>
    <row r="2623" spans="1:6" ht="15.75" hidden="1" customHeight="1" x14ac:dyDescent="0.35">
      <c r="A2623" s="1">
        <v>2622</v>
      </c>
      <c r="B2623" s="1">
        <v>500</v>
      </c>
      <c r="C2623" s="1">
        <v>44</v>
      </c>
      <c r="D2623" t="str">
        <f>VLOOKUP(B2623,Заказы!A:C,3,0)</f>
        <v>2023-07-10 21:30:00</v>
      </c>
      <c r="E2623" t="str">
        <f>VLOOKUP(C2623,Меню!A:E,4,0)</f>
        <v>Суши</v>
      </c>
      <c r="F2623">
        <f>VLOOKUP(C2623,Меню!A:E,5,0)</f>
        <v>250</v>
      </c>
    </row>
    <row r="2624" spans="1:6" ht="15.75" hidden="1" customHeight="1" x14ac:dyDescent="0.35">
      <c r="A2624" s="1">
        <v>2623</v>
      </c>
      <c r="B2624" s="1">
        <v>500</v>
      </c>
      <c r="C2624" s="1">
        <v>8</v>
      </c>
      <c r="D2624" t="str">
        <f>VLOOKUP(B2624,Заказы!A:C,3,0)</f>
        <v>2023-07-10 21:30:00</v>
      </c>
      <c r="E2624" t="str">
        <f>VLOOKUP(C2624,Меню!A:E,4,0)</f>
        <v>Завтрак</v>
      </c>
      <c r="F2624">
        <f>VLOOKUP(C2624,Меню!A:E,5,0)</f>
        <v>180</v>
      </c>
    </row>
    <row r="2625" spans="1:6" ht="15.75" hidden="1" customHeight="1" x14ac:dyDescent="0.35">
      <c r="A2625" s="1">
        <v>2624</v>
      </c>
      <c r="B2625" s="1">
        <v>500</v>
      </c>
      <c r="C2625" s="1">
        <v>36</v>
      </c>
      <c r="D2625" t="str">
        <f>VLOOKUP(B2625,Заказы!A:C,3,0)</f>
        <v>2023-07-10 21:30:00</v>
      </c>
      <c r="E2625" t="str">
        <f>VLOOKUP(C2625,Меню!A:E,4,0)</f>
        <v>Десерт</v>
      </c>
      <c r="F2625">
        <f>VLOOKUP(C2625,Меню!A:E,5,0)</f>
        <v>150</v>
      </c>
    </row>
    <row r="2626" spans="1:6" ht="15.75" hidden="1" customHeight="1" x14ac:dyDescent="0.35">
      <c r="A2626" s="1">
        <v>2625</v>
      </c>
      <c r="B2626" s="1">
        <v>500</v>
      </c>
      <c r="C2626" s="1">
        <v>25</v>
      </c>
      <c r="D2626" t="str">
        <f>VLOOKUP(B2626,Заказы!A:C,3,0)</f>
        <v>2023-07-10 21:30:00</v>
      </c>
      <c r="E2626" t="str">
        <f>VLOOKUP(C2626,Меню!A:E,4,0)</f>
        <v>Салат</v>
      </c>
      <c r="F2626">
        <f>VLOOKUP(C2626,Меню!A:E,5,0)</f>
        <v>250</v>
      </c>
    </row>
    <row r="2627" spans="1:6" ht="15.75" hidden="1" customHeight="1" x14ac:dyDescent="0.35">
      <c r="A2627" s="1">
        <v>2626</v>
      </c>
      <c r="B2627" s="1">
        <v>501</v>
      </c>
      <c r="C2627" s="1">
        <v>35</v>
      </c>
      <c r="D2627" t="str">
        <f>VLOOKUP(B2627,Заказы!A:C,3,0)</f>
        <v>2023-07-11 15:57:00</v>
      </c>
      <c r="E2627" t="str">
        <f>VLOOKUP(C2627,Меню!A:E,4,0)</f>
        <v>Десерт</v>
      </c>
      <c r="F2627">
        <f>VLOOKUP(C2627,Меню!A:E,5,0)</f>
        <v>150</v>
      </c>
    </row>
    <row r="2628" spans="1:6" ht="15.75" hidden="1" customHeight="1" x14ac:dyDescent="0.35">
      <c r="A2628" s="1">
        <v>2627</v>
      </c>
      <c r="B2628" s="1">
        <v>501</v>
      </c>
      <c r="C2628" s="1">
        <v>57</v>
      </c>
      <c r="D2628" t="str">
        <f>VLOOKUP(B2628,Заказы!A:C,3,0)</f>
        <v>2023-07-11 15:57:00</v>
      </c>
      <c r="E2628" t="str">
        <f>VLOOKUP(C2628,Меню!A:E,4,0)</f>
        <v>Суши</v>
      </c>
      <c r="F2628">
        <f>VLOOKUP(C2628,Меню!A:E,5,0)</f>
        <v>200</v>
      </c>
    </row>
    <row r="2629" spans="1:6" ht="15.75" hidden="1" customHeight="1" x14ac:dyDescent="0.35">
      <c r="A2629" s="1">
        <v>2628</v>
      </c>
      <c r="B2629" s="1">
        <v>501</v>
      </c>
      <c r="C2629" s="1">
        <v>43</v>
      </c>
      <c r="D2629" t="str">
        <f>VLOOKUP(B2629,Заказы!A:C,3,0)</f>
        <v>2023-07-11 15:57:00</v>
      </c>
      <c r="E2629" t="str">
        <f>VLOOKUP(C2629,Меню!A:E,4,0)</f>
        <v>Суши</v>
      </c>
      <c r="F2629">
        <f>VLOOKUP(C2629,Меню!A:E,5,0)</f>
        <v>250</v>
      </c>
    </row>
    <row r="2630" spans="1:6" ht="15.75" hidden="1" customHeight="1" x14ac:dyDescent="0.35">
      <c r="A2630" s="1">
        <v>2629</v>
      </c>
      <c r="B2630" s="1">
        <v>501</v>
      </c>
      <c r="C2630" s="1">
        <v>18</v>
      </c>
      <c r="D2630" t="str">
        <f>VLOOKUP(B2630,Заказы!A:C,3,0)</f>
        <v>2023-07-11 15:57:00</v>
      </c>
      <c r="E2630" t="str">
        <f>VLOOKUP(C2630,Меню!A:E,4,0)</f>
        <v>Первое</v>
      </c>
      <c r="F2630">
        <f>VLOOKUP(C2630,Меню!A:E,5,0)</f>
        <v>300</v>
      </c>
    </row>
    <row r="2631" spans="1:6" ht="15.75" hidden="1" customHeight="1" x14ac:dyDescent="0.35">
      <c r="A2631" s="1">
        <v>2630</v>
      </c>
      <c r="B2631" s="1">
        <v>502</v>
      </c>
      <c r="C2631" s="1">
        <v>48</v>
      </c>
      <c r="D2631" t="str">
        <f>VLOOKUP(B2631,Заказы!A:C,3,0)</f>
        <v>2023-07-11 17:23:00</v>
      </c>
      <c r="E2631" t="str">
        <f>VLOOKUP(C2631,Меню!A:E,4,0)</f>
        <v>Суши</v>
      </c>
      <c r="F2631">
        <f>VLOOKUP(C2631,Меню!A:E,5,0)</f>
        <v>200</v>
      </c>
    </row>
    <row r="2632" spans="1:6" ht="15.75" hidden="1" customHeight="1" x14ac:dyDescent="0.35">
      <c r="A2632" s="1">
        <v>2631</v>
      </c>
      <c r="B2632" s="1">
        <v>502</v>
      </c>
      <c r="C2632" s="1">
        <v>45</v>
      </c>
      <c r="D2632" t="str">
        <f>VLOOKUP(B2632,Заказы!A:C,3,0)</f>
        <v>2023-07-11 17:23:00</v>
      </c>
      <c r="E2632" t="str">
        <f>VLOOKUP(C2632,Меню!A:E,4,0)</f>
        <v>Суши</v>
      </c>
      <c r="F2632">
        <f>VLOOKUP(C2632,Меню!A:E,5,0)</f>
        <v>200</v>
      </c>
    </row>
    <row r="2633" spans="1:6" ht="15.75" hidden="1" customHeight="1" x14ac:dyDescent="0.35">
      <c r="A2633" s="1">
        <v>2632</v>
      </c>
      <c r="B2633" s="1">
        <v>502</v>
      </c>
      <c r="C2633" s="1">
        <v>41</v>
      </c>
      <c r="D2633" t="str">
        <f>VLOOKUP(B2633,Заказы!A:C,3,0)</f>
        <v>2023-07-11 17:23:00</v>
      </c>
      <c r="E2633" t="str">
        <f>VLOOKUP(C2633,Меню!A:E,4,0)</f>
        <v>Суши</v>
      </c>
      <c r="F2633">
        <f>VLOOKUP(C2633,Меню!A:E,5,0)</f>
        <v>220</v>
      </c>
    </row>
    <row r="2634" spans="1:6" ht="15.75" hidden="1" customHeight="1" x14ac:dyDescent="0.35">
      <c r="A2634" s="1">
        <v>2633</v>
      </c>
      <c r="B2634" s="1">
        <v>502</v>
      </c>
      <c r="C2634" s="1">
        <v>53</v>
      </c>
      <c r="D2634" t="str">
        <f>VLOOKUP(B2634,Заказы!A:C,3,0)</f>
        <v>2023-07-11 17:23:00</v>
      </c>
      <c r="E2634" t="str">
        <f>VLOOKUP(C2634,Меню!A:E,4,0)</f>
        <v>Суши</v>
      </c>
      <c r="F2634">
        <f>VLOOKUP(C2634,Меню!A:E,5,0)</f>
        <v>100</v>
      </c>
    </row>
    <row r="2635" spans="1:6" ht="15.75" hidden="1" customHeight="1" x14ac:dyDescent="0.35">
      <c r="A2635" s="1">
        <v>2634</v>
      </c>
      <c r="B2635" s="1">
        <v>502</v>
      </c>
      <c r="C2635" s="1">
        <v>12</v>
      </c>
      <c r="D2635" t="str">
        <f>VLOOKUP(B2635,Заказы!A:C,3,0)</f>
        <v>2023-07-11 17:23:00</v>
      </c>
      <c r="E2635" t="str">
        <f>VLOOKUP(C2635,Меню!A:E,4,0)</f>
        <v>Первое</v>
      </c>
      <c r="F2635">
        <f>VLOOKUP(C2635,Меню!A:E,5,0)</f>
        <v>300</v>
      </c>
    </row>
    <row r="2636" spans="1:6" ht="15.75" hidden="1" customHeight="1" x14ac:dyDescent="0.35">
      <c r="A2636" s="1">
        <v>2635</v>
      </c>
      <c r="B2636" s="1">
        <v>503</v>
      </c>
      <c r="C2636" s="1">
        <v>2</v>
      </c>
      <c r="D2636" t="str">
        <f>VLOOKUP(B2636,Заказы!A:C,3,0)</f>
        <v>2023-07-11 18:27:00</v>
      </c>
      <c r="E2636" t="str">
        <f>VLOOKUP(C2636,Меню!A:E,4,0)</f>
        <v>Завтрак</v>
      </c>
      <c r="F2636">
        <f>VLOOKUP(C2636,Меню!A:E,5,0)</f>
        <v>250</v>
      </c>
    </row>
    <row r="2637" spans="1:6" ht="15.75" hidden="1" customHeight="1" x14ac:dyDescent="0.35">
      <c r="A2637" s="1">
        <v>2636</v>
      </c>
      <c r="B2637" s="1">
        <v>503</v>
      </c>
      <c r="C2637" s="1">
        <v>56</v>
      </c>
      <c r="D2637" t="str">
        <f>VLOOKUP(B2637,Заказы!A:C,3,0)</f>
        <v>2023-07-11 18:27:00</v>
      </c>
      <c r="E2637" t="str">
        <f>VLOOKUP(C2637,Меню!A:E,4,0)</f>
        <v>Суши</v>
      </c>
      <c r="F2637">
        <f>VLOOKUP(C2637,Меню!A:E,5,0)</f>
        <v>200</v>
      </c>
    </row>
    <row r="2638" spans="1:6" ht="15.75" hidden="1" customHeight="1" x14ac:dyDescent="0.35">
      <c r="A2638" s="1">
        <v>2637</v>
      </c>
      <c r="B2638" s="1">
        <v>503</v>
      </c>
      <c r="C2638" s="1">
        <v>47</v>
      </c>
      <c r="D2638" t="str">
        <f>VLOOKUP(B2638,Заказы!A:C,3,0)</f>
        <v>2023-07-11 18:27:00</v>
      </c>
      <c r="E2638" t="str">
        <f>VLOOKUP(C2638,Меню!A:E,4,0)</f>
        <v>Суши</v>
      </c>
      <c r="F2638">
        <f>VLOOKUP(C2638,Меню!A:E,5,0)</f>
        <v>200</v>
      </c>
    </row>
    <row r="2639" spans="1:6" ht="15.75" hidden="1" customHeight="1" x14ac:dyDescent="0.35">
      <c r="A2639" s="1">
        <v>2638</v>
      </c>
      <c r="B2639" s="1">
        <v>503</v>
      </c>
      <c r="C2639" s="1">
        <v>30</v>
      </c>
      <c r="D2639" t="str">
        <f>VLOOKUP(B2639,Заказы!A:C,3,0)</f>
        <v>2023-07-11 18:27:00</v>
      </c>
      <c r="E2639" t="str">
        <f>VLOOKUP(C2639,Меню!A:E,4,0)</f>
        <v>Салат</v>
      </c>
      <c r="F2639">
        <f>VLOOKUP(C2639,Меню!A:E,5,0)</f>
        <v>250</v>
      </c>
    </row>
    <row r="2640" spans="1:6" ht="15.75" hidden="1" customHeight="1" x14ac:dyDescent="0.35">
      <c r="A2640" s="1">
        <v>2639</v>
      </c>
      <c r="B2640" s="1">
        <v>504</v>
      </c>
      <c r="C2640" s="1">
        <v>22</v>
      </c>
      <c r="D2640" t="str">
        <f>VLOOKUP(B2640,Заказы!A:C,3,0)</f>
        <v>2023-07-12 15:07:00</v>
      </c>
      <c r="E2640" t="str">
        <f>VLOOKUP(C2640,Меню!A:E,4,0)</f>
        <v>Салат</v>
      </c>
      <c r="F2640">
        <f>VLOOKUP(C2640,Меню!A:E,5,0)</f>
        <v>250</v>
      </c>
    </row>
    <row r="2641" spans="1:6" ht="15.75" hidden="1" customHeight="1" x14ac:dyDescent="0.35">
      <c r="A2641" s="1">
        <v>2640</v>
      </c>
      <c r="B2641" s="1">
        <v>504</v>
      </c>
      <c r="C2641" s="1">
        <v>2</v>
      </c>
      <c r="D2641" t="str">
        <f>VLOOKUP(B2641,Заказы!A:C,3,0)</f>
        <v>2023-07-12 15:07:00</v>
      </c>
      <c r="E2641" t="str">
        <f>VLOOKUP(C2641,Меню!A:E,4,0)</f>
        <v>Завтрак</v>
      </c>
      <c r="F2641">
        <f>VLOOKUP(C2641,Меню!A:E,5,0)</f>
        <v>250</v>
      </c>
    </row>
    <row r="2642" spans="1:6" ht="15.75" hidden="1" customHeight="1" x14ac:dyDescent="0.35">
      <c r="A2642" s="1">
        <v>2641</v>
      </c>
      <c r="B2642" s="1">
        <v>504</v>
      </c>
      <c r="C2642" s="1">
        <v>32</v>
      </c>
      <c r="D2642" t="str">
        <f>VLOOKUP(B2642,Заказы!A:C,3,0)</f>
        <v>2023-07-12 15:07:00</v>
      </c>
      <c r="E2642" t="str">
        <f>VLOOKUP(C2642,Меню!A:E,4,0)</f>
        <v>Десерт</v>
      </c>
      <c r="F2642">
        <f>VLOOKUP(C2642,Меню!A:E,5,0)</f>
        <v>150</v>
      </c>
    </row>
    <row r="2643" spans="1:6" ht="15.75" hidden="1" customHeight="1" x14ac:dyDescent="0.35">
      <c r="A2643" s="1">
        <v>2642</v>
      </c>
      <c r="B2643" s="1">
        <v>504</v>
      </c>
      <c r="C2643" s="1">
        <v>6</v>
      </c>
      <c r="D2643" t="str">
        <f>VLOOKUP(B2643,Заказы!A:C,3,0)</f>
        <v>2023-07-12 15:07:00</v>
      </c>
      <c r="E2643" t="str">
        <f>VLOOKUP(C2643,Меню!A:E,4,0)</f>
        <v>Завтрак</v>
      </c>
      <c r="F2643">
        <f>VLOOKUP(C2643,Меню!A:E,5,0)</f>
        <v>300</v>
      </c>
    </row>
    <row r="2644" spans="1:6" ht="15.75" hidden="1" customHeight="1" x14ac:dyDescent="0.35">
      <c r="A2644" s="1">
        <v>2643</v>
      </c>
      <c r="B2644" s="1">
        <v>504</v>
      </c>
      <c r="C2644" s="1">
        <v>12</v>
      </c>
      <c r="D2644" t="str">
        <f>VLOOKUP(B2644,Заказы!A:C,3,0)</f>
        <v>2023-07-12 15:07:00</v>
      </c>
      <c r="E2644" t="str">
        <f>VLOOKUP(C2644,Меню!A:E,4,0)</f>
        <v>Первое</v>
      </c>
      <c r="F2644">
        <f>VLOOKUP(C2644,Меню!A:E,5,0)</f>
        <v>300</v>
      </c>
    </row>
    <row r="2645" spans="1:6" ht="15.75" hidden="1" customHeight="1" x14ac:dyDescent="0.35">
      <c r="A2645" s="1">
        <v>2644</v>
      </c>
      <c r="B2645" s="1">
        <v>504</v>
      </c>
      <c r="C2645" s="1">
        <v>54</v>
      </c>
      <c r="D2645" t="str">
        <f>VLOOKUP(B2645,Заказы!A:C,3,0)</f>
        <v>2023-07-12 15:07:00</v>
      </c>
      <c r="E2645" t="str">
        <f>VLOOKUP(C2645,Меню!A:E,4,0)</f>
        <v>Суши</v>
      </c>
      <c r="F2645">
        <f>VLOOKUP(C2645,Меню!A:E,5,0)</f>
        <v>100</v>
      </c>
    </row>
    <row r="2646" spans="1:6" ht="15.75" hidden="1" customHeight="1" x14ac:dyDescent="0.35">
      <c r="A2646" s="1">
        <v>2645</v>
      </c>
      <c r="B2646" s="1">
        <v>504</v>
      </c>
      <c r="C2646" s="1">
        <v>14</v>
      </c>
      <c r="D2646" t="str">
        <f>VLOOKUP(B2646,Заказы!A:C,3,0)</f>
        <v>2023-07-12 15:07:00</v>
      </c>
      <c r="E2646" t="str">
        <f>VLOOKUP(C2646,Меню!A:E,4,0)</f>
        <v>Первое</v>
      </c>
      <c r="F2646">
        <f>VLOOKUP(C2646,Меню!A:E,5,0)</f>
        <v>350</v>
      </c>
    </row>
    <row r="2647" spans="1:6" ht="15.75" hidden="1" customHeight="1" x14ac:dyDescent="0.35">
      <c r="A2647" s="1">
        <v>2646</v>
      </c>
      <c r="B2647" s="1">
        <v>504</v>
      </c>
      <c r="C2647" s="1">
        <v>44</v>
      </c>
      <c r="D2647" t="str">
        <f>VLOOKUP(B2647,Заказы!A:C,3,0)</f>
        <v>2023-07-12 15:07:00</v>
      </c>
      <c r="E2647" t="str">
        <f>VLOOKUP(C2647,Меню!A:E,4,0)</f>
        <v>Суши</v>
      </c>
      <c r="F2647">
        <f>VLOOKUP(C2647,Меню!A:E,5,0)</f>
        <v>250</v>
      </c>
    </row>
    <row r="2648" spans="1:6" ht="15.75" hidden="1" customHeight="1" x14ac:dyDescent="0.35">
      <c r="A2648" s="1">
        <v>2647</v>
      </c>
      <c r="B2648" s="1">
        <v>505</v>
      </c>
      <c r="C2648" s="1">
        <v>25</v>
      </c>
      <c r="D2648" t="str">
        <f>VLOOKUP(B2648,Заказы!A:C,3,0)</f>
        <v>2023-07-12 15:32:00</v>
      </c>
      <c r="E2648" t="str">
        <f>VLOOKUP(C2648,Меню!A:E,4,0)</f>
        <v>Салат</v>
      </c>
      <c r="F2648">
        <f>VLOOKUP(C2648,Меню!A:E,5,0)</f>
        <v>250</v>
      </c>
    </row>
    <row r="2649" spans="1:6" ht="15.75" hidden="1" customHeight="1" x14ac:dyDescent="0.35">
      <c r="A2649" s="1">
        <v>2648</v>
      </c>
      <c r="B2649" s="1">
        <v>505</v>
      </c>
      <c r="C2649" s="1">
        <v>10</v>
      </c>
      <c r="D2649" t="str">
        <f>VLOOKUP(B2649,Заказы!A:C,3,0)</f>
        <v>2023-07-12 15:32:00</v>
      </c>
      <c r="E2649" t="str">
        <f>VLOOKUP(C2649,Меню!A:E,4,0)</f>
        <v>Завтрак</v>
      </c>
      <c r="F2649">
        <f>VLOOKUP(C2649,Меню!A:E,5,0)</f>
        <v>200</v>
      </c>
    </row>
    <row r="2650" spans="1:6" ht="15.75" hidden="1" customHeight="1" x14ac:dyDescent="0.35">
      <c r="A2650" s="1">
        <v>2649</v>
      </c>
      <c r="B2650" s="1">
        <v>506</v>
      </c>
      <c r="C2650" s="1">
        <v>41</v>
      </c>
      <c r="D2650" t="str">
        <f>VLOOKUP(B2650,Заказы!A:C,3,0)</f>
        <v>2023-07-12 16:28:00</v>
      </c>
      <c r="E2650" t="str">
        <f>VLOOKUP(C2650,Меню!A:E,4,0)</f>
        <v>Суши</v>
      </c>
      <c r="F2650">
        <f>VLOOKUP(C2650,Меню!A:E,5,0)</f>
        <v>220</v>
      </c>
    </row>
    <row r="2651" spans="1:6" ht="15.75" hidden="1" customHeight="1" x14ac:dyDescent="0.35">
      <c r="A2651" s="1">
        <v>2650</v>
      </c>
      <c r="B2651" s="1">
        <v>506</v>
      </c>
      <c r="C2651" s="1">
        <v>3</v>
      </c>
      <c r="D2651" t="str">
        <f>VLOOKUP(B2651,Заказы!A:C,3,0)</f>
        <v>2023-07-12 16:28:00</v>
      </c>
      <c r="E2651" t="str">
        <f>VLOOKUP(C2651,Меню!A:E,4,0)</f>
        <v>Завтрак</v>
      </c>
      <c r="F2651">
        <f>VLOOKUP(C2651,Меню!A:E,5,0)</f>
        <v>150</v>
      </c>
    </row>
    <row r="2652" spans="1:6" ht="15.75" hidden="1" customHeight="1" x14ac:dyDescent="0.35">
      <c r="A2652" s="1">
        <v>2651</v>
      </c>
      <c r="B2652" s="1">
        <v>506</v>
      </c>
      <c r="C2652" s="1">
        <v>35</v>
      </c>
      <c r="D2652" t="str">
        <f>VLOOKUP(B2652,Заказы!A:C,3,0)</f>
        <v>2023-07-12 16:28:00</v>
      </c>
      <c r="E2652" t="str">
        <f>VLOOKUP(C2652,Меню!A:E,4,0)</f>
        <v>Десерт</v>
      </c>
      <c r="F2652">
        <f>VLOOKUP(C2652,Меню!A:E,5,0)</f>
        <v>150</v>
      </c>
    </row>
    <row r="2653" spans="1:6" ht="15.75" hidden="1" customHeight="1" x14ac:dyDescent="0.35">
      <c r="A2653" s="1">
        <v>2652</v>
      </c>
      <c r="B2653" s="1">
        <v>506</v>
      </c>
      <c r="C2653" s="1">
        <v>19</v>
      </c>
      <c r="D2653" t="str">
        <f>VLOOKUP(B2653,Заказы!A:C,3,0)</f>
        <v>2023-07-12 16:28:00</v>
      </c>
      <c r="E2653" t="str">
        <f>VLOOKUP(C2653,Меню!A:E,4,0)</f>
        <v>Первое</v>
      </c>
      <c r="F2653">
        <f>VLOOKUP(C2653,Меню!A:E,5,0)</f>
        <v>300</v>
      </c>
    </row>
    <row r="2654" spans="1:6" ht="15.75" hidden="1" customHeight="1" x14ac:dyDescent="0.35">
      <c r="A2654" s="1">
        <v>2653</v>
      </c>
      <c r="B2654" s="1">
        <v>507</v>
      </c>
      <c r="C2654" s="1">
        <v>4</v>
      </c>
      <c r="D2654" t="str">
        <f>VLOOKUP(B2654,Заказы!A:C,3,0)</f>
        <v>2023-07-12 17:14:00</v>
      </c>
      <c r="E2654" t="str">
        <f>VLOOKUP(C2654,Меню!A:E,4,0)</f>
        <v>Завтрак</v>
      </c>
      <c r="F2654">
        <f>VLOOKUP(C2654,Меню!A:E,5,0)</f>
        <v>180</v>
      </c>
    </row>
    <row r="2655" spans="1:6" ht="15.75" hidden="1" customHeight="1" x14ac:dyDescent="0.35">
      <c r="A2655" s="1">
        <v>2654</v>
      </c>
      <c r="B2655" s="1">
        <v>507</v>
      </c>
      <c r="C2655" s="1">
        <v>12</v>
      </c>
      <c r="D2655" t="str">
        <f>VLOOKUP(B2655,Заказы!A:C,3,0)</f>
        <v>2023-07-12 17:14:00</v>
      </c>
      <c r="E2655" t="str">
        <f>VLOOKUP(C2655,Меню!A:E,4,0)</f>
        <v>Первое</v>
      </c>
      <c r="F2655">
        <f>VLOOKUP(C2655,Меню!A:E,5,0)</f>
        <v>300</v>
      </c>
    </row>
    <row r="2656" spans="1:6" ht="15.75" hidden="1" customHeight="1" x14ac:dyDescent="0.35">
      <c r="A2656" s="1">
        <v>2655</v>
      </c>
      <c r="B2656" s="1">
        <v>507</v>
      </c>
      <c r="C2656" s="1">
        <v>57</v>
      </c>
      <c r="D2656" t="str">
        <f>VLOOKUP(B2656,Заказы!A:C,3,0)</f>
        <v>2023-07-12 17:14:00</v>
      </c>
      <c r="E2656" t="str">
        <f>VLOOKUP(C2656,Меню!A:E,4,0)</f>
        <v>Суши</v>
      </c>
      <c r="F2656">
        <f>VLOOKUP(C2656,Меню!A:E,5,0)</f>
        <v>200</v>
      </c>
    </row>
    <row r="2657" spans="1:6" ht="15.75" hidden="1" customHeight="1" x14ac:dyDescent="0.35">
      <c r="A2657" s="1">
        <v>2656</v>
      </c>
      <c r="B2657" s="1">
        <v>508</v>
      </c>
      <c r="C2657" s="1">
        <v>32</v>
      </c>
      <c r="D2657" t="str">
        <f>VLOOKUP(B2657,Заказы!A:C,3,0)</f>
        <v>2023-07-12 17:17:00</v>
      </c>
      <c r="E2657" t="str">
        <f>VLOOKUP(C2657,Меню!A:E,4,0)</f>
        <v>Десерт</v>
      </c>
      <c r="F2657">
        <f>VLOOKUP(C2657,Меню!A:E,5,0)</f>
        <v>150</v>
      </c>
    </row>
    <row r="2658" spans="1:6" ht="15.75" hidden="1" customHeight="1" x14ac:dyDescent="0.35">
      <c r="A2658" s="1">
        <v>2657</v>
      </c>
      <c r="B2658" s="1">
        <v>508</v>
      </c>
      <c r="C2658" s="1">
        <v>2</v>
      </c>
      <c r="D2658" t="str">
        <f>VLOOKUP(B2658,Заказы!A:C,3,0)</f>
        <v>2023-07-12 17:17:00</v>
      </c>
      <c r="E2658" t="str">
        <f>VLOOKUP(C2658,Меню!A:E,4,0)</f>
        <v>Завтрак</v>
      </c>
      <c r="F2658">
        <f>VLOOKUP(C2658,Меню!A:E,5,0)</f>
        <v>250</v>
      </c>
    </row>
    <row r="2659" spans="1:6" ht="15.75" hidden="1" customHeight="1" x14ac:dyDescent="0.35">
      <c r="A2659" s="1">
        <v>2658</v>
      </c>
      <c r="B2659" s="1">
        <v>508</v>
      </c>
      <c r="C2659" s="1">
        <v>25</v>
      </c>
      <c r="D2659" t="str">
        <f>VLOOKUP(B2659,Заказы!A:C,3,0)</f>
        <v>2023-07-12 17:17:00</v>
      </c>
      <c r="E2659" t="str">
        <f>VLOOKUP(C2659,Меню!A:E,4,0)</f>
        <v>Салат</v>
      </c>
      <c r="F2659">
        <f>VLOOKUP(C2659,Меню!A:E,5,0)</f>
        <v>250</v>
      </c>
    </row>
    <row r="2660" spans="1:6" ht="15.75" hidden="1" customHeight="1" x14ac:dyDescent="0.35">
      <c r="A2660" s="1">
        <v>2659</v>
      </c>
      <c r="B2660" s="1">
        <v>508</v>
      </c>
      <c r="C2660" s="1">
        <v>54</v>
      </c>
      <c r="D2660" t="str">
        <f>VLOOKUP(B2660,Заказы!A:C,3,0)</f>
        <v>2023-07-12 17:17:00</v>
      </c>
      <c r="E2660" t="str">
        <f>VLOOKUP(C2660,Меню!A:E,4,0)</f>
        <v>Суши</v>
      </c>
      <c r="F2660">
        <f>VLOOKUP(C2660,Меню!A:E,5,0)</f>
        <v>100</v>
      </c>
    </row>
    <row r="2661" spans="1:6" ht="15.75" hidden="1" customHeight="1" x14ac:dyDescent="0.35">
      <c r="A2661" s="1">
        <v>2660</v>
      </c>
      <c r="B2661" s="1">
        <v>508</v>
      </c>
      <c r="C2661" s="1">
        <v>29</v>
      </c>
      <c r="D2661" t="str">
        <f>VLOOKUP(B2661,Заказы!A:C,3,0)</f>
        <v>2023-07-12 17:17:00</v>
      </c>
      <c r="E2661" t="str">
        <f>VLOOKUP(C2661,Меню!A:E,4,0)</f>
        <v>Салат</v>
      </c>
      <c r="F2661">
        <f>VLOOKUP(C2661,Меню!A:E,5,0)</f>
        <v>250</v>
      </c>
    </row>
    <row r="2662" spans="1:6" ht="15.75" hidden="1" customHeight="1" x14ac:dyDescent="0.35">
      <c r="A2662" s="1">
        <v>2661</v>
      </c>
      <c r="B2662" s="1">
        <v>508</v>
      </c>
      <c r="C2662" s="1">
        <v>8</v>
      </c>
      <c r="D2662" t="str">
        <f>VLOOKUP(B2662,Заказы!A:C,3,0)</f>
        <v>2023-07-12 17:17:00</v>
      </c>
      <c r="E2662" t="str">
        <f>VLOOKUP(C2662,Меню!A:E,4,0)</f>
        <v>Завтрак</v>
      </c>
      <c r="F2662">
        <f>VLOOKUP(C2662,Меню!A:E,5,0)</f>
        <v>180</v>
      </c>
    </row>
    <row r="2663" spans="1:6" ht="15.75" hidden="1" customHeight="1" x14ac:dyDescent="0.35">
      <c r="A2663" s="1">
        <v>2662</v>
      </c>
      <c r="B2663" s="1">
        <v>508</v>
      </c>
      <c r="C2663" s="1">
        <v>25</v>
      </c>
      <c r="D2663" t="str">
        <f>VLOOKUP(B2663,Заказы!A:C,3,0)</f>
        <v>2023-07-12 17:17:00</v>
      </c>
      <c r="E2663" t="str">
        <f>VLOOKUP(C2663,Меню!A:E,4,0)</f>
        <v>Салат</v>
      </c>
      <c r="F2663">
        <f>VLOOKUP(C2663,Меню!A:E,5,0)</f>
        <v>250</v>
      </c>
    </row>
    <row r="2664" spans="1:6" ht="15.75" hidden="1" customHeight="1" x14ac:dyDescent="0.35">
      <c r="A2664" s="1">
        <v>2663</v>
      </c>
      <c r="B2664" s="1">
        <v>509</v>
      </c>
      <c r="C2664" s="1">
        <v>2</v>
      </c>
      <c r="D2664" t="str">
        <f>VLOOKUP(B2664,Заказы!A:C,3,0)</f>
        <v>2023-07-12 17:53:00</v>
      </c>
      <c r="E2664" t="str">
        <f>VLOOKUP(C2664,Меню!A:E,4,0)</f>
        <v>Завтрак</v>
      </c>
      <c r="F2664">
        <f>VLOOKUP(C2664,Меню!A:E,5,0)</f>
        <v>250</v>
      </c>
    </row>
    <row r="2665" spans="1:6" ht="15.75" hidden="1" customHeight="1" x14ac:dyDescent="0.35">
      <c r="A2665" s="1">
        <v>2664</v>
      </c>
      <c r="B2665" s="1">
        <v>509</v>
      </c>
      <c r="C2665" s="1">
        <v>9</v>
      </c>
      <c r="D2665" t="str">
        <f>VLOOKUP(B2665,Заказы!A:C,3,0)</f>
        <v>2023-07-12 17:53:00</v>
      </c>
      <c r="E2665" t="str">
        <f>VLOOKUP(C2665,Меню!A:E,4,0)</f>
        <v>Завтрак</v>
      </c>
      <c r="F2665">
        <f>VLOOKUP(C2665,Меню!A:E,5,0)</f>
        <v>220</v>
      </c>
    </row>
    <row r="2666" spans="1:6" ht="15.75" hidden="1" customHeight="1" x14ac:dyDescent="0.35">
      <c r="A2666" s="1">
        <v>2665</v>
      </c>
      <c r="B2666" s="1">
        <v>509</v>
      </c>
      <c r="C2666" s="1">
        <v>23</v>
      </c>
      <c r="D2666" t="str">
        <f>VLOOKUP(B2666,Заказы!A:C,3,0)</f>
        <v>2023-07-12 17:53:00</v>
      </c>
      <c r="E2666" t="str">
        <f>VLOOKUP(C2666,Меню!A:E,4,0)</f>
        <v>Салат</v>
      </c>
      <c r="F2666">
        <f>VLOOKUP(C2666,Меню!A:E,5,0)</f>
        <v>250</v>
      </c>
    </row>
    <row r="2667" spans="1:6" ht="15.75" hidden="1" customHeight="1" x14ac:dyDescent="0.35">
      <c r="A2667" s="1">
        <v>2666</v>
      </c>
      <c r="B2667" s="1">
        <v>509</v>
      </c>
      <c r="C2667" s="1">
        <v>46</v>
      </c>
      <c r="D2667" t="str">
        <f>VLOOKUP(B2667,Заказы!A:C,3,0)</f>
        <v>2023-07-12 17:53:00</v>
      </c>
      <c r="E2667" t="str">
        <f>VLOOKUP(C2667,Меню!A:E,4,0)</f>
        <v>Суши</v>
      </c>
      <c r="F2667">
        <f>VLOOKUP(C2667,Меню!A:E,5,0)</f>
        <v>200</v>
      </c>
    </row>
    <row r="2668" spans="1:6" ht="15.75" hidden="1" customHeight="1" x14ac:dyDescent="0.35">
      <c r="A2668" s="1">
        <v>2667</v>
      </c>
      <c r="B2668" s="1">
        <v>509</v>
      </c>
      <c r="C2668" s="1">
        <v>29</v>
      </c>
      <c r="D2668" t="str">
        <f>VLOOKUP(B2668,Заказы!A:C,3,0)</f>
        <v>2023-07-12 17:53:00</v>
      </c>
      <c r="E2668" t="str">
        <f>VLOOKUP(C2668,Меню!A:E,4,0)</f>
        <v>Салат</v>
      </c>
      <c r="F2668">
        <f>VLOOKUP(C2668,Меню!A:E,5,0)</f>
        <v>250</v>
      </c>
    </row>
    <row r="2669" spans="1:6" ht="15.75" hidden="1" customHeight="1" x14ac:dyDescent="0.35">
      <c r="A2669" s="1">
        <v>2668</v>
      </c>
      <c r="B2669" s="1">
        <v>509</v>
      </c>
      <c r="C2669" s="1">
        <v>1</v>
      </c>
      <c r="D2669" t="str">
        <f>VLOOKUP(B2669,Заказы!A:C,3,0)</f>
        <v>2023-07-12 17:53:00</v>
      </c>
      <c r="E2669" t="str">
        <f>VLOOKUP(C2669,Меню!A:E,4,0)</f>
        <v>Завтрак</v>
      </c>
      <c r="F2669">
        <f>VLOOKUP(C2669,Меню!A:E,5,0)</f>
        <v>200</v>
      </c>
    </row>
    <row r="2670" spans="1:6" ht="15.75" hidden="1" customHeight="1" x14ac:dyDescent="0.35">
      <c r="A2670" s="1">
        <v>2669</v>
      </c>
      <c r="B2670" s="1">
        <v>509</v>
      </c>
      <c r="C2670" s="1">
        <v>26</v>
      </c>
      <c r="D2670" t="str">
        <f>VLOOKUP(B2670,Заказы!A:C,3,0)</f>
        <v>2023-07-12 17:53:00</v>
      </c>
      <c r="E2670" t="str">
        <f>VLOOKUP(C2670,Меню!A:E,4,0)</f>
        <v>Салат</v>
      </c>
      <c r="F2670">
        <f>VLOOKUP(C2670,Меню!A:E,5,0)</f>
        <v>250</v>
      </c>
    </row>
    <row r="2671" spans="1:6" ht="15.75" hidden="1" customHeight="1" x14ac:dyDescent="0.35">
      <c r="A2671" s="1">
        <v>2670</v>
      </c>
      <c r="B2671" s="1">
        <v>509</v>
      </c>
      <c r="C2671" s="1">
        <v>38</v>
      </c>
      <c r="D2671" t="str">
        <f>VLOOKUP(B2671,Заказы!A:C,3,0)</f>
        <v>2023-07-12 17:53:00</v>
      </c>
      <c r="E2671" t="str">
        <f>VLOOKUP(C2671,Меню!A:E,4,0)</f>
        <v>Десерт</v>
      </c>
      <c r="F2671">
        <f>VLOOKUP(C2671,Меню!A:E,5,0)</f>
        <v>150</v>
      </c>
    </row>
    <row r="2672" spans="1:6" ht="15.75" hidden="1" customHeight="1" x14ac:dyDescent="0.35">
      <c r="A2672" s="1">
        <v>2671</v>
      </c>
      <c r="B2672" s="1">
        <v>509</v>
      </c>
      <c r="C2672" s="1">
        <v>41</v>
      </c>
      <c r="D2672" t="str">
        <f>VLOOKUP(B2672,Заказы!A:C,3,0)</f>
        <v>2023-07-12 17:53:00</v>
      </c>
      <c r="E2672" t="str">
        <f>VLOOKUP(C2672,Меню!A:E,4,0)</f>
        <v>Суши</v>
      </c>
      <c r="F2672">
        <f>VLOOKUP(C2672,Меню!A:E,5,0)</f>
        <v>220</v>
      </c>
    </row>
    <row r="2673" spans="1:6" ht="15.75" hidden="1" customHeight="1" x14ac:dyDescent="0.35">
      <c r="A2673" s="1">
        <v>2672</v>
      </c>
      <c r="B2673" s="1">
        <v>509</v>
      </c>
      <c r="C2673" s="1">
        <v>34</v>
      </c>
      <c r="D2673" t="str">
        <f>VLOOKUP(B2673,Заказы!A:C,3,0)</f>
        <v>2023-07-12 17:53:00</v>
      </c>
      <c r="E2673" t="str">
        <f>VLOOKUP(C2673,Меню!A:E,4,0)</f>
        <v>Десерт</v>
      </c>
      <c r="F2673">
        <f>VLOOKUP(C2673,Меню!A:E,5,0)</f>
        <v>150</v>
      </c>
    </row>
    <row r="2674" spans="1:6" ht="15.75" hidden="1" customHeight="1" x14ac:dyDescent="0.35">
      <c r="A2674" s="1">
        <v>2673</v>
      </c>
      <c r="B2674" s="1">
        <v>510</v>
      </c>
      <c r="C2674" s="1">
        <v>49</v>
      </c>
      <c r="D2674" t="str">
        <f>VLOOKUP(B2674,Заказы!A:C,3,0)</f>
        <v>2023-07-12 18:12:00</v>
      </c>
      <c r="E2674" t="str">
        <f>VLOOKUP(C2674,Меню!A:E,4,0)</f>
        <v>Суши</v>
      </c>
      <c r="F2674">
        <f>VLOOKUP(C2674,Меню!A:E,5,0)</f>
        <v>200</v>
      </c>
    </row>
    <row r="2675" spans="1:6" ht="15.75" hidden="1" customHeight="1" x14ac:dyDescent="0.35">
      <c r="A2675" s="1">
        <v>2674</v>
      </c>
      <c r="B2675" s="1">
        <v>510</v>
      </c>
      <c r="C2675" s="1">
        <v>22</v>
      </c>
      <c r="D2675" t="str">
        <f>VLOOKUP(B2675,Заказы!A:C,3,0)</f>
        <v>2023-07-12 18:12:00</v>
      </c>
      <c r="E2675" t="str">
        <f>VLOOKUP(C2675,Меню!A:E,4,0)</f>
        <v>Салат</v>
      </c>
      <c r="F2675">
        <f>VLOOKUP(C2675,Меню!A:E,5,0)</f>
        <v>250</v>
      </c>
    </row>
    <row r="2676" spans="1:6" ht="15.75" hidden="1" customHeight="1" x14ac:dyDescent="0.35">
      <c r="A2676" s="1">
        <v>2675</v>
      </c>
      <c r="B2676" s="1">
        <v>511</v>
      </c>
      <c r="C2676" s="1">
        <v>33</v>
      </c>
      <c r="D2676" t="str">
        <f>VLOOKUP(B2676,Заказы!A:C,3,0)</f>
        <v>2023-07-12 19:23:00</v>
      </c>
      <c r="E2676" t="str">
        <f>VLOOKUP(C2676,Меню!A:E,4,0)</f>
        <v>Десерт</v>
      </c>
      <c r="F2676">
        <f>VLOOKUP(C2676,Меню!A:E,5,0)</f>
        <v>150</v>
      </c>
    </row>
    <row r="2677" spans="1:6" ht="15.75" hidden="1" customHeight="1" x14ac:dyDescent="0.35">
      <c r="A2677" s="1">
        <v>2676</v>
      </c>
      <c r="B2677" s="1">
        <v>511</v>
      </c>
      <c r="C2677" s="1">
        <v>11</v>
      </c>
      <c r="D2677" t="str">
        <f>VLOOKUP(B2677,Заказы!A:C,3,0)</f>
        <v>2023-07-12 19:23:00</v>
      </c>
      <c r="E2677" t="str">
        <f>VLOOKUP(C2677,Меню!A:E,4,0)</f>
        <v>Первое</v>
      </c>
      <c r="F2677">
        <f>VLOOKUP(C2677,Меню!A:E,5,0)</f>
        <v>300</v>
      </c>
    </row>
    <row r="2678" spans="1:6" ht="15.75" hidden="1" customHeight="1" x14ac:dyDescent="0.35">
      <c r="A2678" s="1">
        <v>2677</v>
      </c>
      <c r="B2678" s="1">
        <v>511</v>
      </c>
      <c r="C2678" s="1">
        <v>38</v>
      </c>
      <c r="D2678" t="str">
        <f>VLOOKUP(B2678,Заказы!A:C,3,0)</f>
        <v>2023-07-12 19:23:00</v>
      </c>
      <c r="E2678" t="str">
        <f>VLOOKUP(C2678,Меню!A:E,4,0)</f>
        <v>Десерт</v>
      </c>
      <c r="F2678">
        <f>VLOOKUP(C2678,Меню!A:E,5,0)</f>
        <v>150</v>
      </c>
    </row>
    <row r="2679" spans="1:6" ht="15.75" hidden="1" customHeight="1" x14ac:dyDescent="0.35">
      <c r="A2679" s="1">
        <v>2678</v>
      </c>
      <c r="B2679" s="1">
        <v>511</v>
      </c>
      <c r="C2679" s="1">
        <v>49</v>
      </c>
      <c r="D2679" t="str">
        <f>VLOOKUP(B2679,Заказы!A:C,3,0)</f>
        <v>2023-07-12 19:23:00</v>
      </c>
      <c r="E2679" t="str">
        <f>VLOOKUP(C2679,Меню!A:E,4,0)</f>
        <v>Суши</v>
      </c>
      <c r="F2679">
        <f>VLOOKUP(C2679,Меню!A:E,5,0)</f>
        <v>200</v>
      </c>
    </row>
    <row r="2680" spans="1:6" ht="15.75" hidden="1" customHeight="1" x14ac:dyDescent="0.35">
      <c r="A2680" s="1">
        <v>2679</v>
      </c>
      <c r="B2680" s="1">
        <v>512</v>
      </c>
      <c r="C2680" s="1">
        <v>8</v>
      </c>
      <c r="D2680" t="str">
        <f>VLOOKUP(B2680,Заказы!A:C,3,0)</f>
        <v>2023-07-12 19:47:00</v>
      </c>
      <c r="E2680" t="str">
        <f>VLOOKUP(C2680,Меню!A:E,4,0)</f>
        <v>Завтрак</v>
      </c>
      <c r="F2680">
        <f>VLOOKUP(C2680,Меню!A:E,5,0)</f>
        <v>180</v>
      </c>
    </row>
    <row r="2681" spans="1:6" ht="15.75" hidden="1" customHeight="1" x14ac:dyDescent="0.35">
      <c r="A2681" s="1">
        <v>2680</v>
      </c>
      <c r="B2681" s="1">
        <v>512</v>
      </c>
      <c r="C2681" s="1">
        <v>29</v>
      </c>
      <c r="D2681" t="str">
        <f>VLOOKUP(B2681,Заказы!A:C,3,0)</f>
        <v>2023-07-12 19:47:00</v>
      </c>
      <c r="E2681" t="str">
        <f>VLOOKUP(C2681,Меню!A:E,4,0)</f>
        <v>Салат</v>
      </c>
      <c r="F2681">
        <f>VLOOKUP(C2681,Меню!A:E,5,0)</f>
        <v>250</v>
      </c>
    </row>
    <row r="2682" spans="1:6" ht="15.75" hidden="1" customHeight="1" x14ac:dyDescent="0.35">
      <c r="A2682" s="1">
        <v>2681</v>
      </c>
      <c r="B2682" s="1">
        <v>512</v>
      </c>
      <c r="C2682" s="1">
        <v>36</v>
      </c>
      <c r="D2682" t="str">
        <f>VLOOKUP(B2682,Заказы!A:C,3,0)</f>
        <v>2023-07-12 19:47:00</v>
      </c>
      <c r="E2682" t="str">
        <f>VLOOKUP(C2682,Меню!A:E,4,0)</f>
        <v>Десерт</v>
      </c>
      <c r="F2682">
        <f>VLOOKUP(C2682,Меню!A:E,5,0)</f>
        <v>150</v>
      </c>
    </row>
    <row r="2683" spans="1:6" ht="15.75" hidden="1" customHeight="1" x14ac:dyDescent="0.35">
      <c r="A2683" s="1">
        <v>2682</v>
      </c>
      <c r="B2683" s="1">
        <v>512</v>
      </c>
      <c r="C2683" s="1">
        <v>6</v>
      </c>
      <c r="D2683" t="str">
        <f>VLOOKUP(B2683,Заказы!A:C,3,0)</f>
        <v>2023-07-12 19:47:00</v>
      </c>
      <c r="E2683" t="str">
        <f>VLOOKUP(C2683,Меню!A:E,4,0)</f>
        <v>Завтрак</v>
      </c>
      <c r="F2683">
        <f>VLOOKUP(C2683,Меню!A:E,5,0)</f>
        <v>300</v>
      </c>
    </row>
    <row r="2684" spans="1:6" ht="15.75" hidden="1" customHeight="1" x14ac:dyDescent="0.35">
      <c r="A2684" s="1">
        <v>2683</v>
      </c>
      <c r="B2684" s="1">
        <v>512</v>
      </c>
      <c r="C2684" s="1">
        <v>41</v>
      </c>
      <c r="D2684" t="str">
        <f>VLOOKUP(B2684,Заказы!A:C,3,0)</f>
        <v>2023-07-12 19:47:00</v>
      </c>
      <c r="E2684" t="str">
        <f>VLOOKUP(C2684,Меню!A:E,4,0)</f>
        <v>Суши</v>
      </c>
      <c r="F2684">
        <f>VLOOKUP(C2684,Меню!A:E,5,0)</f>
        <v>220</v>
      </c>
    </row>
    <row r="2685" spans="1:6" ht="15.75" hidden="1" customHeight="1" x14ac:dyDescent="0.35">
      <c r="A2685" s="1">
        <v>2684</v>
      </c>
      <c r="B2685" s="1">
        <v>512</v>
      </c>
      <c r="C2685" s="1">
        <v>40</v>
      </c>
      <c r="D2685" t="str">
        <f>VLOOKUP(B2685,Заказы!A:C,3,0)</f>
        <v>2023-07-12 19:47:00</v>
      </c>
      <c r="E2685" t="str">
        <f>VLOOKUP(C2685,Меню!A:E,4,0)</f>
        <v>Десерт</v>
      </c>
      <c r="F2685">
        <f>VLOOKUP(C2685,Меню!A:E,5,0)</f>
        <v>150</v>
      </c>
    </row>
    <row r="2686" spans="1:6" ht="15.75" hidden="1" customHeight="1" x14ac:dyDescent="0.35">
      <c r="A2686" s="1">
        <v>2685</v>
      </c>
      <c r="B2686" s="1">
        <v>512</v>
      </c>
      <c r="C2686" s="1">
        <v>7</v>
      </c>
      <c r="D2686" t="str">
        <f>VLOOKUP(B2686,Заказы!A:C,3,0)</f>
        <v>2023-07-12 19:47:00</v>
      </c>
      <c r="E2686" t="str">
        <f>VLOOKUP(C2686,Меню!A:E,4,0)</f>
        <v>Завтрак</v>
      </c>
      <c r="F2686">
        <f>VLOOKUP(C2686,Меню!A:E,5,0)</f>
        <v>200</v>
      </c>
    </row>
    <row r="2687" spans="1:6" ht="15.75" hidden="1" customHeight="1" x14ac:dyDescent="0.35">
      <c r="A2687" s="1">
        <v>2686</v>
      </c>
      <c r="B2687" s="1">
        <v>513</v>
      </c>
      <c r="C2687" s="1">
        <v>15</v>
      </c>
      <c r="D2687" t="str">
        <f>VLOOKUP(B2687,Заказы!A:C,3,0)</f>
        <v>2023-07-12 20:23:00</v>
      </c>
      <c r="E2687" t="str">
        <f>VLOOKUP(C2687,Меню!A:E,4,0)</f>
        <v>Первое</v>
      </c>
      <c r="F2687">
        <f>VLOOKUP(C2687,Меню!A:E,5,0)</f>
        <v>250</v>
      </c>
    </row>
    <row r="2688" spans="1:6" ht="15.75" hidden="1" customHeight="1" x14ac:dyDescent="0.35">
      <c r="A2688" s="1">
        <v>2687</v>
      </c>
      <c r="B2688" s="1">
        <v>513</v>
      </c>
      <c r="C2688" s="1">
        <v>19</v>
      </c>
      <c r="D2688" t="str">
        <f>VLOOKUP(B2688,Заказы!A:C,3,0)</f>
        <v>2023-07-12 20:23:00</v>
      </c>
      <c r="E2688" t="str">
        <f>VLOOKUP(C2688,Меню!A:E,4,0)</f>
        <v>Первое</v>
      </c>
      <c r="F2688">
        <f>VLOOKUP(C2688,Меню!A:E,5,0)</f>
        <v>300</v>
      </c>
    </row>
    <row r="2689" spans="1:6" ht="15.75" hidden="1" customHeight="1" x14ac:dyDescent="0.35">
      <c r="A2689" s="1">
        <v>2688</v>
      </c>
      <c r="B2689" s="1">
        <v>513</v>
      </c>
      <c r="C2689" s="1">
        <v>11</v>
      </c>
      <c r="D2689" t="str">
        <f>VLOOKUP(B2689,Заказы!A:C,3,0)</f>
        <v>2023-07-12 20:23:00</v>
      </c>
      <c r="E2689" t="str">
        <f>VLOOKUP(C2689,Меню!A:E,4,0)</f>
        <v>Первое</v>
      </c>
      <c r="F2689">
        <f>VLOOKUP(C2689,Меню!A:E,5,0)</f>
        <v>300</v>
      </c>
    </row>
    <row r="2690" spans="1:6" ht="15.75" hidden="1" customHeight="1" x14ac:dyDescent="0.35">
      <c r="A2690" s="1">
        <v>2689</v>
      </c>
      <c r="B2690" s="1">
        <v>514</v>
      </c>
      <c r="C2690" s="1">
        <v>56</v>
      </c>
      <c r="D2690" t="str">
        <f>VLOOKUP(B2690,Заказы!A:C,3,0)</f>
        <v>2023-07-12 21:49:00</v>
      </c>
      <c r="E2690" t="str">
        <f>VLOOKUP(C2690,Меню!A:E,4,0)</f>
        <v>Суши</v>
      </c>
      <c r="F2690">
        <f>VLOOKUP(C2690,Меню!A:E,5,0)</f>
        <v>200</v>
      </c>
    </row>
    <row r="2691" spans="1:6" ht="15.75" hidden="1" customHeight="1" x14ac:dyDescent="0.35">
      <c r="A2691" s="1">
        <v>2690</v>
      </c>
      <c r="B2691" s="1">
        <v>514</v>
      </c>
      <c r="C2691" s="1">
        <v>8</v>
      </c>
      <c r="D2691" t="str">
        <f>VLOOKUP(B2691,Заказы!A:C,3,0)</f>
        <v>2023-07-12 21:49:00</v>
      </c>
      <c r="E2691" t="str">
        <f>VLOOKUP(C2691,Меню!A:E,4,0)</f>
        <v>Завтрак</v>
      </c>
      <c r="F2691">
        <f>VLOOKUP(C2691,Меню!A:E,5,0)</f>
        <v>180</v>
      </c>
    </row>
    <row r="2692" spans="1:6" ht="15.75" hidden="1" customHeight="1" x14ac:dyDescent="0.35">
      <c r="A2692" s="1">
        <v>2691</v>
      </c>
      <c r="B2692" s="1">
        <v>515</v>
      </c>
      <c r="C2692" s="1">
        <v>36</v>
      </c>
      <c r="D2692" t="str">
        <f>VLOOKUP(B2692,Заказы!A:C,3,0)</f>
        <v>2023-07-13 17:12:00</v>
      </c>
      <c r="E2692" t="str">
        <f>VLOOKUP(C2692,Меню!A:E,4,0)</f>
        <v>Десерт</v>
      </c>
      <c r="F2692">
        <f>VLOOKUP(C2692,Меню!A:E,5,0)</f>
        <v>150</v>
      </c>
    </row>
    <row r="2693" spans="1:6" ht="15.75" hidden="1" customHeight="1" x14ac:dyDescent="0.35">
      <c r="A2693" s="1">
        <v>2692</v>
      </c>
      <c r="B2693" s="1">
        <v>515</v>
      </c>
      <c r="C2693" s="1">
        <v>25</v>
      </c>
      <c r="D2693" t="str">
        <f>VLOOKUP(B2693,Заказы!A:C,3,0)</f>
        <v>2023-07-13 17:12:00</v>
      </c>
      <c r="E2693" t="str">
        <f>VLOOKUP(C2693,Меню!A:E,4,0)</f>
        <v>Салат</v>
      </c>
      <c r="F2693">
        <f>VLOOKUP(C2693,Меню!A:E,5,0)</f>
        <v>250</v>
      </c>
    </row>
    <row r="2694" spans="1:6" ht="15.75" hidden="1" customHeight="1" x14ac:dyDescent="0.35">
      <c r="A2694" s="1">
        <v>2693</v>
      </c>
      <c r="B2694" s="1">
        <v>515</v>
      </c>
      <c r="C2694" s="1">
        <v>47</v>
      </c>
      <c r="D2694" t="str">
        <f>VLOOKUP(B2694,Заказы!A:C,3,0)</f>
        <v>2023-07-13 17:12:00</v>
      </c>
      <c r="E2694" t="str">
        <f>VLOOKUP(C2694,Меню!A:E,4,0)</f>
        <v>Суши</v>
      </c>
      <c r="F2694">
        <f>VLOOKUP(C2694,Меню!A:E,5,0)</f>
        <v>200</v>
      </c>
    </row>
    <row r="2695" spans="1:6" ht="15.75" hidden="1" customHeight="1" x14ac:dyDescent="0.35">
      <c r="A2695" s="1">
        <v>2694</v>
      </c>
      <c r="B2695" s="1">
        <v>516</v>
      </c>
      <c r="C2695" s="1">
        <v>57</v>
      </c>
      <c r="D2695" t="str">
        <f>VLOOKUP(B2695,Заказы!A:C,3,0)</f>
        <v>2023-07-13 20:50:00</v>
      </c>
      <c r="E2695" t="str">
        <f>VLOOKUP(C2695,Меню!A:E,4,0)</f>
        <v>Суши</v>
      </c>
      <c r="F2695">
        <f>VLOOKUP(C2695,Меню!A:E,5,0)</f>
        <v>200</v>
      </c>
    </row>
    <row r="2696" spans="1:6" ht="15.75" hidden="1" customHeight="1" x14ac:dyDescent="0.35">
      <c r="A2696" s="1">
        <v>2695</v>
      </c>
      <c r="B2696" s="1">
        <v>516</v>
      </c>
      <c r="C2696" s="1">
        <v>12</v>
      </c>
      <c r="D2696" t="str">
        <f>VLOOKUP(B2696,Заказы!A:C,3,0)</f>
        <v>2023-07-13 20:50:00</v>
      </c>
      <c r="E2696" t="str">
        <f>VLOOKUP(C2696,Меню!A:E,4,0)</f>
        <v>Первое</v>
      </c>
      <c r="F2696">
        <f>VLOOKUP(C2696,Меню!A:E,5,0)</f>
        <v>300</v>
      </c>
    </row>
    <row r="2697" spans="1:6" ht="15.75" hidden="1" customHeight="1" x14ac:dyDescent="0.35">
      <c r="A2697" s="1">
        <v>2696</v>
      </c>
      <c r="B2697" s="1">
        <v>516</v>
      </c>
      <c r="C2697" s="1">
        <v>31</v>
      </c>
      <c r="D2697" t="str">
        <f>VLOOKUP(B2697,Заказы!A:C,3,0)</f>
        <v>2023-07-13 20:50:00</v>
      </c>
      <c r="E2697" t="str">
        <f>VLOOKUP(C2697,Меню!A:E,4,0)</f>
        <v>Десерт</v>
      </c>
      <c r="F2697">
        <f>VLOOKUP(C2697,Меню!A:E,5,0)</f>
        <v>150</v>
      </c>
    </row>
    <row r="2698" spans="1:6" ht="15.75" hidden="1" customHeight="1" x14ac:dyDescent="0.35">
      <c r="A2698" s="1">
        <v>2697</v>
      </c>
      <c r="B2698" s="1">
        <v>516</v>
      </c>
      <c r="C2698" s="1">
        <v>60</v>
      </c>
      <c r="D2698" t="str">
        <f>VLOOKUP(B2698,Заказы!A:C,3,0)</f>
        <v>2023-07-13 20:50:00</v>
      </c>
      <c r="E2698" t="str">
        <f>VLOOKUP(C2698,Меню!A:E,4,0)</f>
        <v>Суши</v>
      </c>
      <c r="F2698">
        <f>VLOOKUP(C2698,Меню!A:E,5,0)</f>
        <v>250</v>
      </c>
    </row>
    <row r="2699" spans="1:6" ht="15.75" hidden="1" customHeight="1" x14ac:dyDescent="0.35">
      <c r="A2699" s="1">
        <v>2698</v>
      </c>
      <c r="B2699" s="1">
        <v>516</v>
      </c>
      <c r="C2699" s="1">
        <v>1</v>
      </c>
      <c r="D2699" t="str">
        <f>VLOOKUP(B2699,Заказы!A:C,3,0)</f>
        <v>2023-07-13 20:50:00</v>
      </c>
      <c r="E2699" t="str">
        <f>VLOOKUP(C2699,Меню!A:E,4,0)</f>
        <v>Завтрак</v>
      </c>
      <c r="F2699">
        <f>VLOOKUP(C2699,Меню!A:E,5,0)</f>
        <v>200</v>
      </c>
    </row>
    <row r="2700" spans="1:6" ht="15.75" hidden="1" customHeight="1" x14ac:dyDescent="0.35">
      <c r="A2700" s="1">
        <v>2699</v>
      </c>
      <c r="B2700" s="1">
        <v>517</v>
      </c>
      <c r="C2700" s="1">
        <v>36</v>
      </c>
      <c r="D2700" t="str">
        <f>VLOOKUP(B2700,Заказы!A:C,3,0)</f>
        <v>2023-07-13 22:01:00</v>
      </c>
      <c r="E2700" t="str">
        <f>VLOOKUP(C2700,Меню!A:E,4,0)</f>
        <v>Десерт</v>
      </c>
      <c r="F2700">
        <f>VLOOKUP(C2700,Меню!A:E,5,0)</f>
        <v>150</v>
      </c>
    </row>
    <row r="2701" spans="1:6" ht="15.75" hidden="1" customHeight="1" x14ac:dyDescent="0.35">
      <c r="A2701" s="1">
        <v>2700</v>
      </c>
      <c r="B2701" s="1">
        <v>517</v>
      </c>
      <c r="C2701" s="1">
        <v>38</v>
      </c>
      <c r="D2701" t="str">
        <f>VLOOKUP(B2701,Заказы!A:C,3,0)</f>
        <v>2023-07-13 22:01:00</v>
      </c>
      <c r="E2701" t="str">
        <f>VLOOKUP(C2701,Меню!A:E,4,0)</f>
        <v>Десерт</v>
      </c>
      <c r="F2701">
        <f>VLOOKUP(C2701,Меню!A:E,5,0)</f>
        <v>150</v>
      </c>
    </row>
    <row r="2702" spans="1:6" ht="15.75" hidden="1" customHeight="1" x14ac:dyDescent="0.35">
      <c r="A2702" s="1">
        <v>2701</v>
      </c>
      <c r="B2702" s="1">
        <v>518</v>
      </c>
      <c r="C2702" s="1">
        <v>56</v>
      </c>
      <c r="D2702" t="str">
        <f>VLOOKUP(B2702,Заказы!A:C,3,0)</f>
        <v>2023-07-14 15:09:00</v>
      </c>
      <c r="E2702" t="str">
        <f>VLOOKUP(C2702,Меню!A:E,4,0)</f>
        <v>Суши</v>
      </c>
      <c r="F2702">
        <f>VLOOKUP(C2702,Меню!A:E,5,0)</f>
        <v>200</v>
      </c>
    </row>
    <row r="2703" spans="1:6" ht="15.75" hidden="1" customHeight="1" x14ac:dyDescent="0.35">
      <c r="A2703" s="1">
        <v>2702</v>
      </c>
      <c r="B2703" s="1">
        <v>518</v>
      </c>
      <c r="C2703" s="1">
        <v>59</v>
      </c>
      <c r="D2703" t="str">
        <f>VLOOKUP(B2703,Заказы!A:C,3,0)</f>
        <v>2023-07-14 15:09:00</v>
      </c>
      <c r="E2703" t="str">
        <f>VLOOKUP(C2703,Меню!A:E,4,0)</f>
        <v>Суши</v>
      </c>
      <c r="F2703">
        <f>VLOOKUP(C2703,Меню!A:E,5,0)</f>
        <v>300</v>
      </c>
    </row>
    <row r="2704" spans="1:6" ht="15.75" hidden="1" customHeight="1" x14ac:dyDescent="0.35">
      <c r="A2704" s="1">
        <v>2703</v>
      </c>
      <c r="B2704" s="1">
        <v>518</v>
      </c>
      <c r="C2704" s="1">
        <v>19</v>
      </c>
      <c r="D2704" t="str">
        <f>VLOOKUP(B2704,Заказы!A:C,3,0)</f>
        <v>2023-07-14 15:09:00</v>
      </c>
      <c r="E2704" t="str">
        <f>VLOOKUP(C2704,Меню!A:E,4,0)</f>
        <v>Первое</v>
      </c>
      <c r="F2704">
        <f>VLOOKUP(C2704,Меню!A:E,5,0)</f>
        <v>300</v>
      </c>
    </row>
    <row r="2705" spans="1:6" ht="15.75" hidden="1" customHeight="1" x14ac:dyDescent="0.35">
      <c r="A2705" s="1">
        <v>2704</v>
      </c>
      <c r="B2705" s="1">
        <v>518</v>
      </c>
      <c r="C2705" s="1">
        <v>17</v>
      </c>
      <c r="D2705" t="str">
        <f>VLOOKUP(B2705,Заказы!A:C,3,0)</f>
        <v>2023-07-14 15:09:00</v>
      </c>
      <c r="E2705" t="str">
        <f>VLOOKUP(C2705,Меню!A:E,4,0)</f>
        <v>Первое</v>
      </c>
      <c r="F2705">
        <f>VLOOKUP(C2705,Меню!A:E,5,0)</f>
        <v>250</v>
      </c>
    </row>
    <row r="2706" spans="1:6" ht="15.75" hidden="1" customHeight="1" x14ac:dyDescent="0.35">
      <c r="A2706" s="1">
        <v>2705</v>
      </c>
      <c r="B2706" s="1">
        <v>518</v>
      </c>
      <c r="C2706" s="1">
        <v>14</v>
      </c>
      <c r="D2706" t="str">
        <f>VLOOKUP(B2706,Заказы!A:C,3,0)</f>
        <v>2023-07-14 15:09:00</v>
      </c>
      <c r="E2706" t="str">
        <f>VLOOKUP(C2706,Меню!A:E,4,0)</f>
        <v>Первое</v>
      </c>
      <c r="F2706">
        <f>VLOOKUP(C2706,Меню!A:E,5,0)</f>
        <v>350</v>
      </c>
    </row>
    <row r="2707" spans="1:6" ht="15.75" hidden="1" customHeight="1" x14ac:dyDescent="0.35">
      <c r="A2707" s="1">
        <v>2706</v>
      </c>
      <c r="B2707" s="1">
        <v>519</v>
      </c>
      <c r="C2707" s="1">
        <v>42</v>
      </c>
      <c r="D2707" t="str">
        <f>VLOOKUP(B2707,Заказы!A:C,3,0)</f>
        <v>2023-07-15 15:21:00</v>
      </c>
      <c r="E2707" t="str">
        <f>VLOOKUP(C2707,Меню!A:E,4,0)</f>
        <v>Суши</v>
      </c>
      <c r="F2707">
        <f>VLOOKUP(C2707,Меню!A:E,5,0)</f>
        <v>250</v>
      </c>
    </row>
    <row r="2708" spans="1:6" ht="15.75" hidden="1" customHeight="1" x14ac:dyDescent="0.35">
      <c r="A2708" s="1">
        <v>2707</v>
      </c>
      <c r="B2708" s="1">
        <v>520</v>
      </c>
      <c r="C2708" s="1">
        <v>10</v>
      </c>
      <c r="D2708" t="str">
        <f>VLOOKUP(B2708,Заказы!A:C,3,0)</f>
        <v>2023-07-15 16:19:00</v>
      </c>
      <c r="E2708" t="str">
        <f>VLOOKUP(C2708,Меню!A:E,4,0)</f>
        <v>Завтрак</v>
      </c>
      <c r="F2708">
        <f>VLOOKUP(C2708,Меню!A:E,5,0)</f>
        <v>200</v>
      </c>
    </row>
    <row r="2709" spans="1:6" ht="15.75" hidden="1" customHeight="1" x14ac:dyDescent="0.35">
      <c r="A2709" s="1">
        <v>2708</v>
      </c>
      <c r="B2709" s="1">
        <v>520</v>
      </c>
      <c r="C2709" s="1">
        <v>26</v>
      </c>
      <c r="D2709" t="str">
        <f>VLOOKUP(B2709,Заказы!A:C,3,0)</f>
        <v>2023-07-15 16:19:00</v>
      </c>
      <c r="E2709" t="str">
        <f>VLOOKUP(C2709,Меню!A:E,4,0)</f>
        <v>Салат</v>
      </c>
      <c r="F2709">
        <f>VLOOKUP(C2709,Меню!A:E,5,0)</f>
        <v>250</v>
      </c>
    </row>
    <row r="2710" spans="1:6" ht="15.75" hidden="1" customHeight="1" x14ac:dyDescent="0.35">
      <c r="A2710" s="1">
        <v>2709</v>
      </c>
      <c r="B2710" s="1">
        <v>520</v>
      </c>
      <c r="C2710" s="1">
        <v>33</v>
      </c>
      <c r="D2710" t="str">
        <f>VLOOKUP(B2710,Заказы!A:C,3,0)</f>
        <v>2023-07-15 16:19:00</v>
      </c>
      <c r="E2710" t="str">
        <f>VLOOKUP(C2710,Меню!A:E,4,0)</f>
        <v>Десерт</v>
      </c>
      <c r="F2710">
        <f>VLOOKUP(C2710,Меню!A:E,5,0)</f>
        <v>150</v>
      </c>
    </row>
    <row r="2711" spans="1:6" ht="15.75" hidden="1" customHeight="1" x14ac:dyDescent="0.35">
      <c r="A2711" s="1">
        <v>2710</v>
      </c>
      <c r="B2711" s="1">
        <v>520</v>
      </c>
      <c r="C2711" s="1">
        <v>36</v>
      </c>
      <c r="D2711" t="str">
        <f>VLOOKUP(B2711,Заказы!A:C,3,0)</f>
        <v>2023-07-15 16:19:00</v>
      </c>
      <c r="E2711" t="str">
        <f>VLOOKUP(C2711,Меню!A:E,4,0)</f>
        <v>Десерт</v>
      </c>
      <c r="F2711">
        <f>VLOOKUP(C2711,Меню!A:E,5,0)</f>
        <v>150</v>
      </c>
    </row>
    <row r="2712" spans="1:6" ht="15.75" hidden="1" customHeight="1" x14ac:dyDescent="0.35">
      <c r="A2712" s="1">
        <v>2711</v>
      </c>
      <c r="B2712" s="1">
        <v>521</v>
      </c>
      <c r="C2712" s="1">
        <v>11</v>
      </c>
      <c r="D2712" t="str">
        <f>VLOOKUP(B2712,Заказы!A:C,3,0)</f>
        <v>2023-07-15 20:06:00</v>
      </c>
      <c r="E2712" t="str">
        <f>VLOOKUP(C2712,Меню!A:E,4,0)</f>
        <v>Первое</v>
      </c>
      <c r="F2712">
        <f>VLOOKUP(C2712,Меню!A:E,5,0)</f>
        <v>300</v>
      </c>
    </row>
    <row r="2713" spans="1:6" ht="15.75" hidden="1" customHeight="1" x14ac:dyDescent="0.35">
      <c r="A2713" s="1">
        <v>2712</v>
      </c>
      <c r="B2713" s="1">
        <v>521</v>
      </c>
      <c r="C2713" s="1">
        <v>8</v>
      </c>
      <c r="D2713" t="str">
        <f>VLOOKUP(B2713,Заказы!A:C,3,0)</f>
        <v>2023-07-15 20:06:00</v>
      </c>
      <c r="E2713" t="str">
        <f>VLOOKUP(C2713,Меню!A:E,4,0)</f>
        <v>Завтрак</v>
      </c>
      <c r="F2713">
        <f>VLOOKUP(C2713,Меню!A:E,5,0)</f>
        <v>180</v>
      </c>
    </row>
    <row r="2714" spans="1:6" ht="15.75" hidden="1" customHeight="1" x14ac:dyDescent="0.35">
      <c r="A2714" s="1">
        <v>2713</v>
      </c>
      <c r="B2714" s="1">
        <v>521</v>
      </c>
      <c r="C2714" s="1">
        <v>13</v>
      </c>
      <c r="D2714" t="str">
        <f>VLOOKUP(B2714,Заказы!A:C,3,0)</f>
        <v>2023-07-15 20:06:00</v>
      </c>
      <c r="E2714" t="str">
        <f>VLOOKUP(C2714,Меню!A:E,4,0)</f>
        <v>Первое</v>
      </c>
      <c r="F2714">
        <f>VLOOKUP(C2714,Меню!A:E,5,0)</f>
        <v>280</v>
      </c>
    </row>
    <row r="2715" spans="1:6" ht="15.75" hidden="1" customHeight="1" x14ac:dyDescent="0.35">
      <c r="A2715" s="1">
        <v>2714</v>
      </c>
      <c r="B2715" s="1">
        <v>521</v>
      </c>
      <c r="C2715" s="1">
        <v>36</v>
      </c>
      <c r="D2715" t="str">
        <f>VLOOKUP(B2715,Заказы!A:C,3,0)</f>
        <v>2023-07-15 20:06:00</v>
      </c>
      <c r="E2715" t="str">
        <f>VLOOKUP(C2715,Меню!A:E,4,0)</f>
        <v>Десерт</v>
      </c>
      <c r="F2715">
        <f>VLOOKUP(C2715,Меню!A:E,5,0)</f>
        <v>150</v>
      </c>
    </row>
    <row r="2716" spans="1:6" ht="15.75" hidden="1" customHeight="1" x14ac:dyDescent="0.35">
      <c r="A2716" s="1">
        <v>2715</v>
      </c>
      <c r="B2716" s="1">
        <v>521</v>
      </c>
      <c r="C2716" s="1">
        <v>28</v>
      </c>
      <c r="D2716" t="str">
        <f>VLOOKUP(B2716,Заказы!A:C,3,0)</f>
        <v>2023-07-15 20:06:00</v>
      </c>
      <c r="E2716" t="str">
        <f>VLOOKUP(C2716,Меню!A:E,4,0)</f>
        <v>Салат</v>
      </c>
      <c r="F2716">
        <f>VLOOKUP(C2716,Меню!A:E,5,0)</f>
        <v>250</v>
      </c>
    </row>
    <row r="2717" spans="1:6" ht="15.75" hidden="1" customHeight="1" x14ac:dyDescent="0.35">
      <c r="A2717" s="1">
        <v>2716</v>
      </c>
      <c r="B2717" s="1">
        <v>521</v>
      </c>
      <c r="C2717" s="1">
        <v>44</v>
      </c>
      <c r="D2717" t="str">
        <f>VLOOKUP(B2717,Заказы!A:C,3,0)</f>
        <v>2023-07-15 20:06:00</v>
      </c>
      <c r="E2717" t="str">
        <f>VLOOKUP(C2717,Меню!A:E,4,0)</f>
        <v>Суши</v>
      </c>
      <c r="F2717">
        <f>VLOOKUP(C2717,Меню!A:E,5,0)</f>
        <v>250</v>
      </c>
    </row>
    <row r="2718" spans="1:6" ht="15.75" hidden="1" customHeight="1" x14ac:dyDescent="0.35">
      <c r="A2718" s="1">
        <v>2717</v>
      </c>
      <c r="B2718" s="1">
        <v>521</v>
      </c>
      <c r="C2718" s="1">
        <v>43</v>
      </c>
      <c r="D2718" t="str">
        <f>VLOOKUP(B2718,Заказы!A:C,3,0)</f>
        <v>2023-07-15 20:06:00</v>
      </c>
      <c r="E2718" t="str">
        <f>VLOOKUP(C2718,Меню!A:E,4,0)</f>
        <v>Суши</v>
      </c>
      <c r="F2718">
        <f>VLOOKUP(C2718,Меню!A:E,5,0)</f>
        <v>250</v>
      </c>
    </row>
    <row r="2719" spans="1:6" ht="15.75" hidden="1" customHeight="1" x14ac:dyDescent="0.35">
      <c r="A2719" s="1">
        <v>2718</v>
      </c>
      <c r="B2719" s="1">
        <v>522</v>
      </c>
      <c r="C2719" s="1">
        <v>55</v>
      </c>
      <c r="D2719" t="str">
        <f>VLOOKUP(B2719,Заказы!A:C,3,0)</f>
        <v>2023-07-15 21:18:00</v>
      </c>
      <c r="E2719" t="str">
        <f>VLOOKUP(C2719,Меню!A:E,4,0)</f>
        <v>Суши</v>
      </c>
      <c r="F2719">
        <f>VLOOKUP(C2719,Меню!A:E,5,0)</f>
        <v>100</v>
      </c>
    </row>
    <row r="2720" spans="1:6" ht="15.75" hidden="1" customHeight="1" x14ac:dyDescent="0.35">
      <c r="A2720" s="1">
        <v>2719</v>
      </c>
      <c r="B2720" s="1">
        <v>522</v>
      </c>
      <c r="C2720" s="1">
        <v>20</v>
      </c>
      <c r="D2720" t="str">
        <f>VLOOKUP(B2720,Заказы!A:C,3,0)</f>
        <v>2023-07-15 21:18:00</v>
      </c>
      <c r="E2720" t="str">
        <f>VLOOKUP(C2720,Меню!A:E,4,0)</f>
        <v>Первое</v>
      </c>
      <c r="F2720">
        <f>VLOOKUP(C2720,Меню!A:E,5,0)</f>
        <v>250</v>
      </c>
    </row>
    <row r="2721" spans="1:6" ht="15.75" hidden="1" customHeight="1" x14ac:dyDescent="0.35">
      <c r="A2721" s="1">
        <v>2720</v>
      </c>
      <c r="B2721" s="1">
        <v>522</v>
      </c>
      <c r="C2721" s="1">
        <v>39</v>
      </c>
      <c r="D2721" t="str">
        <f>VLOOKUP(B2721,Заказы!A:C,3,0)</f>
        <v>2023-07-15 21:18:00</v>
      </c>
      <c r="E2721" t="str">
        <f>VLOOKUP(C2721,Меню!A:E,4,0)</f>
        <v>Десерт</v>
      </c>
      <c r="F2721">
        <f>VLOOKUP(C2721,Меню!A:E,5,0)</f>
        <v>150</v>
      </c>
    </row>
    <row r="2722" spans="1:6" ht="15.75" hidden="1" customHeight="1" x14ac:dyDescent="0.35">
      <c r="A2722" s="1">
        <v>2721</v>
      </c>
      <c r="B2722" s="1">
        <v>522</v>
      </c>
      <c r="C2722" s="1">
        <v>20</v>
      </c>
      <c r="D2722" t="str">
        <f>VLOOKUP(B2722,Заказы!A:C,3,0)</f>
        <v>2023-07-15 21:18:00</v>
      </c>
      <c r="E2722" t="str">
        <f>VLOOKUP(C2722,Меню!A:E,4,0)</f>
        <v>Первое</v>
      </c>
      <c r="F2722">
        <f>VLOOKUP(C2722,Меню!A:E,5,0)</f>
        <v>250</v>
      </c>
    </row>
    <row r="2723" spans="1:6" ht="15.75" hidden="1" customHeight="1" x14ac:dyDescent="0.35">
      <c r="A2723" s="1">
        <v>2722</v>
      </c>
      <c r="B2723" s="1">
        <v>523</v>
      </c>
      <c r="C2723" s="1">
        <v>26</v>
      </c>
      <c r="D2723" t="str">
        <f>VLOOKUP(B2723,Заказы!A:C,3,0)</f>
        <v>2023-07-16 16:19:00</v>
      </c>
      <c r="E2723" t="str">
        <f>VLOOKUP(C2723,Меню!A:E,4,0)</f>
        <v>Салат</v>
      </c>
      <c r="F2723">
        <f>VLOOKUP(C2723,Меню!A:E,5,0)</f>
        <v>250</v>
      </c>
    </row>
    <row r="2724" spans="1:6" ht="15.75" hidden="1" customHeight="1" x14ac:dyDescent="0.35">
      <c r="A2724" s="1">
        <v>2723</v>
      </c>
      <c r="B2724" s="1">
        <v>523</v>
      </c>
      <c r="C2724" s="1">
        <v>20</v>
      </c>
      <c r="D2724" t="str">
        <f>VLOOKUP(B2724,Заказы!A:C,3,0)</f>
        <v>2023-07-16 16:19:00</v>
      </c>
      <c r="E2724" t="str">
        <f>VLOOKUP(C2724,Меню!A:E,4,0)</f>
        <v>Первое</v>
      </c>
      <c r="F2724">
        <f>VLOOKUP(C2724,Меню!A:E,5,0)</f>
        <v>250</v>
      </c>
    </row>
    <row r="2725" spans="1:6" ht="15.75" hidden="1" customHeight="1" x14ac:dyDescent="0.35">
      <c r="A2725" s="1">
        <v>2724</v>
      </c>
      <c r="B2725" s="1">
        <v>523</v>
      </c>
      <c r="C2725" s="1">
        <v>14</v>
      </c>
      <c r="D2725" t="str">
        <f>VLOOKUP(B2725,Заказы!A:C,3,0)</f>
        <v>2023-07-16 16:19:00</v>
      </c>
      <c r="E2725" t="str">
        <f>VLOOKUP(C2725,Меню!A:E,4,0)</f>
        <v>Первое</v>
      </c>
      <c r="F2725">
        <f>VLOOKUP(C2725,Меню!A:E,5,0)</f>
        <v>350</v>
      </c>
    </row>
    <row r="2726" spans="1:6" ht="15.75" hidden="1" customHeight="1" x14ac:dyDescent="0.35">
      <c r="A2726" s="1">
        <v>2725</v>
      </c>
      <c r="B2726" s="1">
        <v>524</v>
      </c>
      <c r="C2726" s="1">
        <v>25</v>
      </c>
      <c r="D2726" t="str">
        <f>VLOOKUP(B2726,Заказы!A:C,3,0)</f>
        <v>2023-07-16 17:43:00</v>
      </c>
      <c r="E2726" t="str">
        <f>VLOOKUP(C2726,Меню!A:E,4,0)</f>
        <v>Салат</v>
      </c>
      <c r="F2726">
        <f>VLOOKUP(C2726,Меню!A:E,5,0)</f>
        <v>250</v>
      </c>
    </row>
    <row r="2727" spans="1:6" ht="15.75" hidden="1" customHeight="1" x14ac:dyDescent="0.35">
      <c r="A2727" s="1">
        <v>2726</v>
      </c>
      <c r="B2727" s="1">
        <v>524</v>
      </c>
      <c r="C2727" s="1">
        <v>17</v>
      </c>
      <c r="D2727" t="str">
        <f>VLOOKUP(B2727,Заказы!A:C,3,0)</f>
        <v>2023-07-16 17:43:00</v>
      </c>
      <c r="E2727" t="str">
        <f>VLOOKUP(C2727,Меню!A:E,4,0)</f>
        <v>Первое</v>
      </c>
      <c r="F2727">
        <f>VLOOKUP(C2727,Меню!A:E,5,0)</f>
        <v>250</v>
      </c>
    </row>
    <row r="2728" spans="1:6" ht="15.75" hidden="1" customHeight="1" x14ac:dyDescent="0.35">
      <c r="A2728" s="1">
        <v>2727</v>
      </c>
      <c r="B2728" s="1">
        <v>524</v>
      </c>
      <c r="C2728" s="1">
        <v>45</v>
      </c>
      <c r="D2728" t="str">
        <f>VLOOKUP(B2728,Заказы!A:C,3,0)</f>
        <v>2023-07-16 17:43:00</v>
      </c>
      <c r="E2728" t="str">
        <f>VLOOKUP(C2728,Меню!A:E,4,0)</f>
        <v>Суши</v>
      </c>
      <c r="F2728">
        <f>VLOOKUP(C2728,Меню!A:E,5,0)</f>
        <v>200</v>
      </c>
    </row>
    <row r="2729" spans="1:6" ht="15.75" hidden="1" customHeight="1" x14ac:dyDescent="0.35">
      <c r="A2729" s="1">
        <v>2728</v>
      </c>
      <c r="B2729" s="1">
        <v>524</v>
      </c>
      <c r="C2729" s="1">
        <v>58</v>
      </c>
      <c r="D2729" t="str">
        <f>VLOOKUP(B2729,Заказы!A:C,3,0)</f>
        <v>2023-07-16 17:43:00</v>
      </c>
      <c r="E2729" t="str">
        <f>VLOOKUP(C2729,Меню!A:E,4,0)</f>
        <v>Суши</v>
      </c>
      <c r="F2729">
        <f>VLOOKUP(C2729,Меню!A:E,5,0)</f>
        <v>200</v>
      </c>
    </row>
    <row r="2730" spans="1:6" ht="15.75" hidden="1" customHeight="1" x14ac:dyDescent="0.35">
      <c r="A2730" s="1">
        <v>2729</v>
      </c>
      <c r="B2730" s="1">
        <v>524</v>
      </c>
      <c r="C2730" s="1">
        <v>42</v>
      </c>
      <c r="D2730" t="str">
        <f>VLOOKUP(B2730,Заказы!A:C,3,0)</f>
        <v>2023-07-16 17:43:00</v>
      </c>
      <c r="E2730" t="str">
        <f>VLOOKUP(C2730,Меню!A:E,4,0)</f>
        <v>Суши</v>
      </c>
      <c r="F2730">
        <f>VLOOKUP(C2730,Меню!A:E,5,0)</f>
        <v>250</v>
      </c>
    </row>
    <row r="2731" spans="1:6" ht="15.75" hidden="1" customHeight="1" x14ac:dyDescent="0.35">
      <c r="A2731" s="1">
        <v>2730</v>
      </c>
      <c r="B2731" s="1">
        <v>524</v>
      </c>
      <c r="C2731" s="1">
        <v>43</v>
      </c>
      <c r="D2731" t="str">
        <f>VLOOKUP(B2731,Заказы!A:C,3,0)</f>
        <v>2023-07-16 17:43:00</v>
      </c>
      <c r="E2731" t="str">
        <f>VLOOKUP(C2731,Меню!A:E,4,0)</f>
        <v>Суши</v>
      </c>
      <c r="F2731">
        <f>VLOOKUP(C2731,Меню!A:E,5,0)</f>
        <v>250</v>
      </c>
    </row>
    <row r="2732" spans="1:6" ht="15.75" hidden="1" customHeight="1" x14ac:dyDescent="0.35">
      <c r="A2732" s="1">
        <v>2731</v>
      </c>
      <c r="B2732" s="1">
        <v>524</v>
      </c>
      <c r="C2732" s="1">
        <v>31</v>
      </c>
      <c r="D2732" t="str">
        <f>VLOOKUP(B2732,Заказы!A:C,3,0)</f>
        <v>2023-07-16 17:43:00</v>
      </c>
      <c r="E2732" t="str">
        <f>VLOOKUP(C2732,Меню!A:E,4,0)</f>
        <v>Десерт</v>
      </c>
      <c r="F2732">
        <f>VLOOKUP(C2732,Меню!A:E,5,0)</f>
        <v>150</v>
      </c>
    </row>
    <row r="2733" spans="1:6" ht="15.75" hidden="1" customHeight="1" x14ac:dyDescent="0.35">
      <c r="A2733" s="1">
        <v>2732</v>
      </c>
      <c r="B2733" s="1">
        <v>524</v>
      </c>
      <c r="C2733" s="1">
        <v>48</v>
      </c>
      <c r="D2733" t="str">
        <f>VLOOKUP(B2733,Заказы!A:C,3,0)</f>
        <v>2023-07-16 17:43:00</v>
      </c>
      <c r="E2733" t="str">
        <f>VLOOKUP(C2733,Меню!A:E,4,0)</f>
        <v>Суши</v>
      </c>
      <c r="F2733">
        <f>VLOOKUP(C2733,Меню!A:E,5,0)</f>
        <v>200</v>
      </c>
    </row>
    <row r="2734" spans="1:6" ht="15.75" hidden="1" customHeight="1" x14ac:dyDescent="0.35">
      <c r="A2734" s="1">
        <v>2733</v>
      </c>
      <c r="B2734" s="1">
        <v>524</v>
      </c>
      <c r="C2734" s="1">
        <v>31</v>
      </c>
      <c r="D2734" t="str">
        <f>VLOOKUP(B2734,Заказы!A:C,3,0)</f>
        <v>2023-07-16 17:43:00</v>
      </c>
      <c r="E2734" t="str">
        <f>VLOOKUP(C2734,Меню!A:E,4,0)</f>
        <v>Десерт</v>
      </c>
      <c r="F2734">
        <f>VLOOKUP(C2734,Меню!A:E,5,0)</f>
        <v>150</v>
      </c>
    </row>
    <row r="2735" spans="1:6" ht="15.75" hidden="1" customHeight="1" x14ac:dyDescent="0.35">
      <c r="A2735" s="1">
        <v>2734</v>
      </c>
      <c r="B2735" s="1">
        <v>525</v>
      </c>
      <c r="C2735" s="1">
        <v>55</v>
      </c>
      <c r="D2735" t="str">
        <f>VLOOKUP(B2735,Заказы!A:C,3,0)</f>
        <v>2023-07-16 18:34:00</v>
      </c>
      <c r="E2735" t="str">
        <f>VLOOKUP(C2735,Меню!A:E,4,0)</f>
        <v>Суши</v>
      </c>
      <c r="F2735">
        <f>VLOOKUP(C2735,Меню!A:E,5,0)</f>
        <v>100</v>
      </c>
    </row>
    <row r="2736" spans="1:6" ht="15.75" hidden="1" customHeight="1" x14ac:dyDescent="0.35">
      <c r="A2736" s="1">
        <v>2735</v>
      </c>
      <c r="B2736" s="1">
        <v>525</v>
      </c>
      <c r="C2736" s="1">
        <v>24</v>
      </c>
      <c r="D2736" t="str">
        <f>VLOOKUP(B2736,Заказы!A:C,3,0)</f>
        <v>2023-07-16 18:34:00</v>
      </c>
      <c r="E2736" t="str">
        <f>VLOOKUP(C2736,Меню!A:E,4,0)</f>
        <v>Салат</v>
      </c>
      <c r="F2736">
        <f>VLOOKUP(C2736,Меню!A:E,5,0)</f>
        <v>250</v>
      </c>
    </row>
    <row r="2737" spans="1:6" ht="15.75" hidden="1" customHeight="1" x14ac:dyDescent="0.35">
      <c r="A2737" s="1">
        <v>2736</v>
      </c>
      <c r="B2737" s="1">
        <v>525</v>
      </c>
      <c r="C2737" s="1">
        <v>18</v>
      </c>
      <c r="D2737" t="str">
        <f>VLOOKUP(B2737,Заказы!A:C,3,0)</f>
        <v>2023-07-16 18:34:00</v>
      </c>
      <c r="E2737" t="str">
        <f>VLOOKUP(C2737,Меню!A:E,4,0)</f>
        <v>Первое</v>
      </c>
      <c r="F2737">
        <f>VLOOKUP(C2737,Меню!A:E,5,0)</f>
        <v>300</v>
      </c>
    </row>
    <row r="2738" spans="1:6" ht="15.75" hidden="1" customHeight="1" x14ac:dyDescent="0.35">
      <c r="A2738" s="1">
        <v>2737</v>
      </c>
      <c r="B2738" s="1">
        <v>525</v>
      </c>
      <c r="C2738" s="1">
        <v>51</v>
      </c>
      <c r="D2738" t="str">
        <f>VLOOKUP(B2738,Заказы!A:C,3,0)</f>
        <v>2023-07-16 18:34:00</v>
      </c>
      <c r="E2738" t="str">
        <f>VLOOKUP(C2738,Меню!A:E,4,0)</f>
        <v>Суши</v>
      </c>
      <c r="F2738">
        <f>VLOOKUP(C2738,Меню!A:E,5,0)</f>
        <v>100</v>
      </c>
    </row>
    <row r="2739" spans="1:6" ht="15.75" hidden="1" customHeight="1" x14ac:dyDescent="0.35">
      <c r="A2739" s="1">
        <v>2738</v>
      </c>
      <c r="B2739" s="1">
        <v>525</v>
      </c>
      <c r="C2739" s="1">
        <v>30</v>
      </c>
      <c r="D2739" t="str">
        <f>VLOOKUP(B2739,Заказы!A:C,3,0)</f>
        <v>2023-07-16 18:34:00</v>
      </c>
      <c r="E2739" t="str">
        <f>VLOOKUP(C2739,Меню!A:E,4,0)</f>
        <v>Салат</v>
      </c>
      <c r="F2739">
        <f>VLOOKUP(C2739,Меню!A:E,5,0)</f>
        <v>250</v>
      </c>
    </row>
    <row r="2740" spans="1:6" ht="15.75" hidden="1" customHeight="1" x14ac:dyDescent="0.35">
      <c r="A2740" s="1">
        <v>2739</v>
      </c>
      <c r="B2740" s="1">
        <v>525</v>
      </c>
      <c r="C2740" s="1">
        <v>51</v>
      </c>
      <c r="D2740" t="str">
        <f>VLOOKUP(B2740,Заказы!A:C,3,0)</f>
        <v>2023-07-16 18:34:00</v>
      </c>
      <c r="E2740" t="str">
        <f>VLOOKUP(C2740,Меню!A:E,4,0)</f>
        <v>Суши</v>
      </c>
      <c r="F2740">
        <f>VLOOKUP(C2740,Меню!A:E,5,0)</f>
        <v>100</v>
      </c>
    </row>
    <row r="2741" spans="1:6" ht="15.75" hidden="1" customHeight="1" x14ac:dyDescent="0.35">
      <c r="A2741" s="1">
        <v>2740</v>
      </c>
      <c r="B2741" s="1">
        <v>525</v>
      </c>
      <c r="C2741" s="1">
        <v>40</v>
      </c>
      <c r="D2741" t="str">
        <f>VLOOKUP(B2741,Заказы!A:C,3,0)</f>
        <v>2023-07-16 18:34:00</v>
      </c>
      <c r="E2741" t="str">
        <f>VLOOKUP(C2741,Меню!A:E,4,0)</f>
        <v>Десерт</v>
      </c>
      <c r="F2741">
        <f>VLOOKUP(C2741,Меню!A:E,5,0)</f>
        <v>150</v>
      </c>
    </row>
    <row r="2742" spans="1:6" ht="15.75" hidden="1" customHeight="1" x14ac:dyDescent="0.35">
      <c r="A2742" s="1">
        <v>2741</v>
      </c>
      <c r="B2742" s="1">
        <v>526</v>
      </c>
      <c r="C2742" s="1">
        <v>13</v>
      </c>
      <c r="D2742" t="str">
        <f>VLOOKUP(B2742,Заказы!A:C,3,0)</f>
        <v>2023-07-16 20:42:00</v>
      </c>
      <c r="E2742" t="str">
        <f>VLOOKUP(C2742,Меню!A:E,4,0)</f>
        <v>Первое</v>
      </c>
      <c r="F2742">
        <f>VLOOKUP(C2742,Меню!A:E,5,0)</f>
        <v>280</v>
      </c>
    </row>
    <row r="2743" spans="1:6" ht="15.75" hidden="1" customHeight="1" x14ac:dyDescent="0.35">
      <c r="A2743" s="1">
        <v>2742</v>
      </c>
      <c r="B2743" s="1">
        <v>526</v>
      </c>
      <c r="C2743" s="1">
        <v>21</v>
      </c>
      <c r="D2743" t="str">
        <f>VLOOKUP(B2743,Заказы!A:C,3,0)</f>
        <v>2023-07-16 20:42:00</v>
      </c>
      <c r="E2743" t="str">
        <f>VLOOKUP(C2743,Меню!A:E,4,0)</f>
        <v>Салат</v>
      </c>
      <c r="F2743">
        <f>VLOOKUP(C2743,Меню!A:E,5,0)</f>
        <v>250</v>
      </c>
    </row>
    <row r="2744" spans="1:6" ht="15.75" hidden="1" customHeight="1" x14ac:dyDescent="0.35">
      <c r="A2744" s="1">
        <v>2743</v>
      </c>
      <c r="B2744" s="1">
        <v>526</v>
      </c>
      <c r="C2744" s="1">
        <v>49</v>
      </c>
      <c r="D2744" t="str">
        <f>VLOOKUP(B2744,Заказы!A:C,3,0)</f>
        <v>2023-07-16 20:42:00</v>
      </c>
      <c r="E2744" t="str">
        <f>VLOOKUP(C2744,Меню!A:E,4,0)</f>
        <v>Суши</v>
      </c>
      <c r="F2744">
        <f>VLOOKUP(C2744,Меню!A:E,5,0)</f>
        <v>200</v>
      </c>
    </row>
    <row r="2745" spans="1:6" ht="15.75" hidden="1" customHeight="1" x14ac:dyDescent="0.35">
      <c r="A2745" s="1">
        <v>2744</v>
      </c>
      <c r="B2745" s="1">
        <v>526</v>
      </c>
      <c r="C2745" s="1">
        <v>46</v>
      </c>
      <c r="D2745" t="str">
        <f>VLOOKUP(B2745,Заказы!A:C,3,0)</f>
        <v>2023-07-16 20:42:00</v>
      </c>
      <c r="E2745" t="str">
        <f>VLOOKUP(C2745,Меню!A:E,4,0)</f>
        <v>Суши</v>
      </c>
      <c r="F2745">
        <f>VLOOKUP(C2745,Меню!A:E,5,0)</f>
        <v>200</v>
      </c>
    </row>
    <row r="2746" spans="1:6" ht="15.75" hidden="1" customHeight="1" x14ac:dyDescent="0.35">
      <c r="A2746" s="1">
        <v>2745</v>
      </c>
      <c r="B2746" s="1">
        <v>526</v>
      </c>
      <c r="C2746" s="1">
        <v>9</v>
      </c>
      <c r="D2746" t="str">
        <f>VLOOKUP(B2746,Заказы!A:C,3,0)</f>
        <v>2023-07-16 20:42:00</v>
      </c>
      <c r="E2746" t="str">
        <f>VLOOKUP(C2746,Меню!A:E,4,0)</f>
        <v>Завтрак</v>
      </c>
      <c r="F2746">
        <f>VLOOKUP(C2746,Меню!A:E,5,0)</f>
        <v>220</v>
      </c>
    </row>
    <row r="2747" spans="1:6" ht="15.75" hidden="1" customHeight="1" x14ac:dyDescent="0.35">
      <c r="A2747" s="1">
        <v>2746</v>
      </c>
      <c r="B2747" s="1">
        <v>526</v>
      </c>
      <c r="C2747" s="1">
        <v>55</v>
      </c>
      <c r="D2747" t="str">
        <f>VLOOKUP(B2747,Заказы!A:C,3,0)</f>
        <v>2023-07-16 20:42:00</v>
      </c>
      <c r="E2747" t="str">
        <f>VLOOKUP(C2747,Меню!A:E,4,0)</f>
        <v>Суши</v>
      </c>
      <c r="F2747">
        <f>VLOOKUP(C2747,Меню!A:E,5,0)</f>
        <v>100</v>
      </c>
    </row>
    <row r="2748" spans="1:6" ht="15.75" hidden="1" customHeight="1" x14ac:dyDescent="0.35">
      <c r="A2748" s="1">
        <v>2747</v>
      </c>
      <c r="B2748" s="1">
        <v>526</v>
      </c>
      <c r="C2748" s="1">
        <v>56</v>
      </c>
      <c r="D2748" t="str">
        <f>VLOOKUP(B2748,Заказы!A:C,3,0)</f>
        <v>2023-07-16 20:42:00</v>
      </c>
      <c r="E2748" t="str">
        <f>VLOOKUP(C2748,Меню!A:E,4,0)</f>
        <v>Суши</v>
      </c>
      <c r="F2748">
        <f>VLOOKUP(C2748,Меню!A:E,5,0)</f>
        <v>200</v>
      </c>
    </row>
    <row r="2749" spans="1:6" ht="15.75" hidden="1" customHeight="1" x14ac:dyDescent="0.35">
      <c r="A2749" s="1">
        <v>2748</v>
      </c>
      <c r="B2749" s="1">
        <v>526</v>
      </c>
      <c r="C2749" s="1">
        <v>42</v>
      </c>
      <c r="D2749" t="str">
        <f>VLOOKUP(B2749,Заказы!A:C,3,0)</f>
        <v>2023-07-16 20:42:00</v>
      </c>
      <c r="E2749" t="str">
        <f>VLOOKUP(C2749,Меню!A:E,4,0)</f>
        <v>Суши</v>
      </c>
      <c r="F2749">
        <f>VLOOKUP(C2749,Меню!A:E,5,0)</f>
        <v>250</v>
      </c>
    </row>
    <row r="2750" spans="1:6" ht="15.75" hidden="1" customHeight="1" x14ac:dyDescent="0.35">
      <c r="A2750" s="1">
        <v>2749</v>
      </c>
      <c r="B2750" s="1">
        <v>527</v>
      </c>
      <c r="C2750" s="1">
        <v>20</v>
      </c>
      <c r="D2750" t="str">
        <f>VLOOKUP(B2750,Заказы!A:C,3,0)</f>
        <v>2023-07-17 15:12:00</v>
      </c>
      <c r="E2750" t="str">
        <f>VLOOKUP(C2750,Меню!A:E,4,0)</f>
        <v>Первое</v>
      </c>
      <c r="F2750">
        <f>VLOOKUP(C2750,Меню!A:E,5,0)</f>
        <v>250</v>
      </c>
    </row>
    <row r="2751" spans="1:6" ht="15.75" hidden="1" customHeight="1" x14ac:dyDescent="0.35">
      <c r="A2751" s="1">
        <v>2750</v>
      </c>
      <c r="B2751" s="1">
        <v>527</v>
      </c>
      <c r="C2751" s="1">
        <v>13</v>
      </c>
      <c r="D2751" t="str">
        <f>VLOOKUP(B2751,Заказы!A:C,3,0)</f>
        <v>2023-07-17 15:12:00</v>
      </c>
      <c r="E2751" t="str">
        <f>VLOOKUP(C2751,Меню!A:E,4,0)</f>
        <v>Первое</v>
      </c>
      <c r="F2751">
        <f>VLOOKUP(C2751,Меню!A:E,5,0)</f>
        <v>280</v>
      </c>
    </row>
    <row r="2752" spans="1:6" ht="15.75" hidden="1" customHeight="1" x14ac:dyDescent="0.35">
      <c r="A2752" s="1">
        <v>2751</v>
      </c>
      <c r="B2752" s="1">
        <v>527</v>
      </c>
      <c r="C2752" s="1">
        <v>32</v>
      </c>
      <c r="D2752" t="str">
        <f>VLOOKUP(B2752,Заказы!A:C,3,0)</f>
        <v>2023-07-17 15:12:00</v>
      </c>
      <c r="E2752" t="str">
        <f>VLOOKUP(C2752,Меню!A:E,4,0)</f>
        <v>Десерт</v>
      </c>
      <c r="F2752">
        <f>VLOOKUP(C2752,Меню!A:E,5,0)</f>
        <v>150</v>
      </c>
    </row>
    <row r="2753" spans="1:6" ht="15.75" hidden="1" customHeight="1" x14ac:dyDescent="0.35">
      <c r="A2753" s="1">
        <v>2752</v>
      </c>
      <c r="B2753" s="1">
        <v>527</v>
      </c>
      <c r="C2753" s="1">
        <v>13</v>
      </c>
      <c r="D2753" t="str">
        <f>VLOOKUP(B2753,Заказы!A:C,3,0)</f>
        <v>2023-07-17 15:12:00</v>
      </c>
      <c r="E2753" t="str">
        <f>VLOOKUP(C2753,Меню!A:E,4,0)</f>
        <v>Первое</v>
      </c>
      <c r="F2753">
        <f>VLOOKUP(C2753,Меню!A:E,5,0)</f>
        <v>280</v>
      </c>
    </row>
    <row r="2754" spans="1:6" ht="15.75" hidden="1" customHeight="1" x14ac:dyDescent="0.35">
      <c r="A2754" s="1">
        <v>2753</v>
      </c>
      <c r="B2754" s="1">
        <v>527</v>
      </c>
      <c r="C2754" s="1">
        <v>3</v>
      </c>
      <c r="D2754" t="str">
        <f>VLOOKUP(B2754,Заказы!A:C,3,0)</f>
        <v>2023-07-17 15:12:00</v>
      </c>
      <c r="E2754" t="str">
        <f>VLOOKUP(C2754,Меню!A:E,4,0)</f>
        <v>Завтрак</v>
      </c>
      <c r="F2754">
        <f>VLOOKUP(C2754,Меню!A:E,5,0)</f>
        <v>150</v>
      </c>
    </row>
    <row r="2755" spans="1:6" ht="15.75" hidden="1" customHeight="1" x14ac:dyDescent="0.35">
      <c r="A2755" s="1">
        <v>2754</v>
      </c>
      <c r="B2755" s="1">
        <v>528</v>
      </c>
      <c r="C2755" s="1">
        <v>4</v>
      </c>
      <c r="D2755" t="str">
        <f>VLOOKUP(B2755,Заказы!A:C,3,0)</f>
        <v>2023-07-17 15:36:00</v>
      </c>
      <c r="E2755" t="str">
        <f>VLOOKUP(C2755,Меню!A:E,4,0)</f>
        <v>Завтрак</v>
      </c>
      <c r="F2755">
        <f>VLOOKUP(C2755,Меню!A:E,5,0)</f>
        <v>180</v>
      </c>
    </row>
    <row r="2756" spans="1:6" ht="15.75" hidden="1" customHeight="1" x14ac:dyDescent="0.35">
      <c r="A2756" s="1">
        <v>2755</v>
      </c>
      <c r="B2756" s="1">
        <v>529</v>
      </c>
      <c r="C2756" s="1">
        <v>31</v>
      </c>
      <c r="D2756" t="str">
        <f>VLOOKUP(B2756,Заказы!A:C,3,0)</f>
        <v>2023-07-17 18:08:00</v>
      </c>
      <c r="E2756" t="str">
        <f>VLOOKUP(C2756,Меню!A:E,4,0)</f>
        <v>Десерт</v>
      </c>
      <c r="F2756">
        <f>VLOOKUP(C2756,Меню!A:E,5,0)</f>
        <v>150</v>
      </c>
    </row>
    <row r="2757" spans="1:6" ht="15.75" hidden="1" customHeight="1" x14ac:dyDescent="0.35">
      <c r="A2757" s="1">
        <v>2756</v>
      </c>
      <c r="B2757" s="1">
        <v>529</v>
      </c>
      <c r="C2757" s="1">
        <v>27</v>
      </c>
      <c r="D2757" t="str">
        <f>VLOOKUP(B2757,Заказы!A:C,3,0)</f>
        <v>2023-07-17 18:08:00</v>
      </c>
      <c r="E2757" t="str">
        <f>VLOOKUP(C2757,Меню!A:E,4,0)</f>
        <v>Салат</v>
      </c>
      <c r="F2757">
        <f>VLOOKUP(C2757,Меню!A:E,5,0)</f>
        <v>250</v>
      </c>
    </row>
    <row r="2758" spans="1:6" ht="15.75" hidden="1" customHeight="1" x14ac:dyDescent="0.35">
      <c r="A2758" s="1">
        <v>2757</v>
      </c>
      <c r="B2758" s="1">
        <v>529</v>
      </c>
      <c r="C2758" s="1">
        <v>12</v>
      </c>
      <c r="D2758" t="str">
        <f>VLOOKUP(B2758,Заказы!A:C,3,0)</f>
        <v>2023-07-17 18:08:00</v>
      </c>
      <c r="E2758" t="str">
        <f>VLOOKUP(C2758,Меню!A:E,4,0)</f>
        <v>Первое</v>
      </c>
      <c r="F2758">
        <f>VLOOKUP(C2758,Меню!A:E,5,0)</f>
        <v>300</v>
      </c>
    </row>
    <row r="2759" spans="1:6" ht="15.75" hidden="1" customHeight="1" x14ac:dyDescent="0.35">
      <c r="A2759" s="1">
        <v>2758</v>
      </c>
      <c r="B2759" s="1">
        <v>530</v>
      </c>
      <c r="C2759" s="1">
        <v>34</v>
      </c>
      <c r="D2759" t="str">
        <f>VLOOKUP(B2759,Заказы!A:C,3,0)</f>
        <v>2023-07-17 18:28:00</v>
      </c>
      <c r="E2759" t="str">
        <f>VLOOKUP(C2759,Меню!A:E,4,0)</f>
        <v>Десерт</v>
      </c>
      <c r="F2759">
        <f>VLOOKUP(C2759,Меню!A:E,5,0)</f>
        <v>150</v>
      </c>
    </row>
    <row r="2760" spans="1:6" ht="15.75" hidden="1" customHeight="1" x14ac:dyDescent="0.35">
      <c r="A2760" s="1">
        <v>2759</v>
      </c>
      <c r="B2760" s="1">
        <v>531</v>
      </c>
      <c r="C2760" s="1">
        <v>53</v>
      </c>
      <c r="D2760" t="str">
        <f>VLOOKUP(B2760,Заказы!A:C,3,0)</f>
        <v>2023-07-17 19:06:00</v>
      </c>
      <c r="E2760" t="str">
        <f>VLOOKUP(C2760,Меню!A:E,4,0)</f>
        <v>Суши</v>
      </c>
      <c r="F2760">
        <f>VLOOKUP(C2760,Меню!A:E,5,0)</f>
        <v>100</v>
      </c>
    </row>
    <row r="2761" spans="1:6" ht="15.75" hidden="1" customHeight="1" x14ac:dyDescent="0.35">
      <c r="A2761" s="1">
        <v>2760</v>
      </c>
      <c r="B2761" s="1">
        <v>531</v>
      </c>
      <c r="C2761" s="1">
        <v>6</v>
      </c>
      <c r="D2761" t="str">
        <f>VLOOKUP(B2761,Заказы!A:C,3,0)</f>
        <v>2023-07-17 19:06:00</v>
      </c>
      <c r="E2761" t="str">
        <f>VLOOKUP(C2761,Меню!A:E,4,0)</f>
        <v>Завтрак</v>
      </c>
      <c r="F2761">
        <f>VLOOKUP(C2761,Меню!A:E,5,0)</f>
        <v>300</v>
      </c>
    </row>
    <row r="2762" spans="1:6" ht="15.75" hidden="1" customHeight="1" x14ac:dyDescent="0.35">
      <c r="A2762" s="1">
        <v>2761</v>
      </c>
      <c r="B2762" s="1">
        <v>531</v>
      </c>
      <c r="C2762" s="1">
        <v>20</v>
      </c>
      <c r="D2762" t="str">
        <f>VLOOKUP(B2762,Заказы!A:C,3,0)</f>
        <v>2023-07-17 19:06:00</v>
      </c>
      <c r="E2762" t="str">
        <f>VLOOKUP(C2762,Меню!A:E,4,0)</f>
        <v>Первое</v>
      </c>
      <c r="F2762">
        <f>VLOOKUP(C2762,Меню!A:E,5,0)</f>
        <v>250</v>
      </c>
    </row>
    <row r="2763" spans="1:6" ht="15.75" hidden="1" customHeight="1" x14ac:dyDescent="0.35">
      <c r="A2763" s="1">
        <v>2762</v>
      </c>
      <c r="B2763" s="1">
        <v>531</v>
      </c>
      <c r="C2763" s="1">
        <v>21</v>
      </c>
      <c r="D2763" t="str">
        <f>VLOOKUP(B2763,Заказы!A:C,3,0)</f>
        <v>2023-07-17 19:06:00</v>
      </c>
      <c r="E2763" t="str">
        <f>VLOOKUP(C2763,Меню!A:E,4,0)</f>
        <v>Салат</v>
      </c>
      <c r="F2763">
        <f>VLOOKUP(C2763,Меню!A:E,5,0)</f>
        <v>250</v>
      </c>
    </row>
    <row r="2764" spans="1:6" ht="15.75" hidden="1" customHeight="1" x14ac:dyDescent="0.35">
      <c r="A2764" s="1">
        <v>2763</v>
      </c>
      <c r="B2764" s="1">
        <v>531</v>
      </c>
      <c r="C2764" s="1">
        <v>45</v>
      </c>
      <c r="D2764" t="str">
        <f>VLOOKUP(B2764,Заказы!A:C,3,0)</f>
        <v>2023-07-17 19:06:00</v>
      </c>
      <c r="E2764" t="str">
        <f>VLOOKUP(C2764,Меню!A:E,4,0)</f>
        <v>Суши</v>
      </c>
      <c r="F2764">
        <f>VLOOKUP(C2764,Меню!A:E,5,0)</f>
        <v>200</v>
      </c>
    </row>
    <row r="2765" spans="1:6" ht="15.75" hidden="1" customHeight="1" x14ac:dyDescent="0.35">
      <c r="A2765" s="1">
        <v>2764</v>
      </c>
      <c r="B2765" s="1">
        <v>531</v>
      </c>
      <c r="C2765" s="1">
        <v>50</v>
      </c>
      <c r="D2765" t="str">
        <f>VLOOKUP(B2765,Заказы!A:C,3,0)</f>
        <v>2023-07-17 19:06:00</v>
      </c>
      <c r="E2765" t="str">
        <f>VLOOKUP(C2765,Меню!A:E,4,0)</f>
        <v>Суши</v>
      </c>
      <c r="F2765">
        <f>VLOOKUP(C2765,Меню!A:E,5,0)</f>
        <v>200</v>
      </c>
    </row>
    <row r="2766" spans="1:6" ht="15.75" hidden="1" customHeight="1" x14ac:dyDescent="0.35">
      <c r="A2766" s="1">
        <v>2765</v>
      </c>
      <c r="B2766" s="1">
        <v>531</v>
      </c>
      <c r="C2766" s="1">
        <v>48</v>
      </c>
      <c r="D2766" t="str">
        <f>VLOOKUP(B2766,Заказы!A:C,3,0)</f>
        <v>2023-07-17 19:06:00</v>
      </c>
      <c r="E2766" t="str">
        <f>VLOOKUP(C2766,Меню!A:E,4,0)</f>
        <v>Суши</v>
      </c>
      <c r="F2766">
        <f>VLOOKUP(C2766,Меню!A:E,5,0)</f>
        <v>200</v>
      </c>
    </row>
    <row r="2767" spans="1:6" ht="15.75" hidden="1" customHeight="1" x14ac:dyDescent="0.35">
      <c r="A2767" s="1">
        <v>2766</v>
      </c>
      <c r="B2767" s="1">
        <v>531</v>
      </c>
      <c r="C2767" s="1">
        <v>35</v>
      </c>
      <c r="D2767" t="str">
        <f>VLOOKUP(B2767,Заказы!A:C,3,0)</f>
        <v>2023-07-17 19:06:00</v>
      </c>
      <c r="E2767" t="str">
        <f>VLOOKUP(C2767,Меню!A:E,4,0)</f>
        <v>Десерт</v>
      </c>
      <c r="F2767">
        <f>VLOOKUP(C2767,Меню!A:E,5,0)</f>
        <v>150</v>
      </c>
    </row>
    <row r="2768" spans="1:6" ht="15.75" hidden="1" customHeight="1" x14ac:dyDescent="0.35">
      <c r="A2768" s="1">
        <v>2767</v>
      </c>
      <c r="B2768" s="1">
        <v>531</v>
      </c>
      <c r="C2768" s="1">
        <v>58</v>
      </c>
      <c r="D2768" t="str">
        <f>VLOOKUP(B2768,Заказы!A:C,3,0)</f>
        <v>2023-07-17 19:06:00</v>
      </c>
      <c r="E2768" t="str">
        <f>VLOOKUP(C2768,Меню!A:E,4,0)</f>
        <v>Суши</v>
      </c>
      <c r="F2768">
        <f>VLOOKUP(C2768,Меню!A:E,5,0)</f>
        <v>200</v>
      </c>
    </row>
    <row r="2769" spans="1:6" ht="15.75" hidden="1" customHeight="1" x14ac:dyDescent="0.35">
      <c r="A2769" s="1">
        <v>2768</v>
      </c>
      <c r="B2769" s="1">
        <v>531</v>
      </c>
      <c r="C2769" s="1">
        <v>48</v>
      </c>
      <c r="D2769" t="str">
        <f>VLOOKUP(B2769,Заказы!A:C,3,0)</f>
        <v>2023-07-17 19:06:00</v>
      </c>
      <c r="E2769" t="str">
        <f>VLOOKUP(C2769,Меню!A:E,4,0)</f>
        <v>Суши</v>
      </c>
      <c r="F2769">
        <f>VLOOKUP(C2769,Меню!A:E,5,0)</f>
        <v>200</v>
      </c>
    </row>
    <row r="2770" spans="1:6" ht="15.75" hidden="1" customHeight="1" x14ac:dyDescent="0.35">
      <c r="A2770" s="1">
        <v>2769</v>
      </c>
      <c r="B2770" s="1">
        <v>532</v>
      </c>
      <c r="C2770" s="1">
        <v>6</v>
      </c>
      <c r="D2770" t="str">
        <f>VLOOKUP(B2770,Заказы!A:C,3,0)</f>
        <v>2023-07-17 19:21:00</v>
      </c>
      <c r="E2770" t="str">
        <f>VLOOKUP(C2770,Меню!A:E,4,0)</f>
        <v>Завтрак</v>
      </c>
      <c r="F2770">
        <f>VLOOKUP(C2770,Меню!A:E,5,0)</f>
        <v>300</v>
      </c>
    </row>
    <row r="2771" spans="1:6" ht="15.75" hidden="1" customHeight="1" x14ac:dyDescent="0.35">
      <c r="A2771" s="1">
        <v>2770</v>
      </c>
      <c r="B2771" s="1">
        <v>533</v>
      </c>
      <c r="C2771" s="1">
        <v>38</v>
      </c>
      <c r="D2771" t="str">
        <f>VLOOKUP(B2771,Заказы!A:C,3,0)</f>
        <v>2023-07-17 20:23:00</v>
      </c>
      <c r="E2771" t="str">
        <f>VLOOKUP(C2771,Меню!A:E,4,0)</f>
        <v>Десерт</v>
      </c>
      <c r="F2771">
        <f>VLOOKUP(C2771,Меню!A:E,5,0)</f>
        <v>150</v>
      </c>
    </row>
    <row r="2772" spans="1:6" ht="15.75" hidden="1" customHeight="1" x14ac:dyDescent="0.35">
      <c r="A2772" s="1">
        <v>2771</v>
      </c>
      <c r="B2772" s="1">
        <v>533</v>
      </c>
      <c r="C2772" s="1">
        <v>20</v>
      </c>
      <c r="D2772" t="str">
        <f>VLOOKUP(B2772,Заказы!A:C,3,0)</f>
        <v>2023-07-17 20:23:00</v>
      </c>
      <c r="E2772" t="str">
        <f>VLOOKUP(C2772,Меню!A:E,4,0)</f>
        <v>Первое</v>
      </c>
      <c r="F2772">
        <f>VLOOKUP(C2772,Меню!A:E,5,0)</f>
        <v>250</v>
      </c>
    </row>
    <row r="2773" spans="1:6" ht="15.75" hidden="1" customHeight="1" x14ac:dyDescent="0.35">
      <c r="A2773" s="1">
        <v>2772</v>
      </c>
      <c r="B2773" s="1">
        <v>533</v>
      </c>
      <c r="C2773" s="1">
        <v>5</v>
      </c>
      <c r="D2773" t="str">
        <f>VLOOKUP(B2773,Заказы!A:C,3,0)</f>
        <v>2023-07-17 20:23:00</v>
      </c>
      <c r="E2773" t="str">
        <f>VLOOKUP(C2773,Меню!A:E,4,0)</f>
        <v>Завтрак</v>
      </c>
      <c r="F2773">
        <f>VLOOKUP(C2773,Меню!A:E,5,0)</f>
        <v>220</v>
      </c>
    </row>
    <row r="2774" spans="1:6" ht="15.75" hidden="1" customHeight="1" x14ac:dyDescent="0.35">
      <c r="A2774" s="1">
        <v>2773</v>
      </c>
      <c r="B2774" s="1">
        <v>533</v>
      </c>
      <c r="C2774" s="1">
        <v>2</v>
      </c>
      <c r="D2774" t="str">
        <f>VLOOKUP(B2774,Заказы!A:C,3,0)</f>
        <v>2023-07-17 20:23:00</v>
      </c>
      <c r="E2774" t="str">
        <f>VLOOKUP(C2774,Меню!A:E,4,0)</f>
        <v>Завтрак</v>
      </c>
      <c r="F2774">
        <f>VLOOKUP(C2774,Меню!A:E,5,0)</f>
        <v>250</v>
      </c>
    </row>
    <row r="2775" spans="1:6" ht="15.75" hidden="1" customHeight="1" x14ac:dyDescent="0.35">
      <c r="A2775" s="1">
        <v>2774</v>
      </c>
      <c r="B2775" s="1">
        <v>533</v>
      </c>
      <c r="C2775" s="1">
        <v>51</v>
      </c>
      <c r="D2775" t="str">
        <f>VLOOKUP(B2775,Заказы!A:C,3,0)</f>
        <v>2023-07-17 20:23:00</v>
      </c>
      <c r="E2775" t="str">
        <f>VLOOKUP(C2775,Меню!A:E,4,0)</f>
        <v>Суши</v>
      </c>
      <c r="F2775">
        <f>VLOOKUP(C2775,Меню!A:E,5,0)</f>
        <v>100</v>
      </c>
    </row>
    <row r="2776" spans="1:6" ht="15.75" hidden="1" customHeight="1" x14ac:dyDescent="0.35">
      <c r="A2776" s="1">
        <v>2775</v>
      </c>
      <c r="B2776" s="1">
        <v>534</v>
      </c>
      <c r="C2776" s="1">
        <v>43</v>
      </c>
      <c r="D2776" t="str">
        <f>VLOOKUP(B2776,Заказы!A:C,3,0)</f>
        <v>2023-07-17 21:22:00</v>
      </c>
      <c r="E2776" t="str">
        <f>VLOOKUP(C2776,Меню!A:E,4,0)</f>
        <v>Суши</v>
      </c>
      <c r="F2776">
        <f>VLOOKUP(C2776,Меню!A:E,5,0)</f>
        <v>250</v>
      </c>
    </row>
    <row r="2777" spans="1:6" ht="15.75" hidden="1" customHeight="1" x14ac:dyDescent="0.35">
      <c r="A2777" s="1">
        <v>2776</v>
      </c>
      <c r="B2777" s="1">
        <v>534</v>
      </c>
      <c r="C2777" s="1">
        <v>44</v>
      </c>
      <c r="D2777" t="str">
        <f>VLOOKUP(B2777,Заказы!A:C,3,0)</f>
        <v>2023-07-17 21:22:00</v>
      </c>
      <c r="E2777" t="str">
        <f>VLOOKUP(C2777,Меню!A:E,4,0)</f>
        <v>Суши</v>
      </c>
      <c r="F2777">
        <f>VLOOKUP(C2777,Меню!A:E,5,0)</f>
        <v>250</v>
      </c>
    </row>
    <row r="2778" spans="1:6" ht="15.75" hidden="1" customHeight="1" x14ac:dyDescent="0.35">
      <c r="A2778" s="1">
        <v>2777</v>
      </c>
      <c r="B2778" s="1">
        <v>534</v>
      </c>
      <c r="C2778" s="1">
        <v>4</v>
      </c>
      <c r="D2778" t="str">
        <f>VLOOKUP(B2778,Заказы!A:C,3,0)</f>
        <v>2023-07-17 21:22:00</v>
      </c>
      <c r="E2778" t="str">
        <f>VLOOKUP(C2778,Меню!A:E,4,0)</f>
        <v>Завтрак</v>
      </c>
      <c r="F2778">
        <f>VLOOKUP(C2778,Меню!A:E,5,0)</f>
        <v>180</v>
      </c>
    </row>
    <row r="2779" spans="1:6" ht="15.75" hidden="1" customHeight="1" x14ac:dyDescent="0.35">
      <c r="A2779" s="1">
        <v>2778</v>
      </c>
      <c r="B2779" s="1">
        <v>534</v>
      </c>
      <c r="C2779" s="1">
        <v>37</v>
      </c>
      <c r="D2779" t="str">
        <f>VLOOKUP(B2779,Заказы!A:C,3,0)</f>
        <v>2023-07-17 21:22:00</v>
      </c>
      <c r="E2779" t="str">
        <f>VLOOKUP(C2779,Меню!A:E,4,0)</f>
        <v>Десерт</v>
      </c>
      <c r="F2779">
        <f>VLOOKUP(C2779,Меню!A:E,5,0)</f>
        <v>100</v>
      </c>
    </row>
    <row r="2780" spans="1:6" ht="15.75" hidden="1" customHeight="1" x14ac:dyDescent="0.35">
      <c r="A2780" s="1">
        <v>2779</v>
      </c>
      <c r="B2780" s="1">
        <v>535</v>
      </c>
      <c r="C2780" s="1">
        <v>37</v>
      </c>
      <c r="D2780" t="str">
        <f>VLOOKUP(B2780,Заказы!A:C,3,0)</f>
        <v>2023-07-18 19:10:00</v>
      </c>
      <c r="E2780" t="str">
        <f>VLOOKUP(C2780,Меню!A:E,4,0)</f>
        <v>Десерт</v>
      </c>
      <c r="F2780">
        <f>VLOOKUP(C2780,Меню!A:E,5,0)</f>
        <v>100</v>
      </c>
    </row>
    <row r="2781" spans="1:6" ht="15.75" hidden="1" customHeight="1" x14ac:dyDescent="0.35">
      <c r="A2781" s="1">
        <v>2780</v>
      </c>
      <c r="B2781" s="1">
        <v>535</v>
      </c>
      <c r="C2781" s="1">
        <v>44</v>
      </c>
      <c r="D2781" t="str">
        <f>VLOOKUP(B2781,Заказы!A:C,3,0)</f>
        <v>2023-07-18 19:10:00</v>
      </c>
      <c r="E2781" t="str">
        <f>VLOOKUP(C2781,Меню!A:E,4,0)</f>
        <v>Суши</v>
      </c>
      <c r="F2781">
        <f>VLOOKUP(C2781,Меню!A:E,5,0)</f>
        <v>250</v>
      </c>
    </row>
    <row r="2782" spans="1:6" ht="15.75" hidden="1" customHeight="1" x14ac:dyDescent="0.35">
      <c r="A2782" s="1">
        <v>2781</v>
      </c>
      <c r="B2782" s="1">
        <v>535</v>
      </c>
      <c r="C2782" s="1">
        <v>37</v>
      </c>
      <c r="D2782" t="str">
        <f>VLOOKUP(B2782,Заказы!A:C,3,0)</f>
        <v>2023-07-18 19:10:00</v>
      </c>
      <c r="E2782" t="str">
        <f>VLOOKUP(C2782,Меню!A:E,4,0)</f>
        <v>Десерт</v>
      </c>
      <c r="F2782">
        <f>VLOOKUP(C2782,Меню!A:E,5,0)</f>
        <v>100</v>
      </c>
    </row>
    <row r="2783" spans="1:6" ht="15.75" hidden="1" customHeight="1" x14ac:dyDescent="0.35">
      <c r="A2783" s="1">
        <v>2782</v>
      </c>
      <c r="B2783" s="1">
        <v>535</v>
      </c>
      <c r="C2783" s="1">
        <v>43</v>
      </c>
      <c r="D2783" t="str">
        <f>VLOOKUP(B2783,Заказы!A:C,3,0)</f>
        <v>2023-07-18 19:10:00</v>
      </c>
      <c r="E2783" t="str">
        <f>VLOOKUP(C2783,Меню!A:E,4,0)</f>
        <v>Суши</v>
      </c>
      <c r="F2783">
        <f>VLOOKUP(C2783,Меню!A:E,5,0)</f>
        <v>250</v>
      </c>
    </row>
    <row r="2784" spans="1:6" ht="15.75" hidden="1" customHeight="1" x14ac:dyDescent="0.35">
      <c r="A2784" s="1">
        <v>2783</v>
      </c>
      <c r="B2784" s="1">
        <v>536</v>
      </c>
      <c r="C2784" s="1">
        <v>51</v>
      </c>
      <c r="D2784" t="str">
        <f>VLOOKUP(B2784,Заказы!A:C,3,0)</f>
        <v>2023-07-18 19:48:00</v>
      </c>
      <c r="E2784" t="str">
        <f>VLOOKUP(C2784,Меню!A:E,4,0)</f>
        <v>Суши</v>
      </c>
      <c r="F2784">
        <f>VLOOKUP(C2784,Меню!A:E,5,0)</f>
        <v>100</v>
      </c>
    </row>
    <row r="2785" spans="1:6" ht="15.75" hidden="1" customHeight="1" x14ac:dyDescent="0.35">
      <c r="A2785" s="1">
        <v>2784</v>
      </c>
      <c r="B2785" s="1">
        <v>536</v>
      </c>
      <c r="C2785" s="1">
        <v>32</v>
      </c>
      <c r="D2785" t="str">
        <f>VLOOKUP(B2785,Заказы!A:C,3,0)</f>
        <v>2023-07-18 19:48:00</v>
      </c>
      <c r="E2785" t="str">
        <f>VLOOKUP(C2785,Меню!A:E,4,0)</f>
        <v>Десерт</v>
      </c>
      <c r="F2785">
        <f>VLOOKUP(C2785,Меню!A:E,5,0)</f>
        <v>150</v>
      </c>
    </row>
    <row r="2786" spans="1:6" ht="15.75" hidden="1" customHeight="1" x14ac:dyDescent="0.35">
      <c r="A2786" s="1">
        <v>2785</v>
      </c>
      <c r="B2786" s="1">
        <v>537</v>
      </c>
      <c r="C2786" s="1">
        <v>2</v>
      </c>
      <c r="D2786" t="str">
        <f>VLOOKUP(B2786,Заказы!A:C,3,0)</f>
        <v>2023-07-18 20:26:00</v>
      </c>
      <c r="E2786" t="str">
        <f>VLOOKUP(C2786,Меню!A:E,4,0)</f>
        <v>Завтрак</v>
      </c>
      <c r="F2786">
        <f>VLOOKUP(C2786,Меню!A:E,5,0)</f>
        <v>250</v>
      </c>
    </row>
    <row r="2787" spans="1:6" ht="15.75" hidden="1" customHeight="1" x14ac:dyDescent="0.35">
      <c r="A2787" s="1">
        <v>2786</v>
      </c>
      <c r="B2787" s="1">
        <v>537</v>
      </c>
      <c r="C2787" s="1">
        <v>29</v>
      </c>
      <c r="D2787" t="str">
        <f>VLOOKUP(B2787,Заказы!A:C,3,0)</f>
        <v>2023-07-18 20:26:00</v>
      </c>
      <c r="E2787" t="str">
        <f>VLOOKUP(C2787,Меню!A:E,4,0)</f>
        <v>Салат</v>
      </c>
      <c r="F2787">
        <f>VLOOKUP(C2787,Меню!A:E,5,0)</f>
        <v>250</v>
      </c>
    </row>
    <row r="2788" spans="1:6" ht="15.75" hidden="1" customHeight="1" x14ac:dyDescent="0.35">
      <c r="A2788" s="1">
        <v>2787</v>
      </c>
      <c r="B2788" s="1">
        <v>537</v>
      </c>
      <c r="C2788" s="1">
        <v>24</v>
      </c>
      <c r="D2788" t="str">
        <f>VLOOKUP(B2788,Заказы!A:C,3,0)</f>
        <v>2023-07-18 20:26:00</v>
      </c>
      <c r="E2788" t="str">
        <f>VLOOKUP(C2788,Меню!A:E,4,0)</f>
        <v>Салат</v>
      </c>
      <c r="F2788">
        <f>VLOOKUP(C2788,Меню!A:E,5,0)</f>
        <v>250</v>
      </c>
    </row>
    <row r="2789" spans="1:6" ht="15.75" hidden="1" customHeight="1" x14ac:dyDescent="0.35">
      <c r="A2789" s="1">
        <v>2788</v>
      </c>
      <c r="B2789" s="1">
        <v>537</v>
      </c>
      <c r="C2789" s="1">
        <v>52</v>
      </c>
      <c r="D2789" t="str">
        <f>VLOOKUP(B2789,Заказы!A:C,3,0)</f>
        <v>2023-07-18 20:26:00</v>
      </c>
      <c r="E2789" t="str">
        <f>VLOOKUP(C2789,Меню!A:E,4,0)</f>
        <v>Суши</v>
      </c>
      <c r="F2789">
        <f>VLOOKUP(C2789,Меню!A:E,5,0)</f>
        <v>100</v>
      </c>
    </row>
    <row r="2790" spans="1:6" ht="15.75" hidden="1" customHeight="1" x14ac:dyDescent="0.35">
      <c r="A2790" s="1">
        <v>2789</v>
      </c>
      <c r="B2790" s="1">
        <v>538</v>
      </c>
      <c r="C2790" s="1">
        <v>26</v>
      </c>
      <c r="D2790" t="str">
        <f>VLOOKUP(B2790,Заказы!A:C,3,0)</f>
        <v>2023-07-18 22:25:00</v>
      </c>
      <c r="E2790" t="str">
        <f>VLOOKUP(C2790,Меню!A:E,4,0)</f>
        <v>Салат</v>
      </c>
      <c r="F2790">
        <f>VLOOKUP(C2790,Меню!A:E,5,0)</f>
        <v>250</v>
      </c>
    </row>
    <row r="2791" spans="1:6" ht="15.75" hidden="1" customHeight="1" x14ac:dyDescent="0.35">
      <c r="A2791" s="1">
        <v>2790</v>
      </c>
      <c r="B2791" s="1">
        <v>538</v>
      </c>
      <c r="C2791" s="1">
        <v>22</v>
      </c>
      <c r="D2791" t="str">
        <f>VLOOKUP(B2791,Заказы!A:C,3,0)</f>
        <v>2023-07-18 22:25:00</v>
      </c>
      <c r="E2791" t="str">
        <f>VLOOKUP(C2791,Меню!A:E,4,0)</f>
        <v>Салат</v>
      </c>
      <c r="F2791">
        <f>VLOOKUP(C2791,Меню!A:E,5,0)</f>
        <v>250</v>
      </c>
    </row>
    <row r="2792" spans="1:6" ht="15.75" hidden="1" customHeight="1" x14ac:dyDescent="0.35">
      <c r="A2792" s="1">
        <v>2791</v>
      </c>
      <c r="B2792" s="1">
        <v>538</v>
      </c>
      <c r="C2792" s="1">
        <v>41</v>
      </c>
      <c r="D2792" t="str">
        <f>VLOOKUP(B2792,Заказы!A:C,3,0)</f>
        <v>2023-07-18 22:25:00</v>
      </c>
      <c r="E2792" t="str">
        <f>VLOOKUP(C2792,Меню!A:E,4,0)</f>
        <v>Суши</v>
      </c>
      <c r="F2792">
        <f>VLOOKUP(C2792,Меню!A:E,5,0)</f>
        <v>220</v>
      </c>
    </row>
    <row r="2793" spans="1:6" ht="15.75" hidden="1" customHeight="1" x14ac:dyDescent="0.35">
      <c r="A2793" s="1">
        <v>2792</v>
      </c>
      <c r="B2793" s="1">
        <v>538</v>
      </c>
      <c r="C2793" s="1">
        <v>54</v>
      </c>
      <c r="D2793" t="str">
        <f>VLOOKUP(B2793,Заказы!A:C,3,0)</f>
        <v>2023-07-18 22:25:00</v>
      </c>
      <c r="E2793" t="str">
        <f>VLOOKUP(C2793,Меню!A:E,4,0)</f>
        <v>Суши</v>
      </c>
      <c r="F2793">
        <f>VLOOKUP(C2793,Меню!A:E,5,0)</f>
        <v>100</v>
      </c>
    </row>
    <row r="2794" spans="1:6" ht="15.75" hidden="1" customHeight="1" x14ac:dyDescent="0.35">
      <c r="A2794" s="1">
        <v>2793</v>
      </c>
      <c r="B2794" s="1">
        <v>538</v>
      </c>
      <c r="C2794" s="1">
        <v>40</v>
      </c>
      <c r="D2794" t="str">
        <f>VLOOKUP(B2794,Заказы!A:C,3,0)</f>
        <v>2023-07-18 22:25:00</v>
      </c>
      <c r="E2794" t="str">
        <f>VLOOKUP(C2794,Меню!A:E,4,0)</f>
        <v>Десерт</v>
      </c>
      <c r="F2794">
        <f>VLOOKUP(C2794,Меню!A:E,5,0)</f>
        <v>150</v>
      </c>
    </row>
    <row r="2795" spans="1:6" ht="15.75" hidden="1" customHeight="1" x14ac:dyDescent="0.35">
      <c r="A2795" s="1">
        <v>2794</v>
      </c>
      <c r="B2795" s="1">
        <v>538</v>
      </c>
      <c r="C2795" s="1">
        <v>53</v>
      </c>
      <c r="D2795" t="str">
        <f>VLOOKUP(B2795,Заказы!A:C,3,0)</f>
        <v>2023-07-18 22:25:00</v>
      </c>
      <c r="E2795" t="str">
        <f>VLOOKUP(C2795,Меню!A:E,4,0)</f>
        <v>Суши</v>
      </c>
      <c r="F2795">
        <f>VLOOKUP(C2795,Меню!A:E,5,0)</f>
        <v>100</v>
      </c>
    </row>
    <row r="2796" spans="1:6" ht="15.75" hidden="1" customHeight="1" x14ac:dyDescent="0.35">
      <c r="A2796" s="1">
        <v>2795</v>
      </c>
      <c r="B2796" s="1">
        <v>538</v>
      </c>
      <c r="C2796" s="1">
        <v>45</v>
      </c>
      <c r="D2796" t="str">
        <f>VLOOKUP(B2796,Заказы!A:C,3,0)</f>
        <v>2023-07-18 22:25:00</v>
      </c>
      <c r="E2796" t="str">
        <f>VLOOKUP(C2796,Меню!A:E,4,0)</f>
        <v>Суши</v>
      </c>
      <c r="F2796">
        <f>VLOOKUP(C2796,Меню!A:E,5,0)</f>
        <v>200</v>
      </c>
    </row>
    <row r="2797" spans="1:6" ht="15.75" hidden="1" customHeight="1" x14ac:dyDescent="0.35">
      <c r="A2797" s="1">
        <v>2796</v>
      </c>
      <c r="B2797" s="1">
        <v>539</v>
      </c>
      <c r="C2797" s="1">
        <v>44</v>
      </c>
      <c r="D2797" t="str">
        <f>VLOOKUP(B2797,Заказы!A:C,3,0)</f>
        <v>2023-07-19 16:33:00</v>
      </c>
      <c r="E2797" t="str">
        <f>VLOOKUP(C2797,Меню!A:E,4,0)</f>
        <v>Суши</v>
      </c>
      <c r="F2797">
        <f>VLOOKUP(C2797,Меню!A:E,5,0)</f>
        <v>250</v>
      </c>
    </row>
    <row r="2798" spans="1:6" ht="15.75" hidden="1" customHeight="1" x14ac:dyDescent="0.35">
      <c r="A2798" s="1">
        <v>2797</v>
      </c>
      <c r="B2798" s="1">
        <v>539</v>
      </c>
      <c r="C2798" s="1">
        <v>44</v>
      </c>
      <c r="D2798" t="str">
        <f>VLOOKUP(B2798,Заказы!A:C,3,0)</f>
        <v>2023-07-19 16:33:00</v>
      </c>
      <c r="E2798" t="str">
        <f>VLOOKUP(C2798,Меню!A:E,4,0)</f>
        <v>Суши</v>
      </c>
      <c r="F2798">
        <f>VLOOKUP(C2798,Меню!A:E,5,0)</f>
        <v>250</v>
      </c>
    </row>
    <row r="2799" spans="1:6" ht="15.75" hidden="1" customHeight="1" x14ac:dyDescent="0.35">
      <c r="A2799" s="1">
        <v>2798</v>
      </c>
      <c r="B2799" s="1">
        <v>539</v>
      </c>
      <c r="C2799" s="1">
        <v>18</v>
      </c>
      <c r="D2799" t="str">
        <f>VLOOKUP(B2799,Заказы!A:C,3,0)</f>
        <v>2023-07-19 16:33:00</v>
      </c>
      <c r="E2799" t="str">
        <f>VLOOKUP(C2799,Меню!A:E,4,0)</f>
        <v>Первое</v>
      </c>
      <c r="F2799">
        <f>VLOOKUP(C2799,Меню!A:E,5,0)</f>
        <v>300</v>
      </c>
    </row>
    <row r="2800" spans="1:6" ht="15.75" hidden="1" customHeight="1" x14ac:dyDescent="0.35">
      <c r="A2800" s="1">
        <v>2799</v>
      </c>
      <c r="B2800" s="1">
        <v>539</v>
      </c>
      <c r="C2800" s="1">
        <v>59</v>
      </c>
      <c r="D2800" t="str">
        <f>VLOOKUP(B2800,Заказы!A:C,3,0)</f>
        <v>2023-07-19 16:33:00</v>
      </c>
      <c r="E2800" t="str">
        <f>VLOOKUP(C2800,Меню!A:E,4,0)</f>
        <v>Суши</v>
      </c>
      <c r="F2800">
        <f>VLOOKUP(C2800,Меню!A:E,5,0)</f>
        <v>300</v>
      </c>
    </row>
    <row r="2801" spans="1:6" ht="15.75" hidden="1" customHeight="1" x14ac:dyDescent="0.35">
      <c r="A2801" s="1">
        <v>2800</v>
      </c>
      <c r="B2801" s="1">
        <v>539</v>
      </c>
      <c r="C2801" s="1">
        <v>33</v>
      </c>
      <c r="D2801" t="str">
        <f>VLOOKUP(B2801,Заказы!A:C,3,0)</f>
        <v>2023-07-19 16:33:00</v>
      </c>
      <c r="E2801" t="str">
        <f>VLOOKUP(C2801,Меню!A:E,4,0)</f>
        <v>Десерт</v>
      </c>
      <c r="F2801">
        <f>VLOOKUP(C2801,Меню!A:E,5,0)</f>
        <v>150</v>
      </c>
    </row>
    <row r="2802" spans="1:6" ht="15.75" hidden="1" customHeight="1" x14ac:dyDescent="0.35">
      <c r="A2802" s="1">
        <v>2801</v>
      </c>
      <c r="B2802" s="1">
        <v>539</v>
      </c>
      <c r="C2802" s="1">
        <v>31</v>
      </c>
      <c r="D2802" t="str">
        <f>VLOOKUP(B2802,Заказы!A:C,3,0)</f>
        <v>2023-07-19 16:33:00</v>
      </c>
      <c r="E2802" t="str">
        <f>VLOOKUP(C2802,Меню!A:E,4,0)</f>
        <v>Десерт</v>
      </c>
      <c r="F2802">
        <f>VLOOKUP(C2802,Меню!A:E,5,0)</f>
        <v>150</v>
      </c>
    </row>
    <row r="2803" spans="1:6" ht="15.75" hidden="1" customHeight="1" x14ac:dyDescent="0.35">
      <c r="A2803" s="1">
        <v>2802</v>
      </c>
      <c r="B2803" s="1">
        <v>539</v>
      </c>
      <c r="C2803" s="1">
        <v>57</v>
      </c>
      <c r="D2803" t="str">
        <f>VLOOKUP(B2803,Заказы!A:C,3,0)</f>
        <v>2023-07-19 16:33:00</v>
      </c>
      <c r="E2803" t="str">
        <f>VLOOKUP(C2803,Меню!A:E,4,0)</f>
        <v>Суши</v>
      </c>
      <c r="F2803">
        <f>VLOOKUP(C2803,Меню!A:E,5,0)</f>
        <v>200</v>
      </c>
    </row>
    <row r="2804" spans="1:6" ht="15.75" hidden="1" customHeight="1" x14ac:dyDescent="0.35">
      <c r="A2804" s="1">
        <v>2803</v>
      </c>
      <c r="B2804" s="1">
        <v>540</v>
      </c>
      <c r="C2804" s="1">
        <v>38</v>
      </c>
      <c r="D2804" t="str">
        <f>VLOOKUP(B2804,Заказы!A:C,3,0)</f>
        <v>2023-07-19 17:36:00</v>
      </c>
      <c r="E2804" t="str">
        <f>VLOOKUP(C2804,Меню!A:E,4,0)</f>
        <v>Десерт</v>
      </c>
      <c r="F2804">
        <f>VLOOKUP(C2804,Меню!A:E,5,0)</f>
        <v>150</v>
      </c>
    </row>
    <row r="2805" spans="1:6" ht="15.75" hidden="1" customHeight="1" x14ac:dyDescent="0.35">
      <c r="A2805" s="1">
        <v>2804</v>
      </c>
      <c r="B2805" s="1">
        <v>540</v>
      </c>
      <c r="C2805" s="1">
        <v>24</v>
      </c>
      <c r="D2805" t="str">
        <f>VLOOKUP(B2805,Заказы!A:C,3,0)</f>
        <v>2023-07-19 17:36:00</v>
      </c>
      <c r="E2805" t="str">
        <f>VLOOKUP(C2805,Меню!A:E,4,0)</f>
        <v>Салат</v>
      </c>
      <c r="F2805">
        <f>VLOOKUP(C2805,Меню!A:E,5,0)</f>
        <v>250</v>
      </c>
    </row>
    <row r="2806" spans="1:6" ht="15.75" hidden="1" customHeight="1" x14ac:dyDescent="0.35">
      <c r="A2806" s="1">
        <v>2805</v>
      </c>
      <c r="B2806" s="1">
        <v>540</v>
      </c>
      <c r="C2806" s="1">
        <v>41</v>
      </c>
      <c r="D2806" t="str">
        <f>VLOOKUP(B2806,Заказы!A:C,3,0)</f>
        <v>2023-07-19 17:36:00</v>
      </c>
      <c r="E2806" t="str">
        <f>VLOOKUP(C2806,Меню!A:E,4,0)</f>
        <v>Суши</v>
      </c>
      <c r="F2806">
        <f>VLOOKUP(C2806,Меню!A:E,5,0)</f>
        <v>220</v>
      </c>
    </row>
    <row r="2807" spans="1:6" ht="15.75" hidden="1" customHeight="1" x14ac:dyDescent="0.35">
      <c r="A2807" s="1">
        <v>2806</v>
      </c>
      <c r="B2807" s="1">
        <v>540</v>
      </c>
      <c r="C2807" s="1">
        <v>57</v>
      </c>
      <c r="D2807" t="str">
        <f>VLOOKUP(B2807,Заказы!A:C,3,0)</f>
        <v>2023-07-19 17:36:00</v>
      </c>
      <c r="E2807" t="str">
        <f>VLOOKUP(C2807,Меню!A:E,4,0)</f>
        <v>Суши</v>
      </c>
      <c r="F2807">
        <f>VLOOKUP(C2807,Меню!A:E,5,0)</f>
        <v>200</v>
      </c>
    </row>
    <row r="2808" spans="1:6" ht="15.75" hidden="1" customHeight="1" x14ac:dyDescent="0.35">
      <c r="A2808" s="1">
        <v>2807</v>
      </c>
      <c r="B2808" s="1">
        <v>540</v>
      </c>
      <c r="C2808" s="1">
        <v>4</v>
      </c>
      <c r="D2808" t="str">
        <f>VLOOKUP(B2808,Заказы!A:C,3,0)</f>
        <v>2023-07-19 17:36:00</v>
      </c>
      <c r="E2808" t="str">
        <f>VLOOKUP(C2808,Меню!A:E,4,0)</f>
        <v>Завтрак</v>
      </c>
      <c r="F2808">
        <f>VLOOKUP(C2808,Меню!A:E,5,0)</f>
        <v>180</v>
      </c>
    </row>
    <row r="2809" spans="1:6" ht="15.75" hidden="1" customHeight="1" x14ac:dyDescent="0.35">
      <c r="A2809" s="1">
        <v>2808</v>
      </c>
      <c r="B2809" s="1">
        <v>540</v>
      </c>
      <c r="C2809" s="1">
        <v>4</v>
      </c>
      <c r="D2809" t="str">
        <f>VLOOKUP(B2809,Заказы!A:C,3,0)</f>
        <v>2023-07-19 17:36:00</v>
      </c>
      <c r="E2809" t="str">
        <f>VLOOKUP(C2809,Меню!A:E,4,0)</f>
        <v>Завтрак</v>
      </c>
      <c r="F2809">
        <f>VLOOKUP(C2809,Меню!A:E,5,0)</f>
        <v>180</v>
      </c>
    </row>
    <row r="2810" spans="1:6" ht="15.75" hidden="1" customHeight="1" x14ac:dyDescent="0.35">
      <c r="A2810" s="1">
        <v>2809</v>
      </c>
      <c r="B2810" s="1">
        <v>540</v>
      </c>
      <c r="C2810" s="1">
        <v>20</v>
      </c>
      <c r="D2810" t="str">
        <f>VLOOKUP(B2810,Заказы!A:C,3,0)</f>
        <v>2023-07-19 17:36:00</v>
      </c>
      <c r="E2810" t="str">
        <f>VLOOKUP(C2810,Меню!A:E,4,0)</f>
        <v>Первое</v>
      </c>
      <c r="F2810">
        <f>VLOOKUP(C2810,Меню!A:E,5,0)</f>
        <v>250</v>
      </c>
    </row>
    <row r="2811" spans="1:6" ht="15.75" hidden="1" customHeight="1" x14ac:dyDescent="0.35">
      <c r="A2811" s="1">
        <v>2810</v>
      </c>
      <c r="B2811" s="1">
        <v>541</v>
      </c>
      <c r="C2811" s="1">
        <v>49</v>
      </c>
      <c r="D2811" t="str">
        <f>VLOOKUP(B2811,Заказы!A:C,3,0)</f>
        <v>2023-07-19 18:42:00</v>
      </c>
      <c r="E2811" t="str">
        <f>VLOOKUP(C2811,Меню!A:E,4,0)</f>
        <v>Суши</v>
      </c>
      <c r="F2811">
        <f>VLOOKUP(C2811,Меню!A:E,5,0)</f>
        <v>200</v>
      </c>
    </row>
    <row r="2812" spans="1:6" ht="15.75" hidden="1" customHeight="1" x14ac:dyDescent="0.35">
      <c r="A2812" s="1">
        <v>2811</v>
      </c>
      <c r="B2812" s="1">
        <v>541</v>
      </c>
      <c r="C2812" s="1">
        <v>11</v>
      </c>
      <c r="D2812" t="str">
        <f>VLOOKUP(B2812,Заказы!A:C,3,0)</f>
        <v>2023-07-19 18:42:00</v>
      </c>
      <c r="E2812" t="str">
        <f>VLOOKUP(C2812,Меню!A:E,4,0)</f>
        <v>Первое</v>
      </c>
      <c r="F2812">
        <f>VLOOKUP(C2812,Меню!A:E,5,0)</f>
        <v>300</v>
      </c>
    </row>
    <row r="2813" spans="1:6" ht="15.75" hidden="1" customHeight="1" x14ac:dyDescent="0.35">
      <c r="A2813" s="1">
        <v>2812</v>
      </c>
      <c r="B2813" s="1">
        <v>541</v>
      </c>
      <c r="C2813" s="1">
        <v>5</v>
      </c>
      <c r="D2813" t="str">
        <f>VLOOKUP(B2813,Заказы!A:C,3,0)</f>
        <v>2023-07-19 18:42:00</v>
      </c>
      <c r="E2813" t="str">
        <f>VLOOKUP(C2813,Меню!A:E,4,0)</f>
        <v>Завтрак</v>
      </c>
      <c r="F2813">
        <f>VLOOKUP(C2813,Меню!A:E,5,0)</f>
        <v>220</v>
      </c>
    </row>
    <row r="2814" spans="1:6" ht="15.75" hidden="1" customHeight="1" x14ac:dyDescent="0.35">
      <c r="A2814" s="1">
        <v>2813</v>
      </c>
      <c r="B2814" s="1">
        <v>541</v>
      </c>
      <c r="C2814" s="1">
        <v>48</v>
      </c>
      <c r="D2814" t="str">
        <f>VLOOKUP(B2814,Заказы!A:C,3,0)</f>
        <v>2023-07-19 18:42:00</v>
      </c>
      <c r="E2814" t="str">
        <f>VLOOKUP(C2814,Меню!A:E,4,0)</f>
        <v>Суши</v>
      </c>
      <c r="F2814">
        <f>VLOOKUP(C2814,Меню!A:E,5,0)</f>
        <v>200</v>
      </c>
    </row>
    <row r="2815" spans="1:6" ht="15.75" hidden="1" customHeight="1" x14ac:dyDescent="0.35">
      <c r="A2815" s="1">
        <v>2814</v>
      </c>
      <c r="B2815" s="1">
        <v>542</v>
      </c>
      <c r="C2815" s="1">
        <v>22</v>
      </c>
      <c r="D2815" t="str">
        <f>VLOOKUP(B2815,Заказы!A:C,3,0)</f>
        <v>2023-07-19 20:19:00</v>
      </c>
      <c r="E2815" t="str">
        <f>VLOOKUP(C2815,Меню!A:E,4,0)</f>
        <v>Салат</v>
      </c>
      <c r="F2815">
        <f>VLOOKUP(C2815,Меню!A:E,5,0)</f>
        <v>250</v>
      </c>
    </row>
    <row r="2816" spans="1:6" ht="15.75" hidden="1" customHeight="1" x14ac:dyDescent="0.35">
      <c r="A2816" s="1">
        <v>2815</v>
      </c>
      <c r="B2816" s="1">
        <v>542</v>
      </c>
      <c r="C2816" s="1">
        <v>45</v>
      </c>
      <c r="D2816" t="str">
        <f>VLOOKUP(B2816,Заказы!A:C,3,0)</f>
        <v>2023-07-19 20:19:00</v>
      </c>
      <c r="E2816" t="str">
        <f>VLOOKUP(C2816,Меню!A:E,4,0)</f>
        <v>Суши</v>
      </c>
      <c r="F2816">
        <f>VLOOKUP(C2816,Меню!A:E,5,0)</f>
        <v>200</v>
      </c>
    </row>
    <row r="2817" spans="1:6" ht="15.75" hidden="1" customHeight="1" x14ac:dyDescent="0.35">
      <c r="A2817" s="1">
        <v>2816</v>
      </c>
      <c r="B2817" s="1">
        <v>542</v>
      </c>
      <c r="C2817" s="1">
        <v>35</v>
      </c>
      <c r="D2817" t="str">
        <f>VLOOKUP(B2817,Заказы!A:C,3,0)</f>
        <v>2023-07-19 20:19:00</v>
      </c>
      <c r="E2817" t="str">
        <f>VLOOKUP(C2817,Меню!A:E,4,0)</f>
        <v>Десерт</v>
      </c>
      <c r="F2817">
        <f>VLOOKUP(C2817,Меню!A:E,5,0)</f>
        <v>150</v>
      </c>
    </row>
    <row r="2818" spans="1:6" ht="15.75" hidden="1" customHeight="1" x14ac:dyDescent="0.35">
      <c r="A2818" s="1">
        <v>2817</v>
      </c>
      <c r="B2818" s="1">
        <v>542</v>
      </c>
      <c r="C2818" s="1">
        <v>3</v>
      </c>
      <c r="D2818" t="str">
        <f>VLOOKUP(B2818,Заказы!A:C,3,0)</f>
        <v>2023-07-19 20:19:00</v>
      </c>
      <c r="E2818" t="str">
        <f>VLOOKUP(C2818,Меню!A:E,4,0)</f>
        <v>Завтрак</v>
      </c>
      <c r="F2818">
        <f>VLOOKUP(C2818,Меню!A:E,5,0)</f>
        <v>150</v>
      </c>
    </row>
    <row r="2819" spans="1:6" ht="15.75" hidden="1" customHeight="1" x14ac:dyDescent="0.35">
      <c r="A2819" s="1">
        <v>2818</v>
      </c>
      <c r="B2819" s="1">
        <v>542</v>
      </c>
      <c r="C2819" s="1">
        <v>25</v>
      </c>
      <c r="D2819" t="str">
        <f>VLOOKUP(B2819,Заказы!A:C,3,0)</f>
        <v>2023-07-19 20:19:00</v>
      </c>
      <c r="E2819" t="str">
        <f>VLOOKUP(C2819,Меню!A:E,4,0)</f>
        <v>Салат</v>
      </c>
      <c r="F2819">
        <f>VLOOKUP(C2819,Меню!A:E,5,0)</f>
        <v>250</v>
      </c>
    </row>
    <row r="2820" spans="1:6" ht="15.75" hidden="1" customHeight="1" x14ac:dyDescent="0.35">
      <c r="A2820" s="1">
        <v>2819</v>
      </c>
      <c r="B2820" s="1">
        <v>542</v>
      </c>
      <c r="C2820" s="1">
        <v>23</v>
      </c>
      <c r="D2820" t="str">
        <f>VLOOKUP(B2820,Заказы!A:C,3,0)</f>
        <v>2023-07-19 20:19:00</v>
      </c>
      <c r="E2820" t="str">
        <f>VLOOKUP(C2820,Меню!A:E,4,0)</f>
        <v>Салат</v>
      </c>
      <c r="F2820">
        <f>VLOOKUP(C2820,Меню!A:E,5,0)</f>
        <v>250</v>
      </c>
    </row>
    <row r="2821" spans="1:6" ht="15.75" hidden="1" customHeight="1" x14ac:dyDescent="0.35">
      <c r="A2821" s="1">
        <v>2820</v>
      </c>
      <c r="B2821" s="1">
        <v>542</v>
      </c>
      <c r="C2821" s="1">
        <v>24</v>
      </c>
      <c r="D2821" t="str">
        <f>VLOOKUP(B2821,Заказы!A:C,3,0)</f>
        <v>2023-07-19 20:19:00</v>
      </c>
      <c r="E2821" t="str">
        <f>VLOOKUP(C2821,Меню!A:E,4,0)</f>
        <v>Салат</v>
      </c>
      <c r="F2821">
        <f>VLOOKUP(C2821,Меню!A:E,5,0)</f>
        <v>250</v>
      </c>
    </row>
    <row r="2822" spans="1:6" ht="15.75" hidden="1" customHeight="1" x14ac:dyDescent="0.35">
      <c r="A2822" s="1">
        <v>2821</v>
      </c>
      <c r="B2822" s="1">
        <v>542</v>
      </c>
      <c r="C2822" s="1">
        <v>39</v>
      </c>
      <c r="D2822" t="str">
        <f>VLOOKUP(B2822,Заказы!A:C,3,0)</f>
        <v>2023-07-19 20:19:00</v>
      </c>
      <c r="E2822" t="str">
        <f>VLOOKUP(C2822,Меню!A:E,4,0)</f>
        <v>Десерт</v>
      </c>
      <c r="F2822">
        <f>VLOOKUP(C2822,Меню!A:E,5,0)</f>
        <v>150</v>
      </c>
    </row>
    <row r="2823" spans="1:6" ht="15.75" hidden="1" customHeight="1" x14ac:dyDescent="0.35">
      <c r="A2823" s="1">
        <v>2822</v>
      </c>
      <c r="B2823" s="1">
        <v>543</v>
      </c>
      <c r="C2823" s="1">
        <v>5</v>
      </c>
      <c r="D2823" t="str">
        <f>VLOOKUP(B2823,Заказы!A:C,3,0)</f>
        <v>2023-07-20 19:42:00</v>
      </c>
      <c r="E2823" t="str">
        <f>VLOOKUP(C2823,Меню!A:E,4,0)</f>
        <v>Завтрак</v>
      </c>
      <c r="F2823">
        <f>VLOOKUP(C2823,Меню!A:E,5,0)</f>
        <v>220</v>
      </c>
    </row>
    <row r="2824" spans="1:6" ht="15.75" hidden="1" customHeight="1" x14ac:dyDescent="0.35">
      <c r="A2824" s="1">
        <v>2823</v>
      </c>
      <c r="B2824" s="1">
        <v>544</v>
      </c>
      <c r="C2824" s="1">
        <v>6</v>
      </c>
      <c r="D2824" t="str">
        <f>VLOOKUP(B2824,Заказы!A:C,3,0)</f>
        <v>2023-07-21 15:03:00</v>
      </c>
      <c r="E2824" t="str">
        <f>VLOOKUP(C2824,Меню!A:E,4,0)</f>
        <v>Завтрак</v>
      </c>
      <c r="F2824">
        <f>VLOOKUP(C2824,Меню!A:E,5,0)</f>
        <v>300</v>
      </c>
    </row>
    <row r="2825" spans="1:6" ht="15.75" hidden="1" customHeight="1" x14ac:dyDescent="0.35">
      <c r="A2825" s="1">
        <v>2824</v>
      </c>
      <c r="B2825" s="1">
        <v>544</v>
      </c>
      <c r="C2825" s="1">
        <v>33</v>
      </c>
      <c r="D2825" t="str">
        <f>VLOOKUP(B2825,Заказы!A:C,3,0)</f>
        <v>2023-07-21 15:03:00</v>
      </c>
      <c r="E2825" t="str">
        <f>VLOOKUP(C2825,Меню!A:E,4,0)</f>
        <v>Десерт</v>
      </c>
      <c r="F2825">
        <f>VLOOKUP(C2825,Меню!A:E,5,0)</f>
        <v>150</v>
      </c>
    </row>
    <row r="2826" spans="1:6" ht="15.75" hidden="1" customHeight="1" x14ac:dyDescent="0.35">
      <c r="A2826" s="1">
        <v>2825</v>
      </c>
      <c r="B2826" s="1">
        <v>544</v>
      </c>
      <c r="C2826" s="1">
        <v>2</v>
      </c>
      <c r="D2826" t="str">
        <f>VLOOKUP(B2826,Заказы!A:C,3,0)</f>
        <v>2023-07-21 15:03:00</v>
      </c>
      <c r="E2826" t="str">
        <f>VLOOKUP(C2826,Меню!A:E,4,0)</f>
        <v>Завтрак</v>
      </c>
      <c r="F2826">
        <f>VLOOKUP(C2826,Меню!A:E,5,0)</f>
        <v>250</v>
      </c>
    </row>
    <row r="2827" spans="1:6" ht="15.75" hidden="1" customHeight="1" x14ac:dyDescent="0.35">
      <c r="A2827" s="1">
        <v>2826</v>
      </c>
      <c r="B2827" s="1">
        <v>544</v>
      </c>
      <c r="C2827" s="1">
        <v>35</v>
      </c>
      <c r="D2827" t="str">
        <f>VLOOKUP(B2827,Заказы!A:C,3,0)</f>
        <v>2023-07-21 15:03:00</v>
      </c>
      <c r="E2827" t="str">
        <f>VLOOKUP(C2827,Меню!A:E,4,0)</f>
        <v>Десерт</v>
      </c>
      <c r="F2827">
        <f>VLOOKUP(C2827,Меню!A:E,5,0)</f>
        <v>150</v>
      </c>
    </row>
    <row r="2828" spans="1:6" ht="15.75" hidden="1" customHeight="1" x14ac:dyDescent="0.35">
      <c r="A2828" s="1">
        <v>2827</v>
      </c>
      <c r="B2828" s="1">
        <v>544</v>
      </c>
      <c r="C2828" s="1">
        <v>41</v>
      </c>
      <c r="D2828" t="str">
        <f>VLOOKUP(B2828,Заказы!A:C,3,0)</f>
        <v>2023-07-21 15:03:00</v>
      </c>
      <c r="E2828" t="str">
        <f>VLOOKUP(C2828,Меню!A:E,4,0)</f>
        <v>Суши</v>
      </c>
      <c r="F2828">
        <f>VLOOKUP(C2828,Меню!A:E,5,0)</f>
        <v>220</v>
      </c>
    </row>
    <row r="2829" spans="1:6" ht="15.75" hidden="1" customHeight="1" x14ac:dyDescent="0.35">
      <c r="A2829" s="1">
        <v>2828</v>
      </c>
      <c r="B2829" s="1">
        <v>544</v>
      </c>
      <c r="C2829" s="1">
        <v>20</v>
      </c>
      <c r="D2829" t="str">
        <f>VLOOKUP(B2829,Заказы!A:C,3,0)</f>
        <v>2023-07-21 15:03:00</v>
      </c>
      <c r="E2829" t="str">
        <f>VLOOKUP(C2829,Меню!A:E,4,0)</f>
        <v>Первое</v>
      </c>
      <c r="F2829">
        <f>VLOOKUP(C2829,Меню!A:E,5,0)</f>
        <v>250</v>
      </c>
    </row>
    <row r="2830" spans="1:6" ht="15.75" hidden="1" customHeight="1" x14ac:dyDescent="0.35">
      <c r="A2830" s="1">
        <v>2829</v>
      </c>
      <c r="B2830" s="1">
        <v>544</v>
      </c>
      <c r="C2830" s="1">
        <v>9</v>
      </c>
      <c r="D2830" t="str">
        <f>VLOOKUP(B2830,Заказы!A:C,3,0)</f>
        <v>2023-07-21 15:03:00</v>
      </c>
      <c r="E2830" t="str">
        <f>VLOOKUP(C2830,Меню!A:E,4,0)</f>
        <v>Завтрак</v>
      </c>
      <c r="F2830">
        <f>VLOOKUP(C2830,Меню!A:E,5,0)</f>
        <v>220</v>
      </c>
    </row>
    <row r="2831" spans="1:6" ht="15.75" hidden="1" customHeight="1" x14ac:dyDescent="0.35">
      <c r="A2831" s="1">
        <v>2830</v>
      </c>
      <c r="B2831" s="1">
        <v>545</v>
      </c>
      <c r="C2831" s="1">
        <v>59</v>
      </c>
      <c r="D2831" t="str">
        <f>VLOOKUP(B2831,Заказы!A:C,3,0)</f>
        <v>2023-07-21 17:48:00</v>
      </c>
      <c r="E2831" t="str">
        <f>VLOOKUP(C2831,Меню!A:E,4,0)</f>
        <v>Суши</v>
      </c>
      <c r="F2831">
        <f>VLOOKUP(C2831,Меню!A:E,5,0)</f>
        <v>300</v>
      </c>
    </row>
    <row r="2832" spans="1:6" ht="15.75" hidden="1" customHeight="1" x14ac:dyDescent="0.35">
      <c r="A2832" s="1">
        <v>2831</v>
      </c>
      <c r="B2832" s="1">
        <v>545</v>
      </c>
      <c r="C2832" s="1">
        <v>22</v>
      </c>
      <c r="D2832" t="str">
        <f>VLOOKUP(B2832,Заказы!A:C,3,0)</f>
        <v>2023-07-21 17:48:00</v>
      </c>
      <c r="E2832" t="str">
        <f>VLOOKUP(C2832,Меню!A:E,4,0)</f>
        <v>Салат</v>
      </c>
      <c r="F2832">
        <f>VLOOKUP(C2832,Меню!A:E,5,0)</f>
        <v>250</v>
      </c>
    </row>
    <row r="2833" spans="1:6" ht="15.75" hidden="1" customHeight="1" x14ac:dyDescent="0.35">
      <c r="A2833" s="1">
        <v>2832</v>
      </c>
      <c r="B2833" s="1">
        <v>545</v>
      </c>
      <c r="C2833" s="1">
        <v>38</v>
      </c>
      <c r="D2833" t="str">
        <f>VLOOKUP(B2833,Заказы!A:C,3,0)</f>
        <v>2023-07-21 17:48:00</v>
      </c>
      <c r="E2833" t="str">
        <f>VLOOKUP(C2833,Меню!A:E,4,0)</f>
        <v>Десерт</v>
      </c>
      <c r="F2833">
        <f>VLOOKUP(C2833,Меню!A:E,5,0)</f>
        <v>150</v>
      </c>
    </row>
    <row r="2834" spans="1:6" ht="15.75" hidden="1" customHeight="1" x14ac:dyDescent="0.35">
      <c r="A2834" s="1">
        <v>2833</v>
      </c>
      <c r="B2834" s="1">
        <v>546</v>
      </c>
      <c r="C2834" s="1">
        <v>56</v>
      </c>
      <c r="D2834" t="str">
        <f>VLOOKUP(B2834,Заказы!A:C,3,0)</f>
        <v>2023-07-21 19:25:00</v>
      </c>
      <c r="E2834" t="str">
        <f>VLOOKUP(C2834,Меню!A:E,4,0)</f>
        <v>Суши</v>
      </c>
      <c r="F2834">
        <f>VLOOKUP(C2834,Меню!A:E,5,0)</f>
        <v>200</v>
      </c>
    </row>
    <row r="2835" spans="1:6" ht="15.75" hidden="1" customHeight="1" x14ac:dyDescent="0.35">
      <c r="A2835" s="1">
        <v>2834</v>
      </c>
      <c r="B2835" s="1">
        <v>546</v>
      </c>
      <c r="C2835" s="1">
        <v>57</v>
      </c>
      <c r="D2835" t="str">
        <f>VLOOKUP(B2835,Заказы!A:C,3,0)</f>
        <v>2023-07-21 19:25:00</v>
      </c>
      <c r="E2835" t="str">
        <f>VLOOKUP(C2835,Меню!A:E,4,0)</f>
        <v>Суши</v>
      </c>
      <c r="F2835">
        <f>VLOOKUP(C2835,Меню!A:E,5,0)</f>
        <v>200</v>
      </c>
    </row>
    <row r="2836" spans="1:6" ht="15.75" hidden="1" customHeight="1" x14ac:dyDescent="0.35">
      <c r="A2836" s="1">
        <v>2835</v>
      </c>
      <c r="B2836" s="1">
        <v>546</v>
      </c>
      <c r="C2836" s="1">
        <v>30</v>
      </c>
      <c r="D2836" t="str">
        <f>VLOOKUP(B2836,Заказы!A:C,3,0)</f>
        <v>2023-07-21 19:25:00</v>
      </c>
      <c r="E2836" t="str">
        <f>VLOOKUP(C2836,Меню!A:E,4,0)</f>
        <v>Салат</v>
      </c>
      <c r="F2836">
        <f>VLOOKUP(C2836,Меню!A:E,5,0)</f>
        <v>250</v>
      </c>
    </row>
    <row r="2837" spans="1:6" ht="15.75" hidden="1" customHeight="1" x14ac:dyDescent="0.35">
      <c r="A2837" s="1">
        <v>2836</v>
      </c>
      <c r="B2837" s="1">
        <v>546</v>
      </c>
      <c r="C2837" s="1">
        <v>50</v>
      </c>
      <c r="D2837" t="str">
        <f>VLOOKUP(B2837,Заказы!A:C,3,0)</f>
        <v>2023-07-21 19:25:00</v>
      </c>
      <c r="E2837" t="str">
        <f>VLOOKUP(C2837,Меню!A:E,4,0)</f>
        <v>Суши</v>
      </c>
      <c r="F2837">
        <f>VLOOKUP(C2837,Меню!A:E,5,0)</f>
        <v>200</v>
      </c>
    </row>
    <row r="2838" spans="1:6" ht="15.75" hidden="1" customHeight="1" x14ac:dyDescent="0.35">
      <c r="A2838" s="1">
        <v>2837</v>
      </c>
      <c r="B2838" s="1">
        <v>546</v>
      </c>
      <c r="C2838" s="1">
        <v>50</v>
      </c>
      <c r="D2838" t="str">
        <f>VLOOKUP(B2838,Заказы!A:C,3,0)</f>
        <v>2023-07-21 19:25:00</v>
      </c>
      <c r="E2838" t="str">
        <f>VLOOKUP(C2838,Меню!A:E,4,0)</f>
        <v>Суши</v>
      </c>
      <c r="F2838">
        <f>VLOOKUP(C2838,Меню!A:E,5,0)</f>
        <v>200</v>
      </c>
    </row>
    <row r="2839" spans="1:6" ht="15.75" hidden="1" customHeight="1" x14ac:dyDescent="0.35">
      <c r="A2839" s="1">
        <v>2838</v>
      </c>
      <c r="B2839" s="1">
        <v>547</v>
      </c>
      <c r="C2839" s="1">
        <v>22</v>
      </c>
      <c r="D2839" t="str">
        <f>VLOOKUP(B2839,Заказы!A:C,3,0)</f>
        <v>2023-07-21 22:03:00</v>
      </c>
      <c r="E2839" t="str">
        <f>VLOOKUP(C2839,Меню!A:E,4,0)</f>
        <v>Салат</v>
      </c>
      <c r="F2839">
        <f>VLOOKUP(C2839,Меню!A:E,5,0)</f>
        <v>250</v>
      </c>
    </row>
    <row r="2840" spans="1:6" ht="15.75" hidden="1" customHeight="1" x14ac:dyDescent="0.35">
      <c r="A2840" s="1">
        <v>2839</v>
      </c>
      <c r="B2840" s="1">
        <v>547</v>
      </c>
      <c r="C2840" s="1">
        <v>27</v>
      </c>
      <c r="D2840" t="str">
        <f>VLOOKUP(B2840,Заказы!A:C,3,0)</f>
        <v>2023-07-21 22:03:00</v>
      </c>
      <c r="E2840" t="str">
        <f>VLOOKUP(C2840,Меню!A:E,4,0)</f>
        <v>Салат</v>
      </c>
      <c r="F2840">
        <f>VLOOKUP(C2840,Меню!A:E,5,0)</f>
        <v>250</v>
      </c>
    </row>
    <row r="2841" spans="1:6" ht="15.75" hidden="1" customHeight="1" x14ac:dyDescent="0.35">
      <c r="A2841" s="1">
        <v>2840</v>
      </c>
      <c r="B2841" s="1">
        <v>547</v>
      </c>
      <c r="C2841" s="1">
        <v>33</v>
      </c>
      <c r="D2841" t="str">
        <f>VLOOKUP(B2841,Заказы!A:C,3,0)</f>
        <v>2023-07-21 22:03:00</v>
      </c>
      <c r="E2841" t="str">
        <f>VLOOKUP(C2841,Меню!A:E,4,0)</f>
        <v>Десерт</v>
      </c>
      <c r="F2841">
        <f>VLOOKUP(C2841,Меню!A:E,5,0)</f>
        <v>150</v>
      </c>
    </row>
    <row r="2842" spans="1:6" ht="15.75" hidden="1" customHeight="1" x14ac:dyDescent="0.35">
      <c r="A2842" s="1">
        <v>2841</v>
      </c>
      <c r="B2842" s="1">
        <v>547</v>
      </c>
      <c r="C2842" s="1">
        <v>18</v>
      </c>
      <c r="D2842" t="str">
        <f>VLOOKUP(B2842,Заказы!A:C,3,0)</f>
        <v>2023-07-21 22:03:00</v>
      </c>
      <c r="E2842" t="str">
        <f>VLOOKUP(C2842,Меню!A:E,4,0)</f>
        <v>Первое</v>
      </c>
      <c r="F2842">
        <f>VLOOKUP(C2842,Меню!A:E,5,0)</f>
        <v>300</v>
      </c>
    </row>
    <row r="2843" spans="1:6" ht="15.75" hidden="1" customHeight="1" x14ac:dyDescent="0.35">
      <c r="A2843" s="1">
        <v>2842</v>
      </c>
      <c r="B2843" s="1">
        <v>548</v>
      </c>
      <c r="C2843" s="1">
        <v>23</v>
      </c>
      <c r="D2843" t="str">
        <f>VLOOKUP(B2843,Заказы!A:C,3,0)</f>
        <v>2023-07-22 15:29:00</v>
      </c>
      <c r="E2843" t="str">
        <f>VLOOKUP(C2843,Меню!A:E,4,0)</f>
        <v>Салат</v>
      </c>
      <c r="F2843">
        <f>VLOOKUP(C2843,Меню!A:E,5,0)</f>
        <v>250</v>
      </c>
    </row>
    <row r="2844" spans="1:6" ht="15.75" hidden="1" customHeight="1" x14ac:dyDescent="0.35">
      <c r="A2844" s="1">
        <v>2843</v>
      </c>
      <c r="B2844" s="1">
        <v>548</v>
      </c>
      <c r="C2844" s="1">
        <v>32</v>
      </c>
      <c r="D2844" t="str">
        <f>VLOOKUP(B2844,Заказы!A:C,3,0)</f>
        <v>2023-07-22 15:29:00</v>
      </c>
      <c r="E2844" t="str">
        <f>VLOOKUP(C2844,Меню!A:E,4,0)</f>
        <v>Десерт</v>
      </c>
      <c r="F2844">
        <f>VLOOKUP(C2844,Меню!A:E,5,0)</f>
        <v>150</v>
      </c>
    </row>
    <row r="2845" spans="1:6" ht="15.75" hidden="1" customHeight="1" x14ac:dyDescent="0.35">
      <c r="A2845" s="1">
        <v>2844</v>
      </c>
      <c r="B2845" s="1">
        <v>548</v>
      </c>
      <c r="C2845" s="1">
        <v>25</v>
      </c>
      <c r="D2845" t="str">
        <f>VLOOKUP(B2845,Заказы!A:C,3,0)</f>
        <v>2023-07-22 15:29:00</v>
      </c>
      <c r="E2845" t="str">
        <f>VLOOKUP(C2845,Меню!A:E,4,0)</f>
        <v>Салат</v>
      </c>
      <c r="F2845">
        <f>VLOOKUP(C2845,Меню!A:E,5,0)</f>
        <v>250</v>
      </c>
    </row>
    <row r="2846" spans="1:6" ht="15.75" hidden="1" customHeight="1" x14ac:dyDescent="0.35">
      <c r="A2846" s="1">
        <v>2845</v>
      </c>
      <c r="B2846" s="1">
        <v>548</v>
      </c>
      <c r="C2846" s="1">
        <v>58</v>
      </c>
      <c r="D2846" t="str">
        <f>VLOOKUP(B2846,Заказы!A:C,3,0)</f>
        <v>2023-07-22 15:29:00</v>
      </c>
      <c r="E2846" t="str">
        <f>VLOOKUP(C2846,Меню!A:E,4,0)</f>
        <v>Суши</v>
      </c>
      <c r="F2846">
        <f>VLOOKUP(C2846,Меню!A:E,5,0)</f>
        <v>200</v>
      </c>
    </row>
    <row r="2847" spans="1:6" ht="15.75" hidden="1" customHeight="1" x14ac:dyDescent="0.35">
      <c r="A2847" s="1">
        <v>2846</v>
      </c>
      <c r="B2847" s="1">
        <v>548</v>
      </c>
      <c r="C2847" s="1">
        <v>18</v>
      </c>
      <c r="D2847" t="str">
        <f>VLOOKUP(B2847,Заказы!A:C,3,0)</f>
        <v>2023-07-22 15:29:00</v>
      </c>
      <c r="E2847" t="str">
        <f>VLOOKUP(C2847,Меню!A:E,4,0)</f>
        <v>Первое</v>
      </c>
      <c r="F2847">
        <f>VLOOKUP(C2847,Меню!A:E,5,0)</f>
        <v>300</v>
      </c>
    </row>
    <row r="2848" spans="1:6" ht="15.75" hidden="1" customHeight="1" x14ac:dyDescent="0.35">
      <c r="A2848" s="1">
        <v>2847</v>
      </c>
      <c r="B2848" s="1">
        <v>548</v>
      </c>
      <c r="C2848" s="1">
        <v>56</v>
      </c>
      <c r="D2848" t="str">
        <f>VLOOKUP(B2848,Заказы!A:C,3,0)</f>
        <v>2023-07-22 15:29:00</v>
      </c>
      <c r="E2848" t="str">
        <f>VLOOKUP(C2848,Меню!A:E,4,0)</f>
        <v>Суши</v>
      </c>
      <c r="F2848">
        <f>VLOOKUP(C2848,Меню!A:E,5,0)</f>
        <v>200</v>
      </c>
    </row>
    <row r="2849" spans="1:6" ht="15.75" hidden="1" customHeight="1" x14ac:dyDescent="0.35">
      <c r="A2849" s="1">
        <v>2848</v>
      </c>
      <c r="B2849" s="1">
        <v>548</v>
      </c>
      <c r="C2849" s="1">
        <v>6</v>
      </c>
      <c r="D2849" t="str">
        <f>VLOOKUP(B2849,Заказы!A:C,3,0)</f>
        <v>2023-07-22 15:29:00</v>
      </c>
      <c r="E2849" t="str">
        <f>VLOOKUP(C2849,Меню!A:E,4,0)</f>
        <v>Завтрак</v>
      </c>
      <c r="F2849">
        <f>VLOOKUP(C2849,Меню!A:E,5,0)</f>
        <v>300</v>
      </c>
    </row>
    <row r="2850" spans="1:6" ht="15.75" hidden="1" customHeight="1" x14ac:dyDescent="0.35">
      <c r="A2850" s="1">
        <v>2849</v>
      </c>
      <c r="B2850" s="1">
        <v>548</v>
      </c>
      <c r="C2850" s="1">
        <v>50</v>
      </c>
      <c r="D2850" t="str">
        <f>VLOOKUP(B2850,Заказы!A:C,3,0)</f>
        <v>2023-07-22 15:29:00</v>
      </c>
      <c r="E2850" t="str">
        <f>VLOOKUP(C2850,Меню!A:E,4,0)</f>
        <v>Суши</v>
      </c>
      <c r="F2850">
        <f>VLOOKUP(C2850,Меню!A:E,5,0)</f>
        <v>200</v>
      </c>
    </row>
    <row r="2851" spans="1:6" ht="15.75" hidden="1" customHeight="1" x14ac:dyDescent="0.35">
      <c r="A2851" s="1">
        <v>2850</v>
      </c>
      <c r="B2851" s="1">
        <v>549</v>
      </c>
      <c r="C2851" s="1">
        <v>17</v>
      </c>
      <c r="D2851" t="str">
        <f>VLOOKUP(B2851,Заказы!A:C,3,0)</f>
        <v>2023-07-22 18:14:00</v>
      </c>
      <c r="E2851" t="str">
        <f>VLOOKUP(C2851,Меню!A:E,4,0)</f>
        <v>Первое</v>
      </c>
      <c r="F2851">
        <f>VLOOKUP(C2851,Меню!A:E,5,0)</f>
        <v>250</v>
      </c>
    </row>
    <row r="2852" spans="1:6" ht="15.75" hidden="1" customHeight="1" x14ac:dyDescent="0.35">
      <c r="A2852" s="1">
        <v>2851</v>
      </c>
      <c r="B2852" s="1">
        <v>550</v>
      </c>
      <c r="C2852" s="1">
        <v>45</v>
      </c>
      <c r="D2852" t="str">
        <f>VLOOKUP(B2852,Заказы!A:C,3,0)</f>
        <v>2023-07-22 18:31:00</v>
      </c>
      <c r="E2852" t="str">
        <f>VLOOKUP(C2852,Меню!A:E,4,0)</f>
        <v>Суши</v>
      </c>
      <c r="F2852">
        <f>VLOOKUP(C2852,Меню!A:E,5,0)</f>
        <v>200</v>
      </c>
    </row>
    <row r="2853" spans="1:6" ht="15.75" hidden="1" customHeight="1" x14ac:dyDescent="0.35">
      <c r="A2853" s="1">
        <v>2852</v>
      </c>
      <c r="B2853" s="1">
        <v>550</v>
      </c>
      <c r="C2853" s="1">
        <v>20</v>
      </c>
      <c r="D2853" t="str">
        <f>VLOOKUP(B2853,Заказы!A:C,3,0)</f>
        <v>2023-07-22 18:31:00</v>
      </c>
      <c r="E2853" t="str">
        <f>VLOOKUP(C2853,Меню!A:E,4,0)</f>
        <v>Первое</v>
      </c>
      <c r="F2853">
        <f>VLOOKUP(C2853,Меню!A:E,5,0)</f>
        <v>250</v>
      </c>
    </row>
    <row r="2854" spans="1:6" ht="15.75" hidden="1" customHeight="1" x14ac:dyDescent="0.35">
      <c r="A2854" s="1">
        <v>2853</v>
      </c>
      <c r="B2854" s="1">
        <v>550</v>
      </c>
      <c r="C2854" s="1">
        <v>42</v>
      </c>
      <c r="D2854" t="str">
        <f>VLOOKUP(B2854,Заказы!A:C,3,0)</f>
        <v>2023-07-22 18:31:00</v>
      </c>
      <c r="E2854" t="str">
        <f>VLOOKUP(C2854,Меню!A:E,4,0)</f>
        <v>Суши</v>
      </c>
      <c r="F2854">
        <f>VLOOKUP(C2854,Меню!A:E,5,0)</f>
        <v>250</v>
      </c>
    </row>
    <row r="2855" spans="1:6" ht="15.75" hidden="1" customHeight="1" x14ac:dyDescent="0.35">
      <c r="A2855" s="1">
        <v>2854</v>
      </c>
      <c r="B2855" s="1">
        <v>550</v>
      </c>
      <c r="C2855" s="1">
        <v>29</v>
      </c>
      <c r="D2855" t="str">
        <f>VLOOKUP(B2855,Заказы!A:C,3,0)</f>
        <v>2023-07-22 18:31:00</v>
      </c>
      <c r="E2855" t="str">
        <f>VLOOKUP(C2855,Меню!A:E,4,0)</f>
        <v>Салат</v>
      </c>
      <c r="F2855">
        <f>VLOOKUP(C2855,Меню!A:E,5,0)</f>
        <v>250</v>
      </c>
    </row>
    <row r="2856" spans="1:6" ht="15.75" hidden="1" customHeight="1" x14ac:dyDescent="0.35">
      <c r="A2856" s="1">
        <v>2855</v>
      </c>
      <c r="B2856" s="1">
        <v>550</v>
      </c>
      <c r="C2856" s="1">
        <v>42</v>
      </c>
      <c r="D2856" t="str">
        <f>VLOOKUP(B2856,Заказы!A:C,3,0)</f>
        <v>2023-07-22 18:31:00</v>
      </c>
      <c r="E2856" t="str">
        <f>VLOOKUP(C2856,Меню!A:E,4,0)</f>
        <v>Суши</v>
      </c>
      <c r="F2856">
        <f>VLOOKUP(C2856,Меню!A:E,5,0)</f>
        <v>250</v>
      </c>
    </row>
    <row r="2857" spans="1:6" ht="15.75" hidden="1" customHeight="1" x14ac:dyDescent="0.35">
      <c r="A2857" s="1">
        <v>2856</v>
      </c>
      <c r="B2857" s="1">
        <v>550</v>
      </c>
      <c r="C2857" s="1">
        <v>24</v>
      </c>
      <c r="D2857" t="str">
        <f>VLOOKUP(B2857,Заказы!A:C,3,0)</f>
        <v>2023-07-22 18:31:00</v>
      </c>
      <c r="E2857" t="str">
        <f>VLOOKUP(C2857,Меню!A:E,4,0)</f>
        <v>Салат</v>
      </c>
      <c r="F2857">
        <f>VLOOKUP(C2857,Меню!A:E,5,0)</f>
        <v>250</v>
      </c>
    </row>
    <row r="2858" spans="1:6" ht="15.75" hidden="1" customHeight="1" x14ac:dyDescent="0.35">
      <c r="A2858" s="1">
        <v>2857</v>
      </c>
      <c r="B2858" s="1">
        <v>551</v>
      </c>
      <c r="C2858" s="1">
        <v>10</v>
      </c>
      <c r="D2858" t="str">
        <f>VLOOKUP(B2858,Заказы!A:C,3,0)</f>
        <v>2023-07-22 20:24:00</v>
      </c>
      <c r="E2858" t="str">
        <f>VLOOKUP(C2858,Меню!A:E,4,0)</f>
        <v>Завтрак</v>
      </c>
      <c r="F2858">
        <f>VLOOKUP(C2858,Меню!A:E,5,0)</f>
        <v>200</v>
      </c>
    </row>
    <row r="2859" spans="1:6" ht="15.75" hidden="1" customHeight="1" x14ac:dyDescent="0.35">
      <c r="A2859" s="1">
        <v>2858</v>
      </c>
      <c r="B2859" s="1">
        <v>551</v>
      </c>
      <c r="C2859" s="1">
        <v>43</v>
      </c>
      <c r="D2859" t="str">
        <f>VLOOKUP(B2859,Заказы!A:C,3,0)</f>
        <v>2023-07-22 20:24:00</v>
      </c>
      <c r="E2859" t="str">
        <f>VLOOKUP(C2859,Меню!A:E,4,0)</f>
        <v>Суши</v>
      </c>
      <c r="F2859">
        <f>VLOOKUP(C2859,Меню!A:E,5,0)</f>
        <v>250</v>
      </c>
    </row>
    <row r="2860" spans="1:6" ht="15.75" hidden="1" customHeight="1" x14ac:dyDescent="0.35">
      <c r="A2860" s="1">
        <v>2859</v>
      </c>
      <c r="B2860" s="1">
        <v>551</v>
      </c>
      <c r="C2860" s="1">
        <v>20</v>
      </c>
      <c r="D2860" t="str">
        <f>VLOOKUP(B2860,Заказы!A:C,3,0)</f>
        <v>2023-07-22 20:24:00</v>
      </c>
      <c r="E2860" t="str">
        <f>VLOOKUP(C2860,Меню!A:E,4,0)</f>
        <v>Первое</v>
      </c>
      <c r="F2860">
        <f>VLOOKUP(C2860,Меню!A:E,5,0)</f>
        <v>250</v>
      </c>
    </row>
    <row r="2861" spans="1:6" ht="15.75" hidden="1" customHeight="1" x14ac:dyDescent="0.35">
      <c r="A2861" s="1">
        <v>2860</v>
      </c>
      <c r="B2861" s="1">
        <v>552</v>
      </c>
      <c r="C2861" s="1">
        <v>9</v>
      </c>
      <c r="D2861" t="str">
        <f>VLOOKUP(B2861,Заказы!A:C,3,0)</f>
        <v>2023-07-22 22:29:00</v>
      </c>
      <c r="E2861" t="str">
        <f>VLOOKUP(C2861,Меню!A:E,4,0)</f>
        <v>Завтрак</v>
      </c>
      <c r="F2861">
        <f>VLOOKUP(C2861,Меню!A:E,5,0)</f>
        <v>220</v>
      </c>
    </row>
    <row r="2862" spans="1:6" ht="15.75" hidden="1" customHeight="1" x14ac:dyDescent="0.35">
      <c r="A2862" s="1">
        <v>2861</v>
      </c>
      <c r="B2862" s="1">
        <v>552</v>
      </c>
      <c r="C2862" s="1">
        <v>10</v>
      </c>
      <c r="D2862" t="str">
        <f>VLOOKUP(B2862,Заказы!A:C,3,0)</f>
        <v>2023-07-22 22:29:00</v>
      </c>
      <c r="E2862" t="str">
        <f>VLOOKUP(C2862,Меню!A:E,4,0)</f>
        <v>Завтрак</v>
      </c>
      <c r="F2862">
        <f>VLOOKUP(C2862,Меню!A:E,5,0)</f>
        <v>200</v>
      </c>
    </row>
    <row r="2863" spans="1:6" ht="15.75" hidden="1" customHeight="1" x14ac:dyDescent="0.35">
      <c r="A2863" s="1">
        <v>2862</v>
      </c>
      <c r="B2863" s="1">
        <v>552</v>
      </c>
      <c r="C2863" s="1">
        <v>26</v>
      </c>
      <c r="D2863" t="str">
        <f>VLOOKUP(B2863,Заказы!A:C,3,0)</f>
        <v>2023-07-22 22:29:00</v>
      </c>
      <c r="E2863" t="str">
        <f>VLOOKUP(C2863,Меню!A:E,4,0)</f>
        <v>Салат</v>
      </c>
      <c r="F2863">
        <f>VLOOKUP(C2863,Меню!A:E,5,0)</f>
        <v>250</v>
      </c>
    </row>
    <row r="2864" spans="1:6" ht="15.75" hidden="1" customHeight="1" x14ac:dyDescent="0.35">
      <c r="A2864" s="1">
        <v>2863</v>
      </c>
      <c r="B2864" s="1">
        <v>552</v>
      </c>
      <c r="C2864" s="1">
        <v>42</v>
      </c>
      <c r="D2864" t="str">
        <f>VLOOKUP(B2864,Заказы!A:C,3,0)</f>
        <v>2023-07-22 22:29:00</v>
      </c>
      <c r="E2864" t="str">
        <f>VLOOKUP(C2864,Меню!A:E,4,0)</f>
        <v>Суши</v>
      </c>
      <c r="F2864">
        <f>VLOOKUP(C2864,Меню!A:E,5,0)</f>
        <v>250</v>
      </c>
    </row>
    <row r="2865" spans="1:6" ht="15.75" hidden="1" customHeight="1" x14ac:dyDescent="0.35">
      <c r="A2865" s="1">
        <v>2864</v>
      </c>
      <c r="B2865" s="1">
        <v>552</v>
      </c>
      <c r="C2865" s="1">
        <v>5</v>
      </c>
      <c r="D2865" t="str">
        <f>VLOOKUP(B2865,Заказы!A:C,3,0)</f>
        <v>2023-07-22 22:29:00</v>
      </c>
      <c r="E2865" t="str">
        <f>VLOOKUP(C2865,Меню!A:E,4,0)</f>
        <v>Завтрак</v>
      </c>
      <c r="F2865">
        <f>VLOOKUP(C2865,Меню!A:E,5,0)</f>
        <v>220</v>
      </c>
    </row>
    <row r="2866" spans="1:6" ht="15.75" hidden="1" customHeight="1" x14ac:dyDescent="0.35">
      <c r="A2866" s="1">
        <v>2865</v>
      </c>
      <c r="B2866" s="1">
        <v>552</v>
      </c>
      <c r="C2866" s="1">
        <v>59</v>
      </c>
      <c r="D2866" t="str">
        <f>VLOOKUP(B2866,Заказы!A:C,3,0)</f>
        <v>2023-07-22 22:29:00</v>
      </c>
      <c r="E2866" t="str">
        <f>VLOOKUP(C2866,Меню!A:E,4,0)</f>
        <v>Суши</v>
      </c>
      <c r="F2866">
        <f>VLOOKUP(C2866,Меню!A:E,5,0)</f>
        <v>300</v>
      </c>
    </row>
    <row r="2867" spans="1:6" ht="15.75" hidden="1" customHeight="1" x14ac:dyDescent="0.35">
      <c r="A2867" s="1">
        <v>2866</v>
      </c>
      <c r="B2867" s="1">
        <v>552</v>
      </c>
      <c r="C2867" s="1">
        <v>37</v>
      </c>
      <c r="D2867" t="str">
        <f>VLOOKUP(B2867,Заказы!A:C,3,0)</f>
        <v>2023-07-22 22:29:00</v>
      </c>
      <c r="E2867" t="str">
        <f>VLOOKUP(C2867,Меню!A:E,4,0)</f>
        <v>Десерт</v>
      </c>
      <c r="F2867">
        <f>VLOOKUP(C2867,Меню!A:E,5,0)</f>
        <v>100</v>
      </c>
    </row>
    <row r="2868" spans="1:6" ht="15.75" hidden="1" customHeight="1" x14ac:dyDescent="0.35">
      <c r="A2868" s="1">
        <v>2867</v>
      </c>
      <c r="B2868" s="1">
        <v>552</v>
      </c>
      <c r="C2868" s="1">
        <v>37</v>
      </c>
      <c r="D2868" t="str">
        <f>VLOOKUP(B2868,Заказы!A:C,3,0)</f>
        <v>2023-07-22 22:29:00</v>
      </c>
      <c r="E2868" t="str">
        <f>VLOOKUP(C2868,Меню!A:E,4,0)</f>
        <v>Десерт</v>
      </c>
      <c r="F2868">
        <f>VLOOKUP(C2868,Меню!A:E,5,0)</f>
        <v>100</v>
      </c>
    </row>
    <row r="2869" spans="1:6" ht="15.75" hidden="1" customHeight="1" x14ac:dyDescent="0.35">
      <c r="A2869" s="1">
        <v>2868</v>
      </c>
      <c r="B2869" s="1">
        <v>552</v>
      </c>
      <c r="C2869" s="1">
        <v>54</v>
      </c>
      <c r="D2869" t="str">
        <f>VLOOKUP(B2869,Заказы!A:C,3,0)</f>
        <v>2023-07-22 22:29:00</v>
      </c>
      <c r="E2869" t="str">
        <f>VLOOKUP(C2869,Меню!A:E,4,0)</f>
        <v>Суши</v>
      </c>
      <c r="F2869">
        <f>VLOOKUP(C2869,Меню!A:E,5,0)</f>
        <v>100</v>
      </c>
    </row>
    <row r="2870" spans="1:6" ht="15.75" hidden="1" customHeight="1" x14ac:dyDescent="0.35">
      <c r="A2870" s="1">
        <v>2869</v>
      </c>
      <c r="B2870" s="1">
        <v>553</v>
      </c>
      <c r="C2870" s="1">
        <v>39</v>
      </c>
      <c r="D2870" t="str">
        <f>VLOOKUP(B2870,Заказы!A:C,3,0)</f>
        <v>2023-07-23 15:27:00</v>
      </c>
      <c r="E2870" t="str">
        <f>VLOOKUP(C2870,Меню!A:E,4,0)</f>
        <v>Десерт</v>
      </c>
      <c r="F2870">
        <f>VLOOKUP(C2870,Меню!A:E,5,0)</f>
        <v>150</v>
      </c>
    </row>
    <row r="2871" spans="1:6" ht="15.75" hidden="1" customHeight="1" x14ac:dyDescent="0.35">
      <c r="A2871" s="1">
        <v>2870</v>
      </c>
      <c r="B2871" s="1">
        <v>553</v>
      </c>
      <c r="C2871" s="1">
        <v>31</v>
      </c>
      <c r="D2871" t="str">
        <f>VLOOKUP(B2871,Заказы!A:C,3,0)</f>
        <v>2023-07-23 15:27:00</v>
      </c>
      <c r="E2871" t="str">
        <f>VLOOKUP(C2871,Меню!A:E,4,0)</f>
        <v>Десерт</v>
      </c>
      <c r="F2871">
        <f>VLOOKUP(C2871,Меню!A:E,5,0)</f>
        <v>150</v>
      </c>
    </row>
    <row r="2872" spans="1:6" ht="15.75" hidden="1" customHeight="1" x14ac:dyDescent="0.35">
      <c r="A2872" s="1">
        <v>2871</v>
      </c>
      <c r="B2872" s="1">
        <v>553</v>
      </c>
      <c r="C2872" s="1">
        <v>13</v>
      </c>
      <c r="D2872" t="str">
        <f>VLOOKUP(B2872,Заказы!A:C,3,0)</f>
        <v>2023-07-23 15:27:00</v>
      </c>
      <c r="E2872" t="str">
        <f>VLOOKUP(C2872,Меню!A:E,4,0)</f>
        <v>Первое</v>
      </c>
      <c r="F2872">
        <f>VLOOKUP(C2872,Меню!A:E,5,0)</f>
        <v>280</v>
      </c>
    </row>
    <row r="2873" spans="1:6" ht="15.75" hidden="1" customHeight="1" x14ac:dyDescent="0.35">
      <c r="A2873" s="1">
        <v>2872</v>
      </c>
      <c r="B2873" s="1">
        <v>553</v>
      </c>
      <c r="C2873" s="1">
        <v>16</v>
      </c>
      <c r="D2873" t="str">
        <f>VLOOKUP(B2873,Заказы!A:C,3,0)</f>
        <v>2023-07-23 15:27:00</v>
      </c>
      <c r="E2873" t="str">
        <f>VLOOKUP(C2873,Меню!A:E,4,0)</f>
        <v>Первое</v>
      </c>
      <c r="F2873">
        <f>VLOOKUP(C2873,Меню!A:E,5,0)</f>
        <v>250</v>
      </c>
    </row>
    <row r="2874" spans="1:6" ht="15.75" hidden="1" customHeight="1" x14ac:dyDescent="0.35">
      <c r="A2874" s="1">
        <v>2873</v>
      </c>
      <c r="B2874" s="1">
        <v>553</v>
      </c>
      <c r="C2874" s="1">
        <v>13</v>
      </c>
      <c r="D2874" t="str">
        <f>VLOOKUP(B2874,Заказы!A:C,3,0)</f>
        <v>2023-07-23 15:27:00</v>
      </c>
      <c r="E2874" t="str">
        <f>VLOOKUP(C2874,Меню!A:E,4,0)</f>
        <v>Первое</v>
      </c>
      <c r="F2874">
        <f>VLOOKUP(C2874,Меню!A:E,5,0)</f>
        <v>280</v>
      </c>
    </row>
    <row r="2875" spans="1:6" ht="15.75" hidden="1" customHeight="1" x14ac:dyDescent="0.35">
      <c r="A2875" s="1">
        <v>2874</v>
      </c>
      <c r="B2875" s="1">
        <v>554</v>
      </c>
      <c r="C2875" s="1">
        <v>34</v>
      </c>
      <c r="D2875" t="str">
        <f>VLOOKUP(B2875,Заказы!A:C,3,0)</f>
        <v>2023-07-23 16:44:00</v>
      </c>
      <c r="E2875" t="str">
        <f>VLOOKUP(C2875,Меню!A:E,4,0)</f>
        <v>Десерт</v>
      </c>
      <c r="F2875">
        <f>VLOOKUP(C2875,Меню!A:E,5,0)</f>
        <v>150</v>
      </c>
    </row>
    <row r="2876" spans="1:6" ht="15.75" hidden="1" customHeight="1" x14ac:dyDescent="0.35">
      <c r="A2876" s="1">
        <v>2875</v>
      </c>
      <c r="B2876" s="1">
        <v>554</v>
      </c>
      <c r="C2876" s="1">
        <v>5</v>
      </c>
      <c r="D2876" t="str">
        <f>VLOOKUP(B2876,Заказы!A:C,3,0)</f>
        <v>2023-07-23 16:44:00</v>
      </c>
      <c r="E2876" t="str">
        <f>VLOOKUP(C2876,Меню!A:E,4,0)</f>
        <v>Завтрак</v>
      </c>
      <c r="F2876">
        <f>VLOOKUP(C2876,Меню!A:E,5,0)</f>
        <v>220</v>
      </c>
    </row>
    <row r="2877" spans="1:6" ht="15.75" hidden="1" customHeight="1" x14ac:dyDescent="0.35">
      <c r="A2877" s="1">
        <v>2876</v>
      </c>
      <c r="B2877" s="1">
        <v>554</v>
      </c>
      <c r="C2877" s="1">
        <v>18</v>
      </c>
      <c r="D2877" t="str">
        <f>VLOOKUP(B2877,Заказы!A:C,3,0)</f>
        <v>2023-07-23 16:44:00</v>
      </c>
      <c r="E2877" t="str">
        <f>VLOOKUP(C2877,Меню!A:E,4,0)</f>
        <v>Первое</v>
      </c>
      <c r="F2877">
        <f>VLOOKUP(C2877,Меню!A:E,5,0)</f>
        <v>300</v>
      </c>
    </row>
    <row r="2878" spans="1:6" ht="15.75" hidden="1" customHeight="1" x14ac:dyDescent="0.35">
      <c r="A2878" s="1">
        <v>2877</v>
      </c>
      <c r="B2878" s="1">
        <v>554</v>
      </c>
      <c r="C2878" s="1">
        <v>23</v>
      </c>
      <c r="D2878" t="str">
        <f>VLOOKUP(B2878,Заказы!A:C,3,0)</f>
        <v>2023-07-23 16:44:00</v>
      </c>
      <c r="E2878" t="str">
        <f>VLOOKUP(C2878,Меню!A:E,4,0)</f>
        <v>Салат</v>
      </c>
      <c r="F2878">
        <f>VLOOKUP(C2878,Меню!A:E,5,0)</f>
        <v>250</v>
      </c>
    </row>
    <row r="2879" spans="1:6" ht="15.75" hidden="1" customHeight="1" x14ac:dyDescent="0.35">
      <c r="A2879" s="1">
        <v>2878</v>
      </c>
      <c r="B2879" s="1">
        <v>555</v>
      </c>
      <c r="C2879" s="1">
        <v>21</v>
      </c>
      <c r="D2879" t="str">
        <f>VLOOKUP(B2879,Заказы!A:C,3,0)</f>
        <v>2023-07-23 17:37:00</v>
      </c>
      <c r="E2879" t="str">
        <f>VLOOKUP(C2879,Меню!A:E,4,0)</f>
        <v>Салат</v>
      </c>
      <c r="F2879">
        <f>VLOOKUP(C2879,Меню!A:E,5,0)</f>
        <v>250</v>
      </c>
    </row>
    <row r="2880" spans="1:6" ht="15.75" hidden="1" customHeight="1" x14ac:dyDescent="0.35">
      <c r="A2880" s="1">
        <v>2879</v>
      </c>
      <c r="B2880" s="1">
        <v>555</v>
      </c>
      <c r="C2880" s="1">
        <v>55</v>
      </c>
      <c r="D2880" t="str">
        <f>VLOOKUP(B2880,Заказы!A:C,3,0)</f>
        <v>2023-07-23 17:37:00</v>
      </c>
      <c r="E2880" t="str">
        <f>VLOOKUP(C2880,Меню!A:E,4,0)</f>
        <v>Суши</v>
      </c>
      <c r="F2880">
        <f>VLOOKUP(C2880,Меню!A:E,5,0)</f>
        <v>100</v>
      </c>
    </row>
    <row r="2881" spans="1:6" ht="15.75" hidden="1" customHeight="1" x14ac:dyDescent="0.35">
      <c r="A2881" s="1">
        <v>2880</v>
      </c>
      <c r="B2881" s="1">
        <v>555</v>
      </c>
      <c r="C2881" s="1">
        <v>30</v>
      </c>
      <c r="D2881" t="str">
        <f>VLOOKUP(B2881,Заказы!A:C,3,0)</f>
        <v>2023-07-23 17:37:00</v>
      </c>
      <c r="E2881" t="str">
        <f>VLOOKUP(C2881,Меню!A:E,4,0)</f>
        <v>Салат</v>
      </c>
      <c r="F2881">
        <f>VLOOKUP(C2881,Меню!A:E,5,0)</f>
        <v>250</v>
      </c>
    </row>
    <row r="2882" spans="1:6" ht="15.75" hidden="1" customHeight="1" x14ac:dyDescent="0.35">
      <c r="A2882" s="1">
        <v>2881</v>
      </c>
      <c r="B2882" s="1">
        <v>556</v>
      </c>
      <c r="C2882" s="1">
        <v>36</v>
      </c>
      <c r="D2882" t="str">
        <f>VLOOKUP(B2882,Заказы!A:C,3,0)</f>
        <v>2023-07-23 20:01:00</v>
      </c>
      <c r="E2882" t="str">
        <f>VLOOKUP(C2882,Меню!A:E,4,0)</f>
        <v>Десерт</v>
      </c>
      <c r="F2882">
        <f>VLOOKUP(C2882,Меню!A:E,5,0)</f>
        <v>150</v>
      </c>
    </row>
    <row r="2883" spans="1:6" ht="15.75" hidden="1" customHeight="1" x14ac:dyDescent="0.35">
      <c r="A2883" s="1">
        <v>2882</v>
      </c>
      <c r="B2883" s="1">
        <v>556</v>
      </c>
      <c r="C2883" s="1">
        <v>40</v>
      </c>
      <c r="D2883" t="str">
        <f>VLOOKUP(B2883,Заказы!A:C,3,0)</f>
        <v>2023-07-23 20:01:00</v>
      </c>
      <c r="E2883" t="str">
        <f>VLOOKUP(C2883,Меню!A:E,4,0)</f>
        <v>Десерт</v>
      </c>
      <c r="F2883">
        <f>VLOOKUP(C2883,Меню!A:E,5,0)</f>
        <v>150</v>
      </c>
    </row>
    <row r="2884" spans="1:6" ht="15.75" hidden="1" customHeight="1" x14ac:dyDescent="0.35">
      <c r="A2884" s="1">
        <v>2883</v>
      </c>
      <c r="B2884" s="1">
        <v>556</v>
      </c>
      <c r="C2884" s="1">
        <v>5</v>
      </c>
      <c r="D2884" t="str">
        <f>VLOOKUP(B2884,Заказы!A:C,3,0)</f>
        <v>2023-07-23 20:01:00</v>
      </c>
      <c r="E2884" t="str">
        <f>VLOOKUP(C2884,Меню!A:E,4,0)</f>
        <v>Завтрак</v>
      </c>
      <c r="F2884">
        <f>VLOOKUP(C2884,Меню!A:E,5,0)</f>
        <v>220</v>
      </c>
    </row>
    <row r="2885" spans="1:6" ht="15.75" hidden="1" customHeight="1" x14ac:dyDescent="0.35">
      <c r="A2885" s="1">
        <v>2884</v>
      </c>
      <c r="B2885" s="1">
        <v>556</v>
      </c>
      <c r="C2885" s="1">
        <v>41</v>
      </c>
      <c r="D2885" t="str">
        <f>VLOOKUP(B2885,Заказы!A:C,3,0)</f>
        <v>2023-07-23 20:01:00</v>
      </c>
      <c r="E2885" t="str">
        <f>VLOOKUP(C2885,Меню!A:E,4,0)</f>
        <v>Суши</v>
      </c>
      <c r="F2885">
        <f>VLOOKUP(C2885,Меню!A:E,5,0)</f>
        <v>220</v>
      </c>
    </row>
    <row r="2886" spans="1:6" ht="15.75" hidden="1" customHeight="1" x14ac:dyDescent="0.35">
      <c r="A2886" s="1">
        <v>2885</v>
      </c>
      <c r="B2886" s="1">
        <v>556</v>
      </c>
      <c r="C2886" s="1">
        <v>55</v>
      </c>
      <c r="D2886" t="str">
        <f>VLOOKUP(B2886,Заказы!A:C,3,0)</f>
        <v>2023-07-23 20:01:00</v>
      </c>
      <c r="E2886" t="str">
        <f>VLOOKUP(C2886,Меню!A:E,4,0)</f>
        <v>Суши</v>
      </c>
      <c r="F2886">
        <f>VLOOKUP(C2886,Меню!A:E,5,0)</f>
        <v>100</v>
      </c>
    </row>
    <row r="2887" spans="1:6" ht="15.75" hidden="1" customHeight="1" x14ac:dyDescent="0.35">
      <c r="A2887" s="1">
        <v>2886</v>
      </c>
      <c r="B2887" s="1">
        <v>556</v>
      </c>
      <c r="C2887" s="1">
        <v>9</v>
      </c>
      <c r="D2887" t="str">
        <f>VLOOKUP(B2887,Заказы!A:C,3,0)</f>
        <v>2023-07-23 20:01:00</v>
      </c>
      <c r="E2887" t="str">
        <f>VLOOKUP(C2887,Меню!A:E,4,0)</f>
        <v>Завтрак</v>
      </c>
      <c r="F2887">
        <f>VLOOKUP(C2887,Меню!A:E,5,0)</f>
        <v>220</v>
      </c>
    </row>
    <row r="2888" spans="1:6" ht="15.75" hidden="1" customHeight="1" x14ac:dyDescent="0.35">
      <c r="A2888" s="1">
        <v>2887</v>
      </c>
      <c r="B2888" s="1">
        <v>556</v>
      </c>
      <c r="C2888" s="1">
        <v>30</v>
      </c>
      <c r="D2888" t="str">
        <f>VLOOKUP(B2888,Заказы!A:C,3,0)</f>
        <v>2023-07-23 20:01:00</v>
      </c>
      <c r="E2888" t="str">
        <f>VLOOKUP(C2888,Меню!A:E,4,0)</f>
        <v>Салат</v>
      </c>
      <c r="F2888">
        <f>VLOOKUP(C2888,Меню!A:E,5,0)</f>
        <v>250</v>
      </c>
    </row>
    <row r="2889" spans="1:6" ht="15.75" hidden="1" customHeight="1" x14ac:dyDescent="0.35">
      <c r="A2889" s="1">
        <v>2888</v>
      </c>
      <c r="B2889" s="1">
        <v>556</v>
      </c>
      <c r="C2889" s="1">
        <v>42</v>
      </c>
      <c r="D2889" t="str">
        <f>VLOOKUP(B2889,Заказы!A:C,3,0)</f>
        <v>2023-07-23 20:01:00</v>
      </c>
      <c r="E2889" t="str">
        <f>VLOOKUP(C2889,Меню!A:E,4,0)</f>
        <v>Суши</v>
      </c>
      <c r="F2889">
        <f>VLOOKUP(C2889,Меню!A:E,5,0)</f>
        <v>250</v>
      </c>
    </row>
    <row r="2890" spans="1:6" ht="15.75" hidden="1" customHeight="1" x14ac:dyDescent="0.35">
      <c r="A2890" s="1">
        <v>2889</v>
      </c>
      <c r="B2890" s="1">
        <v>556</v>
      </c>
      <c r="C2890" s="1">
        <v>31</v>
      </c>
      <c r="D2890" t="str">
        <f>VLOOKUP(B2890,Заказы!A:C,3,0)</f>
        <v>2023-07-23 20:01:00</v>
      </c>
      <c r="E2890" t="str">
        <f>VLOOKUP(C2890,Меню!A:E,4,0)</f>
        <v>Десерт</v>
      </c>
      <c r="F2890">
        <f>VLOOKUP(C2890,Меню!A:E,5,0)</f>
        <v>150</v>
      </c>
    </row>
    <row r="2891" spans="1:6" ht="15.75" hidden="1" customHeight="1" x14ac:dyDescent="0.35">
      <c r="A2891" s="1">
        <v>2890</v>
      </c>
      <c r="B2891" s="1">
        <v>557</v>
      </c>
      <c r="C2891" s="1">
        <v>7</v>
      </c>
      <c r="D2891" t="str">
        <f>VLOOKUP(B2891,Заказы!A:C,3,0)</f>
        <v>2023-07-23 20:30:00</v>
      </c>
      <c r="E2891" t="str">
        <f>VLOOKUP(C2891,Меню!A:E,4,0)</f>
        <v>Завтрак</v>
      </c>
      <c r="F2891">
        <f>VLOOKUP(C2891,Меню!A:E,5,0)</f>
        <v>200</v>
      </c>
    </row>
    <row r="2892" spans="1:6" ht="15.75" hidden="1" customHeight="1" x14ac:dyDescent="0.35">
      <c r="A2892" s="1">
        <v>2891</v>
      </c>
      <c r="B2892" s="1">
        <v>557</v>
      </c>
      <c r="C2892" s="1">
        <v>26</v>
      </c>
      <c r="D2892" t="str">
        <f>VLOOKUP(B2892,Заказы!A:C,3,0)</f>
        <v>2023-07-23 20:30:00</v>
      </c>
      <c r="E2892" t="str">
        <f>VLOOKUP(C2892,Меню!A:E,4,0)</f>
        <v>Салат</v>
      </c>
      <c r="F2892">
        <f>VLOOKUP(C2892,Меню!A:E,5,0)</f>
        <v>250</v>
      </c>
    </row>
    <row r="2893" spans="1:6" ht="15.75" hidden="1" customHeight="1" x14ac:dyDescent="0.35">
      <c r="A2893" s="1">
        <v>2892</v>
      </c>
      <c r="B2893" s="1">
        <v>557</v>
      </c>
      <c r="C2893" s="1">
        <v>44</v>
      </c>
      <c r="D2893" t="str">
        <f>VLOOKUP(B2893,Заказы!A:C,3,0)</f>
        <v>2023-07-23 20:30:00</v>
      </c>
      <c r="E2893" t="str">
        <f>VLOOKUP(C2893,Меню!A:E,4,0)</f>
        <v>Суши</v>
      </c>
      <c r="F2893">
        <f>VLOOKUP(C2893,Меню!A:E,5,0)</f>
        <v>250</v>
      </c>
    </row>
    <row r="2894" spans="1:6" ht="15.75" hidden="1" customHeight="1" x14ac:dyDescent="0.35">
      <c r="A2894" s="1">
        <v>2893</v>
      </c>
      <c r="B2894" s="1">
        <v>557</v>
      </c>
      <c r="C2894" s="1">
        <v>29</v>
      </c>
      <c r="D2894" t="str">
        <f>VLOOKUP(B2894,Заказы!A:C,3,0)</f>
        <v>2023-07-23 20:30:00</v>
      </c>
      <c r="E2894" t="str">
        <f>VLOOKUP(C2894,Меню!A:E,4,0)</f>
        <v>Салат</v>
      </c>
      <c r="F2894">
        <f>VLOOKUP(C2894,Меню!A:E,5,0)</f>
        <v>250</v>
      </c>
    </row>
    <row r="2895" spans="1:6" ht="15.75" hidden="1" customHeight="1" x14ac:dyDescent="0.35">
      <c r="A2895" s="1">
        <v>2894</v>
      </c>
      <c r="B2895" s="1">
        <v>557</v>
      </c>
      <c r="C2895" s="1">
        <v>39</v>
      </c>
      <c r="D2895" t="str">
        <f>VLOOKUP(B2895,Заказы!A:C,3,0)</f>
        <v>2023-07-23 20:30:00</v>
      </c>
      <c r="E2895" t="str">
        <f>VLOOKUP(C2895,Меню!A:E,4,0)</f>
        <v>Десерт</v>
      </c>
      <c r="F2895">
        <f>VLOOKUP(C2895,Меню!A:E,5,0)</f>
        <v>150</v>
      </c>
    </row>
    <row r="2896" spans="1:6" ht="15.75" hidden="1" customHeight="1" x14ac:dyDescent="0.35">
      <c r="A2896" s="1">
        <v>2895</v>
      </c>
      <c r="B2896" s="1">
        <v>558</v>
      </c>
      <c r="C2896" s="1">
        <v>45</v>
      </c>
      <c r="D2896" t="str">
        <f>VLOOKUP(B2896,Заказы!A:C,3,0)</f>
        <v>2023-07-23 21:20:00</v>
      </c>
      <c r="E2896" t="str">
        <f>VLOOKUP(C2896,Меню!A:E,4,0)</f>
        <v>Суши</v>
      </c>
      <c r="F2896">
        <f>VLOOKUP(C2896,Меню!A:E,5,0)</f>
        <v>200</v>
      </c>
    </row>
    <row r="2897" spans="1:6" ht="15.75" hidden="1" customHeight="1" x14ac:dyDescent="0.35">
      <c r="A2897" s="1">
        <v>2896</v>
      </c>
      <c r="B2897" s="1">
        <v>558</v>
      </c>
      <c r="C2897" s="1">
        <v>31</v>
      </c>
      <c r="D2897" t="str">
        <f>VLOOKUP(B2897,Заказы!A:C,3,0)</f>
        <v>2023-07-23 21:20:00</v>
      </c>
      <c r="E2897" t="str">
        <f>VLOOKUP(C2897,Меню!A:E,4,0)</f>
        <v>Десерт</v>
      </c>
      <c r="F2897">
        <f>VLOOKUP(C2897,Меню!A:E,5,0)</f>
        <v>150</v>
      </c>
    </row>
    <row r="2898" spans="1:6" ht="15.75" hidden="1" customHeight="1" x14ac:dyDescent="0.35">
      <c r="A2898" s="1">
        <v>2897</v>
      </c>
      <c r="B2898" s="1">
        <v>558</v>
      </c>
      <c r="C2898" s="1">
        <v>27</v>
      </c>
      <c r="D2898" t="str">
        <f>VLOOKUP(B2898,Заказы!A:C,3,0)</f>
        <v>2023-07-23 21:20:00</v>
      </c>
      <c r="E2898" t="str">
        <f>VLOOKUP(C2898,Меню!A:E,4,0)</f>
        <v>Салат</v>
      </c>
      <c r="F2898">
        <f>VLOOKUP(C2898,Меню!A:E,5,0)</f>
        <v>250</v>
      </c>
    </row>
    <row r="2899" spans="1:6" ht="15.75" hidden="1" customHeight="1" x14ac:dyDescent="0.35">
      <c r="A2899" s="1">
        <v>2898</v>
      </c>
      <c r="B2899" s="1">
        <v>558</v>
      </c>
      <c r="C2899" s="1">
        <v>27</v>
      </c>
      <c r="D2899" t="str">
        <f>VLOOKUP(B2899,Заказы!A:C,3,0)</f>
        <v>2023-07-23 21:20:00</v>
      </c>
      <c r="E2899" t="str">
        <f>VLOOKUP(C2899,Меню!A:E,4,0)</f>
        <v>Салат</v>
      </c>
      <c r="F2899">
        <f>VLOOKUP(C2899,Меню!A:E,5,0)</f>
        <v>250</v>
      </c>
    </row>
    <row r="2900" spans="1:6" ht="15.75" hidden="1" customHeight="1" x14ac:dyDescent="0.35">
      <c r="A2900" s="1">
        <v>2899</v>
      </c>
      <c r="B2900" s="1">
        <v>558</v>
      </c>
      <c r="C2900" s="1">
        <v>40</v>
      </c>
      <c r="D2900" t="str">
        <f>VLOOKUP(B2900,Заказы!A:C,3,0)</f>
        <v>2023-07-23 21:20:00</v>
      </c>
      <c r="E2900" t="str">
        <f>VLOOKUP(C2900,Меню!A:E,4,0)</f>
        <v>Десерт</v>
      </c>
      <c r="F2900">
        <f>VLOOKUP(C2900,Меню!A:E,5,0)</f>
        <v>150</v>
      </c>
    </row>
    <row r="2901" spans="1:6" ht="15.75" hidden="1" customHeight="1" x14ac:dyDescent="0.35">
      <c r="A2901" s="1">
        <v>2900</v>
      </c>
      <c r="B2901" s="1">
        <v>559</v>
      </c>
      <c r="C2901" s="1">
        <v>47</v>
      </c>
      <c r="D2901" t="str">
        <f>VLOOKUP(B2901,Заказы!A:C,3,0)</f>
        <v>2023-07-23 21:30:00</v>
      </c>
      <c r="E2901" t="str">
        <f>VLOOKUP(C2901,Меню!A:E,4,0)</f>
        <v>Суши</v>
      </c>
      <c r="F2901">
        <f>VLOOKUP(C2901,Меню!A:E,5,0)</f>
        <v>200</v>
      </c>
    </row>
    <row r="2902" spans="1:6" ht="15.75" hidden="1" customHeight="1" x14ac:dyDescent="0.35">
      <c r="A2902" s="1">
        <v>2901</v>
      </c>
      <c r="B2902" s="1">
        <v>559</v>
      </c>
      <c r="C2902" s="1">
        <v>39</v>
      </c>
      <c r="D2902" t="str">
        <f>VLOOKUP(B2902,Заказы!A:C,3,0)</f>
        <v>2023-07-23 21:30:00</v>
      </c>
      <c r="E2902" t="str">
        <f>VLOOKUP(C2902,Меню!A:E,4,0)</f>
        <v>Десерт</v>
      </c>
      <c r="F2902">
        <f>VLOOKUP(C2902,Меню!A:E,5,0)</f>
        <v>150</v>
      </c>
    </row>
    <row r="2903" spans="1:6" ht="15.75" hidden="1" customHeight="1" x14ac:dyDescent="0.35">
      <c r="A2903" s="1">
        <v>2902</v>
      </c>
      <c r="B2903" s="1">
        <v>559</v>
      </c>
      <c r="C2903" s="1">
        <v>26</v>
      </c>
      <c r="D2903" t="str">
        <f>VLOOKUP(B2903,Заказы!A:C,3,0)</f>
        <v>2023-07-23 21:30:00</v>
      </c>
      <c r="E2903" t="str">
        <f>VLOOKUP(C2903,Меню!A:E,4,0)</f>
        <v>Салат</v>
      </c>
      <c r="F2903">
        <f>VLOOKUP(C2903,Меню!A:E,5,0)</f>
        <v>250</v>
      </c>
    </row>
    <row r="2904" spans="1:6" ht="15.75" hidden="1" customHeight="1" x14ac:dyDescent="0.35">
      <c r="A2904" s="1">
        <v>2903</v>
      </c>
      <c r="B2904" s="1">
        <v>559</v>
      </c>
      <c r="C2904" s="1">
        <v>43</v>
      </c>
      <c r="D2904" t="str">
        <f>VLOOKUP(B2904,Заказы!A:C,3,0)</f>
        <v>2023-07-23 21:30:00</v>
      </c>
      <c r="E2904" t="str">
        <f>VLOOKUP(C2904,Меню!A:E,4,0)</f>
        <v>Суши</v>
      </c>
      <c r="F2904">
        <f>VLOOKUP(C2904,Меню!A:E,5,0)</f>
        <v>250</v>
      </c>
    </row>
    <row r="2905" spans="1:6" ht="15.75" hidden="1" customHeight="1" x14ac:dyDescent="0.35">
      <c r="A2905" s="1">
        <v>2904</v>
      </c>
      <c r="B2905" s="1">
        <v>560</v>
      </c>
      <c r="C2905" s="1">
        <v>47</v>
      </c>
      <c r="D2905" t="str">
        <f>VLOOKUP(B2905,Заказы!A:C,3,0)</f>
        <v>2023-07-23 22:58:00</v>
      </c>
      <c r="E2905" t="str">
        <f>VLOOKUP(C2905,Меню!A:E,4,0)</f>
        <v>Суши</v>
      </c>
      <c r="F2905">
        <f>VLOOKUP(C2905,Меню!A:E,5,0)</f>
        <v>200</v>
      </c>
    </row>
    <row r="2906" spans="1:6" ht="15.75" hidden="1" customHeight="1" x14ac:dyDescent="0.35">
      <c r="A2906" s="1">
        <v>2905</v>
      </c>
      <c r="B2906" s="1">
        <v>560</v>
      </c>
      <c r="C2906" s="1">
        <v>21</v>
      </c>
      <c r="D2906" t="str">
        <f>VLOOKUP(B2906,Заказы!A:C,3,0)</f>
        <v>2023-07-23 22:58:00</v>
      </c>
      <c r="E2906" t="str">
        <f>VLOOKUP(C2906,Меню!A:E,4,0)</f>
        <v>Салат</v>
      </c>
      <c r="F2906">
        <f>VLOOKUP(C2906,Меню!A:E,5,0)</f>
        <v>250</v>
      </c>
    </row>
    <row r="2907" spans="1:6" ht="15.75" hidden="1" customHeight="1" x14ac:dyDescent="0.35">
      <c r="A2907" s="1">
        <v>2906</v>
      </c>
      <c r="B2907" s="1">
        <v>560</v>
      </c>
      <c r="C2907" s="1">
        <v>3</v>
      </c>
      <c r="D2907" t="str">
        <f>VLOOKUP(B2907,Заказы!A:C,3,0)</f>
        <v>2023-07-23 22:58:00</v>
      </c>
      <c r="E2907" t="str">
        <f>VLOOKUP(C2907,Меню!A:E,4,0)</f>
        <v>Завтрак</v>
      </c>
      <c r="F2907">
        <f>VLOOKUP(C2907,Меню!A:E,5,0)</f>
        <v>150</v>
      </c>
    </row>
    <row r="2908" spans="1:6" ht="15.75" hidden="1" customHeight="1" x14ac:dyDescent="0.35">
      <c r="A2908" s="1">
        <v>2907</v>
      </c>
      <c r="B2908" s="1">
        <v>560</v>
      </c>
      <c r="C2908" s="1">
        <v>40</v>
      </c>
      <c r="D2908" t="str">
        <f>VLOOKUP(B2908,Заказы!A:C,3,0)</f>
        <v>2023-07-23 22:58:00</v>
      </c>
      <c r="E2908" t="str">
        <f>VLOOKUP(C2908,Меню!A:E,4,0)</f>
        <v>Десерт</v>
      </c>
      <c r="F2908">
        <f>VLOOKUP(C2908,Меню!A:E,5,0)</f>
        <v>150</v>
      </c>
    </row>
    <row r="2909" spans="1:6" ht="15.75" hidden="1" customHeight="1" x14ac:dyDescent="0.35">
      <c r="A2909" s="1">
        <v>2908</v>
      </c>
      <c r="B2909" s="1">
        <v>560</v>
      </c>
      <c r="C2909" s="1">
        <v>14</v>
      </c>
      <c r="D2909" t="str">
        <f>VLOOKUP(B2909,Заказы!A:C,3,0)</f>
        <v>2023-07-23 22:58:00</v>
      </c>
      <c r="E2909" t="str">
        <f>VLOOKUP(C2909,Меню!A:E,4,0)</f>
        <v>Первое</v>
      </c>
      <c r="F2909">
        <f>VLOOKUP(C2909,Меню!A:E,5,0)</f>
        <v>350</v>
      </c>
    </row>
    <row r="2910" spans="1:6" ht="15.75" hidden="1" customHeight="1" x14ac:dyDescent="0.35">
      <c r="A2910" s="1">
        <v>2909</v>
      </c>
      <c r="B2910" s="1">
        <v>560</v>
      </c>
      <c r="C2910" s="1">
        <v>41</v>
      </c>
      <c r="D2910" t="str">
        <f>VLOOKUP(B2910,Заказы!A:C,3,0)</f>
        <v>2023-07-23 22:58:00</v>
      </c>
      <c r="E2910" t="str">
        <f>VLOOKUP(C2910,Меню!A:E,4,0)</f>
        <v>Суши</v>
      </c>
      <c r="F2910">
        <f>VLOOKUP(C2910,Меню!A:E,5,0)</f>
        <v>220</v>
      </c>
    </row>
    <row r="2911" spans="1:6" ht="15.75" hidden="1" customHeight="1" x14ac:dyDescent="0.35">
      <c r="A2911" s="1">
        <v>2910</v>
      </c>
      <c r="B2911" s="1">
        <v>560</v>
      </c>
      <c r="C2911" s="1">
        <v>46</v>
      </c>
      <c r="D2911" t="str">
        <f>VLOOKUP(B2911,Заказы!A:C,3,0)</f>
        <v>2023-07-23 22:58:00</v>
      </c>
      <c r="E2911" t="str">
        <f>VLOOKUP(C2911,Меню!A:E,4,0)</f>
        <v>Суши</v>
      </c>
      <c r="F2911">
        <f>VLOOKUP(C2911,Меню!A:E,5,0)</f>
        <v>200</v>
      </c>
    </row>
    <row r="2912" spans="1:6" ht="15.75" hidden="1" customHeight="1" x14ac:dyDescent="0.35">
      <c r="A2912" s="1">
        <v>2911</v>
      </c>
      <c r="B2912" s="1">
        <v>561</v>
      </c>
      <c r="C2912" s="1">
        <v>47</v>
      </c>
      <c r="D2912" t="str">
        <f>VLOOKUP(B2912,Заказы!A:C,3,0)</f>
        <v>2023-07-24 15:53:00</v>
      </c>
      <c r="E2912" t="str">
        <f>VLOOKUP(C2912,Меню!A:E,4,0)</f>
        <v>Суши</v>
      </c>
      <c r="F2912">
        <f>VLOOKUP(C2912,Меню!A:E,5,0)</f>
        <v>200</v>
      </c>
    </row>
    <row r="2913" spans="1:6" ht="15.75" hidden="1" customHeight="1" x14ac:dyDescent="0.35">
      <c r="A2913" s="1">
        <v>2912</v>
      </c>
      <c r="B2913" s="1">
        <v>561</v>
      </c>
      <c r="C2913" s="1">
        <v>41</v>
      </c>
      <c r="D2913" t="str">
        <f>VLOOKUP(B2913,Заказы!A:C,3,0)</f>
        <v>2023-07-24 15:53:00</v>
      </c>
      <c r="E2913" t="str">
        <f>VLOOKUP(C2913,Меню!A:E,4,0)</f>
        <v>Суши</v>
      </c>
      <c r="F2913">
        <f>VLOOKUP(C2913,Меню!A:E,5,0)</f>
        <v>220</v>
      </c>
    </row>
    <row r="2914" spans="1:6" ht="15.75" hidden="1" customHeight="1" x14ac:dyDescent="0.35">
      <c r="A2914" s="1">
        <v>2913</v>
      </c>
      <c r="B2914" s="1">
        <v>561</v>
      </c>
      <c r="C2914" s="1">
        <v>9</v>
      </c>
      <c r="D2914" t="str">
        <f>VLOOKUP(B2914,Заказы!A:C,3,0)</f>
        <v>2023-07-24 15:53:00</v>
      </c>
      <c r="E2914" t="str">
        <f>VLOOKUP(C2914,Меню!A:E,4,0)</f>
        <v>Завтрак</v>
      </c>
      <c r="F2914">
        <f>VLOOKUP(C2914,Меню!A:E,5,0)</f>
        <v>220</v>
      </c>
    </row>
    <row r="2915" spans="1:6" ht="15.75" hidden="1" customHeight="1" x14ac:dyDescent="0.35">
      <c r="A2915" s="1">
        <v>2914</v>
      </c>
      <c r="B2915" s="1">
        <v>561</v>
      </c>
      <c r="C2915" s="1">
        <v>11</v>
      </c>
      <c r="D2915" t="str">
        <f>VLOOKUP(B2915,Заказы!A:C,3,0)</f>
        <v>2023-07-24 15:53:00</v>
      </c>
      <c r="E2915" t="str">
        <f>VLOOKUP(C2915,Меню!A:E,4,0)</f>
        <v>Первое</v>
      </c>
      <c r="F2915">
        <f>VLOOKUP(C2915,Меню!A:E,5,0)</f>
        <v>300</v>
      </c>
    </row>
    <row r="2916" spans="1:6" ht="15.75" hidden="1" customHeight="1" x14ac:dyDescent="0.35">
      <c r="A2916" s="1">
        <v>2915</v>
      </c>
      <c r="B2916" s="1">
        <v>561</v>
      </c>
      <c r="C2916" s="1">
        <v>13</v>
      </c>
      <c r="D2916" t="str">
        <f>VLOOKUP(B2916,Заказы!A:C,3,0)</f>
        <v>2023-07-24 15:53:00</v>
      </c>
      <c r="E2916" t="str">
        <f>VLOOKUP(C2916,Меню!A:E,4,0)</f>
        <v>Первое</v>
      </c>
      <c r="F2916">
        <f>VLOOKUP(C2916,Меню!A:E,5,0)</f>
        <v>280</v>
      </c>
    </row>
    <row r="2917" spans="1:6" ht="15.75" hidden="1" customHeight="1" x14ac:dyDescent="0.35">
      <c r="A2917" s="1">
        <v>2916</v>
      </c>
      <c r="B2917" s="1">
        <v>561</v>
      </c>
      <c r="C2917" s="1">
        <v>54</v>
      </c>
      <c r="D2917" t="str">
        <f>VLOOKUP(B2917,Заказы!A:C,3,0)</f>
        <v>2023-07-24 15:53:00</v>
      </c>
      <c r="E2917" t="str">
        <f>VLOOKUP(C2917,Меню!A:E,4,0)</f>
        <v>Суши</v>
      </c>
      <c r="F2917">
        <f>VLOOKUP(C2917,Меню!A:E,5,0)</f>
        <v>100</v>
      </c>
    </row>
    <row r="2918" spans="1:6" ht="15.75" hidden="1" customHeight="1" x14ac:dyDescent="0.35">
      <c r="A2918" s="1">
        <v>2917</v>
      </c>
      <c r="B2918" s="1">
        <v>561</v>
      </c>
      <c r="C2918" s="1">
        <v>25</v>
      </c>
      <c r="D2918" t="str">
        <f>VLOOKUP(B2918,Заказы!A:C,3,0)</f>
        <v>2023-07-24 15:53:00</v>
      </c>
      <c r="E2918" t="str">
        <f>VLOOKUP(C2918,Меню!A:E,4,0)</f>
        <v>Салат</v>
      </c>
      <c r="F2918">
        <f>VLOOKUP(C2918,Меню!A:E,5,0)</f>
        <v>250</v>
      </c>
    </row>
    <row r="2919" spans="1:6" ht="15.75" hidden="1" customHeight="1" x14ac:dyDescent="0.35">
      <c r="A2919" s="1">
        <v>2918</v>
      </c>
      <c r="B2919" s="1">
        <v>562</v>
      </c>
      <c r="C2919" s="1">
        <v>20</v>
      </c>
      <c r="D2919" t="str">
        <f>VLOOKUP(B2919,Заказы!A:C,3,0)</f>
        <v>2023-07-24 16:58:00</v>
      </c>
      <c r="E2919" t="str">
        <f>VLOOKUP(C2919,Меню!A:E,4,0)</f>
        <v>Первое</v>
      </c>
      <c r="F2919">
        <f>VLOOKUP(C2919,Меню!A:E,5,0)</f>
        <v>250</v>
      </c>
    </row>
    <row r="2920" spans="1:6" ht="15.75" hidden="1" customHeight="1" x14ac:dyDescent="0.35">
      <c r="A2920" s="1">
        <v>2919</v>
      </c>
      <c r="B2920" s="1">
        <v>562</v>
      </c>
      <c r="C2920" s="1">
        <v>42</v>
      </c>
      <c r="D2920" t="str">
        <f>VLOOKUP(B2920,Заказы!A:C,3,0)</f>
        <v>2023-07-24 16:58:00</v>
      </c>
      <c r="E2920" t="str">
        <f>VLOOKUP(C2920,Меню!A:E,4,0)</f>
        <v>Суши</v>
      </c>
      <c r="F2920">
        <f>VLOOKUP(C2920,Меню!A:E,5,0)</f>
        <v>250</v>
      </c>
    </row>
    <row r="2921" spans="1:6" ht="15.75" hidden="1" customHeight="1" x14ac:dyDescent="0.35">
      <c r="A2921" s="1">
        <v>2920</v>
      </c>
      <c r="B2921" s="1">
        <v>563</v>
      </c>
      <c r="C2921" s="1">
        <v>6</v>
      </c>
      <c r="D2921" t="str">
        <f>VLOOKUP(B2921,Заказы!A:C,3,0)</f>
        <v>2023-07-24 20:50:00</v>
      </c>
      <c r="E2921" t="str">
        <f>VLOOKUP(C2921,Меню!A:E,4,0)</f>
        <v>Завтрак</v>
      </c>
      <c r="F2921">
        <f>VLOOKUP(C2921,Меню!A:E,5,0)</f>
        <v>300</v>
      </c>
    </row>
    <row r="2922" spans="1:6" ht="15.75" hidden="1" customHeight="1" x14ac:dyDescent="0.35">
      <c r="A2922" s="1">
        <v>2921</v>
      </c>
      <c r="B2922" s="1">
        <v>563</v>
      </c>
      <c r="C2922" s="1">
        <v>11</v>
      </c>
      <c r="D2922" t="str">
        <f>VLOOKUP(B2922,Заказы!A:C,3,0)</f>
        <v>2023-07-24 20:50:00</v>
      </c>
      <c r="E2922" t="str">
        <f>VLOOKUP(C2922,Меню!A:E,4,0)</f>
        <v>Первое</v>
      </c>
      <c r="F2922">
        <f>VLOOKUP(C2922,Меню!A:E,5,0)</f>
        <v>300</v>
      </c>
    </row>
    <row r="2923" spans="1:6" ht="15.75" hidden="1" customHeight="1" x14ac:dyDescent="0.35">
      <c r="A2923" s="1">
        <v>2922</v>
      </c>
      <c r="B2923" s="1">
        <v>563</v>
      </c>
      <c r="C2923" s="1">
        <v>6</v>
      </c>
      <c r="D2923" t="str">
        <f>VLOOKUP(B2923,Заказы!A:C,3,0)</f>
        <v>2023-07-24 20:50:00</v>
      </c>
      <c r="E2923" t="str">
        <f>VLOOKUP(C2923,Меню!A:E,4,0)</f>
        <v>Завтрак</v>
      </c>
      <c r="F2923">
        <f>VLOOKUP(C2923,Меню!A:E,5,0)</f>
        <v>300</v>
      </c>
    </row>
    <row r="2924" spans="1:6" ht="15.75" hidden="1" customHeight="1" x14ac:dyDescent="0.35">
      <c r="A2924" s="1">
        <v>2923</v>
      </c>
      <c r="B2924" s="1">
        <v>564</v>
      </c>
      <c r="C2924" s="1">
        <v>59</v>
      </c>
      <c r="D2924" t="str">
        <f>VLOOKUP(B2924,Заказы!A:C,3,0)</f>
        <v>2023-07-25 15:29:00</v>
      </c>
      <c r="E2924" t="str">
        <f>VLOOKUP(C2924,Меню!A:E,4,0)</f>
        <v>Суши</v>
      </c>
      <c r="F2924">
        <f>VLOOKUP(C2924,Меню!A:E,5,0)</f>
        <v>300</v>
      </c>
    </row>
    <row r="2925" spans="1:6" ht="15.75" hidden="1" customHeight="1" x14ac:dyDescent="0.35">
      <c r="A2925" s="1">
        <v>2924</v>
      </c>
      <c r="B2925" s="1">
        <v>564</v>
      </c>
      <c r="C2925" s="1">
        <v>5</v>
      </c>
      <c r="D2925" t="str">
        <f>VLOOKUP(B2925,Заказы!A:C,3,0)</f>
        <v>2023-07-25 15:29:00</v>
      </c>
      <c r="E2925" t="str">
        <f>VLOOKUP(C2925,Меню!A:E,4,0)</f>
        <v>Завтрак</v>
      </c>
      <c r="F2925">
        <f>VLOOKUP(C2925,Меню!A:E,5,0)</f>
        <v>220</v>
      </c>
    </row>
    <row r="2926" spans="1:6" ht="15.75" hidden="1" customHeight="1" x14ac:dyDescent="0.35">
      <c r="A2926" s="1">
        <v>2925</v>
      </c>
      <c r="B2926" s="1">
        <v>564</v>
      </c>
      <c r="C2926" s="1">
        <v>17</v>
      </c>
      <c r="D2926" t="str">
        <f>VLOOKUP(B2926,Заказы!A:C,3,0)</f>
        <v>2023-07-25 15:29:00</v>
      </c>
      <c r="E2926" t="str">
        <f>VLOOKUP(C2926,Меню!A:E,4,0)</f>
        <v>Первое</v>
      </c>
      <c r="F2926">
        <f>VLOOKUP(C2926,Меню!A:E,5,0)</f>
        <v>250</v>
      </c>
    </row>
    <row r="2927" spans="1:6" ht="15.75" hidden="1" customHeight="1" x14ac:dyDescent="0.35">
      <c r="A2927" s="1">
        <v>2926</v>
      </c>
      <c r="B2927" s="1">
        <v>564</v>
      </c>
      <c r="C2927" s="1">
        <v>37</v>
      </c>
      <c r="D2927" t="str">
        <f>VLOOKUP(B2927,Заказы!A:C,3,0)</f>
        <v>2023-07-25 15:29:00</v>
      </c>
      <c r="E2927" t="str">
        <f>VLOOKUP(C2927,Меню!A:E,4,0)</f>
        <v>Десерт</v>
      </c>
      <c r="F2927">
        <f>VLOOKUP(C2927,Меню!A:E,5,0)</f>
        <v>100</v>
      </c>
    </row>
    <row r="2928" spans="1:6" ht="15.75" hidden="1" customHeight="1" x14ac:dyDescent="0.35">
      <c r="A2928" s="1">
        <v>2927</v>
      </c>
      <c r="B2928" s="1">
        <v>564</v>
      </c>
      <c r="C2928" s="1">
        <v>27</v>
      </c>
      <c r="D2928" t="str">
        <f>VLOOKUP(B2928,Заказы!A:C,3,0)</f>
        <v>2023-07-25 15:29:00</v>
      </c>
      <c r="E2928" t="str">
        <f>VLOOKUP(C2928,Меню!A:E,4,0)</f>
        <v>Салат</v>
      </c>
      <c r="F2928">
        <f>VLOOKUP(C2928,Меню!A:E,5,0)</f>
        <v>250</v>
      </c>
    </row>
    <row r="2929" spans="1:6" ht="15.75" hidden="1" customHeight="1" x14ac:dyDescent="0.35">
      <c r="A2929" s="1">
        <v>2928</v>
      </c>
      <c r="B2929" s="1">
        <v>564</v>
      </c>
      <c r="C2929" s="1">
        <v>25</v>
      </c>
      <c r="D2929" t="str">
        <f>VLOOKUP(B2929,Заказы!A:C,3,0)</f>
        <v>2023-07-25 15:29:00</v>
      </c>
      <c r="E2929" t="str">
        <f>VLOOKUP(C2929,Меню!A:E,4,0)</f>
        <v>Салат</v>
      </c>
      <c r="F2929">
        <f>VLOOKUP(C2929,Меню!A:E,5,0)</f>
        <v>250</v>
      </c>
    </row>
    <row r="2930" spans="1:6" ht="15.75" hidden="1" customHeight="1" x14ac:dyDescent="0.35">
      <c r="A2930" s="1">
        <v>2929</v>
      </c>
      <c r="B2930" s="1">
        <v>564</v>
      </c>
      <c r="C2930" s="1">
        <v>3</v>
      </c>
      <c r="D2930" t="str">
        <f>VLOOKUP(B2930,Заказы!A:C,3,0)</f>
        <v>2023-07-25 15:29:00</v>
      </c>
      <c r="E2930" t="str">
        <f>VLOOKUP(C2930,Меню!A:E,4,0)</f>
        <v>Завтрак</v>
      </c>
      <c r="F2930">
        <f>VLOOKUP(C2930,Меню!A:E,5,0)</f>
        <v>150</v>
      </c>
    </row>
    <row r="2931" spans="1:6" ht="15.75" hidden="1" customHeight="1" x14ac:dyDescent="0.35">
      <c r="A2931" s="1">
        <v>2930</v>
      </c>
      <c r="B2931" s="1">
        <v>564</v>
      </c>
      <c r="C2931" s="1">
        <v>9</v>
      </c>
      <c r="D2931" t="str">
        <f>VLOOKUP(B2931,Заказы!A:C,3,0)</f>
        <v>2023-07-25 15:29:00</v>
      </c>
      <c r="E2931" t="str">
        <f>VLOOKUP(C2931,Меню!A:E,4,0)</f>
        <v>Завтрак</v>
      </c>
      <c r="F2931">
        <f>VLOOKUP(C2931,Меню!A:E,5,0)</f>
        <v>220</v>
      </c>
    </row>
    <row r="2932" spans="1:6" ht="15.75" hidden="1" customHeight="1" x14ac:dyDescent="0.35">
      <c r="A2932" s="1">
        <v>2931</v>
      </c>
      <c r="B2932" s="1">
        <v>564</v>
      </c>
      <c r="C2932" s="1">
        <v>2</v>
      </c>
      <c r="D2932" t="str">
        <f>VLOOKUP(B2932,Заказы!A:C,3,0)</f>
        <v>2023-07-25 15:29:00</v>
      </c>
      <c r="E2932" t="str">
        <f>VLOOKUP(C2932,Меню!A:E,4,0)</f>
        <v>Завтрак</v>
      </c>
      <c r="F2932">
        <f>VLOOKUP(C2932,Меню!A:E,5,0)</f>
        <v>250</v>
      </c>
    </row>
    <row r="2933" spans="1:6" ht="15.75" hidden="1" customHeight="1" x14ac:dyDescent="0.35">
      <c r="A2933" s="1">
        <v>2932</v>
      </c>
      <c r="B2933" s="1">
        <v>565</v>
      </c>
      <c r="C2933" s="1">
        <v>13</v>
      </c>
      <c r="D2933" t="str">
        <f>VLOOKUP(B2933,Заказы!A:C,3,0)</f>
        <v>2023-07-25 16:18:00</v>
      </c>
      <c r="E2933" t="str">
        <f>VLOOKUP(C2933,Меню!A:E,4,0)</f>
        <v>Первое</v>
      </c>
      <c r="F2933">
        <f>VLOOKUP(C2933,Меню!A:E,5,0)</f>
        <v>280</v>
      </c>
    </row>
    <row r="2934" spans="1:6" ht="15.75" hidden="1" customHeight="1" x14ac:dyDescent="0.35">
      <c r="A2934" s="1">
        <v>2933</v>
      </c>
      <c r="B2934" s="1">
        <v>565</v>
      </c>
      <c r="C2934" s="1">
        <v>58</v>
      </c>
      <c r="D2934" t="str">
        <f>VLOOKUP(B2934,Заказы!A:C,3,0)</f>
        <v>2023-07-25 16:18:00</v>
      </c>
      <c r="E2934" t="str">
        <f>VLOOKUP(C2934,Меню!A:E,4,0)</f>
        <v>Суши</v>
      </c>
      <c r="F2934">
        <f>VLOOKUP(C2934,Меню!A:E,5,0)</f>
        <v>200</v>
      </c>
    </row>
    <row r="2935" spans="1:6" ht="15.75" hidden="1" customHeight="1" x14ac:dyDescent="0.35">
      <c r="A2935" s="1">
        <v>2934</v>
      </c>
      <c r="B2935" s="1">
        <v>565</v>
      </c>
      <c r="C2935" s="1">
        <v>29</v>
      </c>
      <c r="D2935" t="str">
        <f>VLOOKUP(B2935,Заказы!A:C,3,0)</f>
        <v>2023-07-25 16:18:00</v>
      </c>
      <c r="E2935" t="str">
        <f>VLOOKUP(C2935,Меню!A:E,4,0)</f>
        <v>Салат</v>
      </c>
      <c r="F2935">
        <f>VLOOKUP(C2935,Меню!A:E,5,0)</f>
        <v>250</v>
      </c>
    </row>
    <row r="2936" spans="1:6" ht="15.75" hidden="1" customHeight="1" x14ac:dyDescent="0.35">
      <c r="A2936" s="1">
        <v>2935</v>
      </c>
      <c r="B2936" s="1">
        <v>566</v>
      </c>
      <c r="C2936" s="1">
        <v>3</v>
      </c>
      <c r="D2936" t="str">
        <f>VLOOKUP(B2936,Заказы!A:C,3,0)</f>
        <v>2023-07-25 17:51:00</v>
      </c>
      <c r="E2936" t="str">
        <f>VLOOKUP(C2936,Меню!A:E,4,0)</f>
        <v>Завтрак</v>
      </c>
      <c r="F2936">
        <f>VLOOKUP(C2936,Меню!A:E,5,0)</f>
        <v>150</v>
      </c>
    </row>
    <row r="2937" spans="1:6" ht="15.75" hidden="1" customHeight="1" x14ac:dyDescent="0.35">
      <c r="A2937" s="1">
        <v>2936</v>
      </c>
      <c r="B2937" s="1">
        <v>566</v>
      </c>
      <c r="C2937" s="1">
        <v>34</v>
      </c>
      <c r="D2937" t="str">
        <f>VLOOKUP(B2937,Заказы!A:C,3,0)</f>
        <v>2023-07-25 17:51:00</v>
      </c>
      <c r="E2937" t="str">
        <f>VLOOKUP(C2937,Меню!A:E,4,0)</f>
        <v>Десерт</v>
      </c>
      <c r="F2937">
        <f>VLOOKUP(C2937,Меню!A:E,5,0)</f>
        <v>150</v>
      </c>
    </row>
    <row r="2938" spans="1:6" ht="15.75" hidden="1" customHeight="1" x14ac:dyDescent="0.35">
      <c r="A2938" s="1">
        <v>2937</v>
      </c>
      <c r="B2938" s="1">
        <v>566</v>
      </c>
      <c r="C2938" s="1">
        <v>30</v>
      </c>
      <c r="D2938" t="str">
        <f>VLOOKUP(B2938,Заказы!A:C,3,0)</f>
        <v>2023-07-25 17:51:00</v>
      </c>
      <c r="E2938" t="str">
        <f>VLOOKUP(C2938,Меню!A:E,4,0)</f>
        <v>Салат</v>
      </c>
      <c r="F2938">
        <f>VLOOKUP(C2938,Меню!A:E,5,0)</f>
        <v>250</v>
      </c>
    </row>
    <row r="2939" spans="1:6" ht="15.75" hidden="1" customHeight="1" x14ac:dyDescent="0.35">
      <c r="A2939" s="1">
        <v>2938</v>
      </c>
      <c r="B2939" s="1">
        <v>566</v>
      </c>
      <c r="C2939" s="1">
        <v>9</v>
      </c>
      <c r="D2939" t="str">
        <f>VLOOKUP(B2939,Заказы!A:C,3,0)</f>
        <v>2023-07-25 17:51:00</v>
      </c>
      <c r="E2939" t="str">
        <f>VLOOKUP(C2939,Меню!A:E,4,0)</f>
        <v>Завтрак</v>
      </c>
      <c r="F2939">
        <f>VLOOKUP(C2939,Меню!A:E,5,0)</f>
        <v>220</v>
      </c>
    </row>
    <row r="2940" spans="1:6" ht="15.75" hidden="1" customHeight="1" x14ac:dyDescent="0.35">
      <c r="A2940" s="1">
        <v>2939</v>
      </c>
      <c r="B2940" s="1">
        <v>566</v>
      </c>
      <c r="C2940" s="1">
        <v>34</v>
      </c>
      <c r="D2940" t="str">
        <f>VLOOKUP(B2940,Заказы!A:C,3,0)</f>
        <v>2023-07-25 17:51:00</v>
      </c>
      <c r="E2940" t="str">
        <f>VLOOKUP(C2940,Меню!A:E,4,0)</f>
        <v>Десерт</v>
      </c>
      <c r="F2940">
        <f>VLOOKUP(C2940,Меню!A:E,5,0)</f>
        <v>150</v>
      </c>
    </row>
    <row r="2941" spans="1:6" ht="15.75" hidden="1" customHeight="1" x14ac:dyDescent="0.35">
      <c r="A2941" s="1">
        <v>2940</v>
      </c>
      <c r="B2941" s="1">
        <v>566</v>
      </c>
      <c r="C2941" s="1">
        <v>43</v>
      </c>
      <c r="D2941" t="str">
        <f>VLOOKUP(B2941,Заказы!A:C,3,0)</f>
        <v>2023-07-25 17:51:00</v>
      </c>
      <c r="E2941" t="str">
        <f>VLOOKUP(C2941,Меню!A:E,4,0)</f>
        <v>Суши</v>
      </c>
      <c r="F2941">
        <f>VLOOKUP(C2941,Меню!A:E,5,0)</f>
        <v>250</v>
      </c>
    </row>
    <row r="2942" spans="1:6" ht="15.75" hidden="1" customHeight="1" x14ac:dyDescent="0.35">
      <c r="A2942" s="1">
        <v>2941</v>
      </c>
      <c r="B2942" s="1">
        <v>566</v>
      </c>
      <c r="C2942" s="1">
        <v>38</v>
      </c>
      <c r="D2942" t="str">
        <f>VLOOKUP(B2942,Заказы!A:C,3,0)</f>
        <v>2023-07-25 17:51:00</v>
      </c>
      <c r="E2942" t="str">
        <f>VLOOKUP(C2942,Меню!A:E,4,0)</f>
        <v>Десерт</v>
      </c>
      <c r="F2942">
        <f>VLOOKUP(C2942,Меню!A:E,5,0)</f>
        <v>150</v>
      </c>
    </row>
    <row r="2943" spans="1:6" ht="15.75" hidden="1" customHeight="1" x14ac:dyDescent="0.35">
      <c r="A2943" s="1">
        <v>2942</v>
      </c>
      <c r="B2943" s="1">
        <v>566</v>
      </c>
      <c r="C2943" s="1">
        <v>5</v>
      </c>
      <c r="D2943" t="str">
        <f>VLOOKUP(B2943,Заказы!A:C,3,0)</f>
        <v>2023-07-25 17:51:00</v>
      </c>
      <c r="E2943" t="str">
        <f>VLOOKUP(C2943,Меню!A:E,4,0)</f>
        <v>Завтрак</v>
      </c>
      <c r="F2943">
        <f>VLOOKUP(C2943,Меню!A:E,5,0)</f>
        <v>220</v>
      </c>
    </row>
    <row r="2944" spans="1:6" ht="15.75" hidden="1" customHeight="1" x14ac:dyDescent="0.35">
      <c r="A2944" s="1">
        <v>2943</v>
      </c>
      <c r="B2944" s="1">
        <v>567</v>
      </c>
      <c r="C2944" s="1">
        <v>38</v>
      </c>
      <c r="D2944" t="str">
        <f>VLOOKUP(B2944,Заказы!A:C,3,0)</f>
        <v>2023-07-25 18:23:00</v>
      </c>
      <c r="E2944" t="str">
        <f>VLOOKUP(C2944,Меню!A:E,4,0)</f>
        <v>Десерт</v>
      </c>
      <c r="F2944">
        <f>VLOOKUP(C2944,Меню!A:E,5,0)</f>
        <v>150</v>
      </c>
    </row>
    <row r="2945" spans="1:6" ht="15.75" hidden="1" customHeight="1" x14ac:dyDescent="0.35">
      <c r="A2945" s="1">
        <v>2944</v>
      </c>
      <c r="B2945" s="1">
        <v>567</v>
      </c>
      <c r="C2945" s="1">
        <v>42</v>
      </c>
      <c r="D2945" t="str">
        <f>VLOOKUP(B2945,Заказы!A:C,3,0)</f>
        <v>2023-07-25 18:23:00</v>
      </c>
      <c r="E2945" t="str">
        <f>VLOOKUP(C2945,Меню!A:E,4,0)</f>
        <v>Суши</v>
      </c>
      <c r="F2945">
        <f>VLOOKUP(C2945,Меню!A:E,5,0)</f>
        <v>250</v>
      </c>
    </row>
    <row r="2946" spans="1:6" ht="15.75" hidden="1" customHeight="1" x14ac:dyDescent="0.35">
      <c r="A2946" s="1">
        <v>2945</v>
      </c>
      <c r="B2946" s="1">
        <v>567</v>
      </c>
      <c r="C2946" s="1">
        <v>47</v>
      </c>
      <c r="D2946" t="str">
        <f>VLOOKUP(B2946,Заказы!A:C,3,0)</f>
        <v>2023-07-25 18:23:00</v>
      </c>
      <c r="E2946" t="str">
        <f>VLOOKUP(C2946,Меню!A:E,4,0)</f>
        <v>Суши</v>
      </c>
      <c r="F2946">
        <f>VLOOKUP(C2946,Меню!A:E,5,0)</f>
        <v>200</v>
      </c>
    </row>
    <row r="2947" spans="1:6" ht="15.75" hidden="1" customHeight="1" x14ac:dyDescent="0.35">
      <c r="A2947" s="1">
        <v>2946</v>
      </c>
      <c r="B2947" s="1">
        <v>567</v>
      </c>
      <c r="C2947" s="1">
        <v>48</v>
      </c>
      <c r="D2947" t="str">
        <f>VLOOKUP(B2947,Заказы!A:C,3,0)</f>
        <v>2023-07-25 18:23:00</v>
      </c>
      <c r="E2947" t="str">
        <f>VLOOKUP(C2947,Меню!A:E,4,0)</f>
        <v>Суши</v>
      </c>
      <c r="F2947">
        <f>VLOOKUP(C2947,Меню!A:E,5,0)</f>
        <v>200</v>
      </c>
    </row>
    <row r="2948" spans="1:6" ht="15.75" hidden="1" customHeight="1" x14ac:dyDescent="0.35">
      <c r="A2948" s="1">
        <v>2947</v>
      </c>
      <c r="B2948" s="1">
        <v>568</v>
      </c>
      <c r="C2948" s="1">
        <v>38</v>
      </c>
      <c r="D2948" t="str">
        <f>VLOOKUP(B2948,Заказы!A:C,3,0)</f>
        <v>2023-07-25 18:34:00</v>
      </c>
      <c r="E2948" t="str">
        <f>VLOOKUP(C2948,Меню!A:E,4,0)</f>
        <v>Десерт</v>
      </c>
      <c r="F2948">
        <f>VLOOKUP(C2948,Меню!A:E,5,0)</f>
        <v>150</v>
      </c>
    </row>
    <row r="2949" spans="1:6" ht="15.75" hidden="1" customHeight="1" x14ac:dyDescent="0.35">
      <c r="A2949" s="1">
        <v>2948</v>
      </c>
      <c r="B2949" s="1">
        <v>568</v>
      </c>
      <c r="C2949" s="1">
        <v>30</v>
      </c>
      <c r="D2949" t="str">
        <f>VLOOKUP(B2949,Заказы!A:C,3,0)</f>
        <v>2023-07-25 18:34:00</v>
      </c>
      <c r="E2949" t="str">
        <f>VLOOKUP(C2949,Меню!A:E,4,0)</f>
        <v>Салат</v>
      </c>
      <c r="F2949">
        <f>VLOOKUP(C2949,Меню!A:E,5,0)</f>
        <v>250</v>
      </c>
    </row>
    <row r="2950" spans="1:6" ht="15.75" hidden="1" customHeight="1" x14ac:dyDescent="0.35">
      <c r="A2950" s="1">
        <v>2949</v>
      </c>
      <c r="B2950" s="1">
        <v>568</v>
      </c>
      <c r="C2950" s="1">
        <v>43</v>
      </c>
      <c r="D2950" t="str">
        <f>VLOOKUP(B2950,Заказы!A:C,3,0)</f>
        <v>2023-07-25 18:34:00</v>
      </c>
      <c r="E2950" t="str">
        <f>VLOOKUP(C2950,Меню!A:E,4,0)</f>
        <v>Суши</v>
      </c>
      <c r="F2950">
        <f>VLOOKUP(C2950,Меню!A:E,5,0)</f>
        <v>250</v>
      </c>
    </row>
    <row r="2951" spans="1:6" ht="15.75" hidden="1" customHeight="1" x14ac:dyDescent="0.35">
      <c r="A2951" s="1">
        <v>2950</v>
      </c>
      <c r="B2951" s="1">
        <v>568</v>
      </c>
      <c r="C2951" s="1">
        <v>22</v>
      </c>
      <c r="D2951" t="str">
        <f>VLOOKUP(B2951,Заказы!A:C,3,0)</f>
        <v>2023-07-25 18:34:00</v>
      </c>
      <c r="E2951" t="str">
        <f>VLOOKUP(C2951,Меню!A:E,4,0)</f>
        <v>Салат</v>
      </c>
      <c r="F2951">
        <f>VLOOKUP(C2951,Меню!A:E,5,0)</f>
        <v>250</v>
      </c>
    </row>
    <row r="2952" spans="1:6" ht="15.75" hidden="1" customHeight="1" x14ac:dyDescent="0.35">
      <c r="A2952" s="1">
        <v>2951</v>
      </c>
      <c r="B2952" s="1">
        <v>568</v>
      </c>
      <c r="C2952" s="1">
        <v>55</v>
      </c>
      <c r="D2952" t="str">
        <f>VLOOKUP(B2952,Заказы!A:C,3,0)</f>
        <v>2023-07-25 18:34:00</v>
      </c>
      <c r="E2952" t="str">
        <f>VLOOKUP(C2952,Меню!A:E,4,0)</f>
        <v>Суши</v>
      </c>
      <c r="F2952">
        <f>VLOOKUP(C2952,Меню!A:E,5,0)</f>
        <v>100</v>
      </c>
    </row>
    <row r="2953" spans="1:6" ht="15.75" hidden="1" customHeight="1" x14ac:dyDescent="0.35">
      <c r="A2953" s="1">
        <v>2952</v>
      </c>
      <c r="B2953" s="1">
        <v>568</v>
      </c>
      <c r="C2953" s="1">
        <v>19</v>
      </c>
      <c r="D2953" t="str">
        <f>VLOOKUP(B2953,Заказы!A:C,3,0)</f>
        <v>2023-07-25 18:34:00</v>
      </c>
      <c r="E2953" t="str">
        <f>VLOOKUP(C2953,Меню!A:E,4,0)</f>
        <v>Первое</v>
      </c>
      <c r="F2953">
        <f>VLOOKUP(C2953,Меню!A:E,5,0)</f>
        <v>300</v>
      </c>
    </row>
    <row r="2954" spans="1:6" ht="15.75" hidden="1" customHeight="1" x14ac:dyDescent="0.35">
      <c r="A2954" s="1">
        <v>2953</v>
      </c>
      <c r="B2954" s="1">
        <v>569</v>
      </c>
      <c r="C2954" s="1">
        <v>17</v>
      </c>
      <c r="D2954" t="str">
        <f>VLOOKUP(B2954,Заказы!A:C,3,0)</f>
        <v>2023-07-25 18:42:00</v>
      </c>
      <c r="E2954" t="str">
        <f>VLOOKUP(C2954,Меню!A:E,4,0)</f>
        <v>Первое</v>
      </c>
      <c r="F2954">
        <f>VLOOKUP(C2954,Меню!A:E,5,0)</f>
        <v>250</v>
      </c>
    </row>
    <row r="2955" spans="1:6" ht="15.75" hidden="1" customHeight="1" x14ac:dyDescent="0.35">
      <c r="A2955" s="1">
        <v>2954</v>
      </c>
      <c r="B2955" s="1">
        <v>569</v>
      </c>
      <c r="C2955" s="1">
        <v>35</v>
      </c>
      <c r="D2955" t="str">
        <f>VLOOKUP(B2955,Заказы!A:C,3,0)</f>
        <v>2023-07-25 18:42:00</v>
      </c>
      <c r="E2955" t="str">
        <f>VLOOKUP(C2955,Меню!A:E,4,0)</f>
        <v>Десерт</v>
      </c>
      <c r="F2955">
        <f>VLOOKUP(C2955,Меню!A:E,5,0)</f>
        <v>150</v>
      </c>
    </row>
    <row r="2956" spans="1:6" ht="15.75" hidden="1" customHeight="1" x14ac:dyDescent="0.35">
      <c r="A2956" s="1">
        <v>2955</v>
      </c>
      <c r="B2956" s="1">
        <v>569</v>
      </c>
      <c r="C2956" s="1">
        <v>42</v>
      </c>
      <c r="D2956" t="str">
        <f>VLOOKUP(B2956,Заказы!A:C,3,0)</f>
        <v>2023-07-25 18:42:00</v>
      </c>
      <c r="E2956" t="str">
        <f>VLOOKUP(C2956,Меню!A:E,4,0)</f>
        <v>Суши</v>
      </c>
      <c r="F2956">
        <f>VLOOKUP(C2956,Меню!A:E,5,0)</f>
        <v>250</v>
      </c>
    </row>
    <row r="2957" spans="1:6" ht="15.75" hidden="1" customHeight="1" x14ac:dyDescent="0.35">
      <c r="A2957" s="1">
        <v>2956</v>
      </c>
      <c r="B2957" s="1">
        <v>569</v>
      </c>
      <c r="C2957" s="1">
        <v>33</v>
      </c>
      <c r="D2957" t="str">
        <f>VLOOKUP(B2957,Заказы!A:C,3,0)</f>
        <v>2023-07-25 18:42:00</v>
      </c>
      <c r="E2957" t="str">
        <f>VLOOKUP(C2957,Меню!A:E,4,0)</f>
        <v>Десерт</v>
      </c>
      <c r="F2957">
        <f>VLOOKUP(C2957,Меню!A:E,5,0)</f>
        <v>150</v>
      </c>
    </row>
    <row r="2958" spans="1:6" ht="15.75" hidden="1" customHeight="1" x14ac:dyDescent="0.35">
      <c r="A2958" s="1">
        <v>2957</v>
      </c>
      <c r="B2958" s="1">
        <v>569</v>
      </c>
      <c r="C2958" s="1">
        <v>46</v>
      </c>
      <c r="D2958" t="str">
        <f>VLOOKUP(B2958,Заказы!A:C,3,0)</f>
        <v>2023-07-25 18:42:00</v>
      </c>
      <c r="E2958" t="str">
        <f>VLOOKUP(C2958,Меню!A:E,4,0)</f>
        <v>Суши</v>
      </c>
      <c r="F2958">
        <f>VLOOKUP(C2958,Меню!A:E,5,0)</f>
        <v>200</v>
      </c>
    </row>
    <row r="2959" spans="1:6" ht="15.75" hidden="1" customHeight="1" x14ac:dyDescent="0.35">
      <c r="A2959" s="1">
        <v>2958</v>
      </c>
      <c r="B2959" s="1">
        <v>569</v>
      </c>
      <c r="C2959" s="1">
        <v>58</v>
      </c>
      <c r="D2959" t="str">
        <f>VLOOKUP(B2959,Заказы!A:C,3,0)</f>
        <v>2023-07-25 18:42:00</v>
      </c>
      <c r="E2959" t="str">
        <f>VLOOKUP(C2959,Меню!A:E,4,0)</f>
        <v>Суши</v>
      </c>
      <c r="F2959">
        <f>VLOOKUP(C2959,Меню!A:E,5,0)</f>
        <v>200</v>
      </c>
    </row>
    <row r="2960" spans="1:6" ht="15.75" hidden="1" customHeight="1" x14ac:dyDescent="0.35">
      <c r="A2960" s="1">
        <v>2959</v>
      </c>
      <c r="B2960" s="1">
        <v>570</v>
      </c>
      <c r="C2960" s="1">
        <v>23</v>
      </c>
      <c r="D2960" t="str">
        <f>VLOOKUP(B2960,Заказы!A:C,3,0)</f>
        <v>2023-07-25 21:42:00</v>
      </c>
      <c r="E2960" t="str">
        <f>VLOOKUP(C2960,Меню!A:E,4,0)</f>
        <v>Салат</v>
      </c>
      <c r="F2960">
        <f>VLOOKUP(C2960,Меню!A:E,5,0)</f>
        <v>250</v>
      </c>
    </row>
    <row r="2961" spans="1:6" ht="15.75" hidden="1" customHeight="1" x14ac:dyDescent="0.35">
      <c r="A2961" s="1">
        <v>2960</v>
      </c>
      <c r="B2961" s="1">
        <v>570</v>
      </c>
      <c r="C2961" s="1">
        <v>35</v>
      </c>
      <c r="D2961" t="str">
        <f>VLOOKUP(B2961,Заказы!A:C,3,0)</f>
        <v>2023-07-25 21:42:00</v>
      </c>
      <c r="E2961" t="str">
        <f>VLOOKUP(C2961,Меню!A:E,4,0)</f>
        <v>Десерт</v>
      </c>
      <c r="F2961">
        <f>VLOOKUP(C2961,Меню!A:E,5,0)</f>
        <v>150</v>
      </c>
    </row>
    <row r="2962" spans="1:6" ht="15.75" hidden="1" customHeight="1" x14ac:dyDescent="0.35">
      <c r="A2962" s="1">
        <v>2961</v>
      </c>
      <c r="B2962" s="1">
        <v>570</v>
      </c>
      <c r="C2962" s="1">
        <v>8</v>
      </c>
      <c r="D2962" t="str">
        <f>VLOOKUP(B2962,Заказы!A:C,3,0)</f>
        <v>2023-07-25 21:42:00</v>
      </c>
      <c r="E2962" t="str">
        <f>VLOOKUP(C2962,Меню!A:E,4,0)</f>
        <v>Завтрак</v>
      </c>
      <c r="F2962">
        <f>VLOOKUP(C2962,Меню!A:E,5,0)</f>
        <v>180</v>
      </c>
    </row>
    <row r="2963" spans="1:6" ht="15.75" hidden="1" customHeight="1" x14ac:dyDescent="0.35">
      <c r="A2963" s="1">
        <v>2962</v>
      </c>
      <c r="B2963" s="1">
        <v>571</v>
      </c>
      <c r="C2963" s="1">
        <v>1</v>
      </c>
      <c r="D2963" t="str">
        <f>VLOOKUP(B2963,Заказы!A:C,3,0)</f>
        <v>2023-07-25 22:16:00</v>
      </c>
      <c r="E2963" t="str">
        <f>VLOOKUP(C2963,Меню!A:E,4,0)</f>
        <v>Завтрак</v>
      </c>
      <c r="F2963">
        <f>VLOOKUP(C2963,Меню!A:E,5,0)</f>
        <v>200</v>
      </c>
    </row>
    <row r="2964" spans="1:6" ht="15.75" hidden="1" customHeight="1" x14ac:dyDescent="0.35">
      <c r="A2964" s="1">
        <v>2963</v>
      </c>
      <c r="B2964" s="1">
        <v>571</v>
      </c>
      <c r="C2964" s="1">
        <v>60</v>
      </c>
      <c r="D2964" t="str">
        <f>VLOOKUP(B2964,Заказы!A:C,3,0)</f>
        <v>2023-07-25 22:16:00</v>
      </c>
      <c r="E2964" t="str">
        <f>VLOOKUP(C2964,Меню!A:E,4,0)</f>
        <v>Суши</v>
      </c>
      <c r="F2964">
        <f>VLOOKUP(C2964,Меню!A:E,5,0)</f>
        <v>250</v>
      </c>
    </row>
    <row r="2965" spans="1:6" ht="15.75" hidden="1" customHeight="1" x14ac:dyDescent="0.35">
      <c r="A2965" s="1">
        <v>2964</v>
      </c>
      <c r="B2965" s="1">
        <v>571</v>
      </c>
      <c r="C2965" s="1">
        <v>2</v>
      </c>
      <c r="D2965" t="str">
        <f>VLOOKUP(B2965,Заказы!A:C,3,0)</f>
        <v>2023-07-25 22:16:00</v>
      </c>
      <c r="E2965" t="str">
        <f>VLOOKUP(C2965,Меню!A:E,4,0)</f>
        <v>Завтрак</v>
      </c>
      <c r="F2965">
        <f>VLOOKUP(C2965,Меню!A:E,5,0)</f>
        <v>250</v>
      </c>
    </row>
    <row r="2966" spans="1:6" ht="15.75" hidden="1" customHeight="1" x14ac:dyDescent="0.35">
      <c r="A2966" s="1">
        <v>2965</v>
      </c>
      <c r="B2966" s="1">
        <v>571</v>
      </c>
      <c r="C2966" s="1">
        <v>28</v>
      </c>
      <c r="D2966" t="str">
        <f>VLOOKUP(B2966,Заказы!A:C,3,0)</f>
        <v>2023-07-25 22:16:00</v>
      </c>
      <c r="E2966" t="str">
        <f>VLOOKUP(C2966,Меню!A:E,4,0)</f>
        <v>Салат</v>
      </c>
      <c r="F2966">
        <f>VLOOKUP(C2966,Меню!A:E,5,0)</f>
        <v>250</v>
      </c>
    </row>
    <row r="2967" spans="1:6" ht="15.75" hidden="1" customHeight="1" x14ac:dyDescent="0.35">
      <c r="A2967" s="1">
        <v>2966</v>
      </c>
      <c r="B2967" s="1">
        <v>571</v>
      </c>
      <c r="C2967" s="1">
        <v>6</v>
      </c>
      <c r="D2967" t="str">
        <f>VLOOKUP(B2967,Заказы!A:C,3,0)</f>
        <v>2023-07-25 22:16:00</v>
      </c>
      <c r="E2967" t="str">
        <f>VLOOKUP(C2967,Меню!A:E,4,0)</f>
        <v>Завтрак</v>
      </c>
      <c r="F2967">
        <f>VLOOKUP(C2967,Меню!A:E,5,0)</f>
        <v>300</v>
      </c>
    </row>
    <row r="2968" spans="1:6" ht="15.75" hidden="1" customHeight="1" x14ac:dyDescent="0.35">
      <c r="A2968" s="1">
        <v>2967</v>
      </c>
      <c r="B2968" s="1">
        <v>571</v>
      </c>
      <c r="C2968" s="1">
        <v>55</v>
      </c>
      <c r="D2968" t="str">
        <f>VLOOKUP(B2968,Заказы!A:C,3,0)</f>
        <v>2023-07-25 22:16:00</v>
      </c>
      <c r="E2968" t="str">
        <f>VLOOKUP(C2968,Меню!A:E,4,0)</f>
        <v>Суши</v>
      </c>
      <c r="F2968">
        <f>VLOOKUP(C2968,Меню!A:E,5,0)</f>
        <v>100</v>
      </c>
    </row>
    <row r="2969" spans="1:6" ht="15.75" hidden="1" customHeight="1" x14ac:dyDescent="0.35">
      <c r="A2969" s="1">
        <v>2968</v>
      </c>
      <c r="B2969" s="1">
        <v>571</v>
      </c>
      <c r="C2969" s="1">
        <v>29</v>
      </c>
      <c r="D2969" t="str">
        <f>VLOOKUP(B2969,Заказы!A:C,3,0)</f>
        <v>2023-07-25 22:16:00</v>
      </c>
      <c r="E2969" t="str">
        <f>VLOOKUP(C2969,Меню!A:E,4,0)</f>
        <v>Салат</v>
      </c>
      <c r="F2969">
        <f>VLOOKUP(C2969,Меню!A:E,5,0)</f>
        <v>250</v>
      </c>
    </row>
    <row r="2970" spans="1:6" ht="15.75" hidden="1" customHeight="1" x14ac:dyDescent="0.35">
      <c r="A2970" s="1">
        <v>2969</v>
      </c>
      <c r="B2970" s="1">
        <v>572</v>
      </c>
      <c r="C2970" s="1">
        <v>54</v>
      </c>
      <c r="D2970" t="str">
        <f>VLOOKUP(B2970,Заказы!A:C,3,0)</f>
        <v>2023-07-26 17:09:00</v>
      </c>
      <c r="E2970" t="str">
        <f>VLOOKUP(C2970,Меню!A:E,4,0)</f>
        <v>Суши</v>
      </c>
      <c r="F2970">
        <f>VLOOKUP(C2970,Меню!A:E,5,0)</f>
        <v>100</v>
      </c>
    </row>
    <row r="2971" spans="1:6" ht="15.75" hidden="1" customHeight="1" x14ac:dyDescent="0.35">
      <c r="A2971" s="1">
        <v>2970</v>
      </c>
      <c r="B2971" s="1">
        <v>572</v>
      </c>
      <c r="C2971" s="1">
        <v>58</v>
      </c>
      <c r="D2971" t="str">
        <f>VLOOKUP(B2971,Заказы!A:C,3,0)</f>
        <v>2023-07-26 17:09:00</v>
      </c>
      <c r="E2971" t="str">
        <f>VLOOKUP(C2971,Меню!A:E,4,0)</f>
        <v>Суши</v>
      </c>
      <c r="F2971">
        <f>VLOOKUP(C2971,Меню!A:E,5,0)</f>
        <v>200</v>
      </c>
    </row>
    <row r="2972" spans="1:6" ht="15.75" hidden="1" customHeight="1" x14ac:dyDescent="0.35">
      <c r="A2972" s="1">
        <v>2971</v>
      </c>
      <c r="B2972" s="1">
        <v>572</v>
      </c>
      <c r="C2972" s="1">
        <v>54</v>
      </c>
      <c r="D2972" t="str">
        <f>VLOOKUP(B2972,Заказы!A:C,3,0)</f>
        <v>2023-07-26 17:09:00</v>
      </c>
      <c r="E2972" t="str">
        <f>VLOOKUP(C2972,Меню!A:E,4,0)</f>
        <v>Суши</v>
      </c>
      <c r="F2972">
        <f>VLOOKUP(C2972,Меню!A:E,5,0)</f>
        <v>100</v>
      </c>
    </row>
    <row r="2973" spans="1:6" ht="15.75" hidden="1" customHeight="1" x14ac:dyDescent="0.35">
      <c r="A2973" s="1">
        <v>2972</v>
      </c>
      <c r="B2973" s="1">
        <v>572</v>
      </c>
      <c r="C2973" s="1">
        <v>22</v>
      </c>
      <c r="D2973" t="str">
        <f>VLOOKUP(B2973,Заказы!A:C,3,0)</f>
        <v>2023-07-26 17:09:00</v>
      </c>
      <c r="E2973" t="str">
        <f>VLOOKUP(C2973,Меню!A:E,4,0)</f>
        <v>Салат</v>
      </c>
      <c r="F2973">
        <f>VLOOKUP(C2973,Меню!A:E,5,0)</f>
        <v>250</v>
      </c>
    </row>
    <row r="2974" spans="1:6" ht="15.75" hidden="1" customHeight="1" x14ac:dyDescent="0.35">
      <c r="A2974" s="1">
        <v>2973</v>
      </c>
      <c r="B2974" s="1">
        <v>572</v>
      </c>
      <c r="C2974" s="1">
        <v>39</v>
      </c>
      <c r="D2974" t="str">
        <f>VLOOKUP(B2974,Заказы!A:C,3,0)</f>
        <v>2023-07-26 17:09:00</v>
      </c>
      <c r="E2974" t="str">
        <f>VLOOKUP(C2974,Меню!A:E,4,0)</f>
        <v>Десерт</v>
      </c>
      <c r="F2974">
        <f>VLOOKUP(C2974,Меню!A:E,5,0)</f>
        <v>150</v>
      </c>
    </row>
    <row r="2975" spans="1:6" ht="15.75" hidden="1" customHeight="1" x14ac:dyDescent="0.35">
      <c r="A2975" s="1">
        <v>2974</v>
      </c>
      <c r="B2975" s="1">
        <v>573</v>
      </c>
      <c r="C2975" s="1">
        <v>11</v>
      </c>
      <c r="D2975" t="str">
        <f>VLOOKUP(B2975,Заказы!A:C,3,0)</f>
        <v>2023-07-26 19:21:00</v>
      </c>
      <c r="E2975" t="str">
        <f>VLOOKUP(C2975,Меню!A:E,4,0)</f>
        <v>Первое</v>
      </c>
      <c r="F2975">
        <f>VLOOKUP(C2975,Меню!A:E,5,0)</f>
        <v>300</v>
      </c>
    </row>
    <row r="2976" spans="1:6" ht="15.75" hidden="1" customHeight="1" x14ac:dyDescent="0.35">
      <c r="A2976" s="1">
        <v>2975</v>
      </c>
      <c r="B2976" s="1">
        <v>573</v>
      </c>
      <c r="C2976" s="1">
        <v>52</v>
      </c>
      <c r="D2976" t="str">
        <f>VLOOKUP(B2976,Заказы!A:C,3,0)</f>
        <v>2023-07-26 19:21:00</v>
      </c>
      <c r="E2976" t="str">
        <f>VLOOKUP(C2976,Меню!A:E,4,0)</f>
        <v>Суши</v>
      </c>
      <c r="F2976">
        <f>VLOOKUP(C2976,Меню!A:E,5,0)</f>
        <v>100</v>
      </c>
    </row>
    <row r="2977" spans="1:6" ht="15.75" hidden="1" customHeight="1" x14ac:dyDescent="0.35">
      <c r="A2977" s="1">
        <v>2976</v>
      </c>
      <c r="B2977" s="1">
        <v>573</v>
      </c>
      <c r="C2977" s="1">
        <v>35</v>
      </c>
      <c r="D2977" t="str">
        <f>VLOOKUP(B2977,Заказы!A:C,3,0)</f>
        <v>2023-07-26 19:21:00</v>
      </c>
      <c r="E2977" t="str">
        <f>VLOOKUP(C2977,Меню!A:E,4,0)</f>
        <v>Десерт</v>
      </c>
      <c r="F2977">
        <f>VLOOKUP(C2977,Меню!A:E,5,0)</f>
        <v>150</v>
      </c>
    </row>
    <row r="2978" spans="1:6" ht="15.75" hidden="1" customHeight="1" x14ac:dyDescent="0.35">
      <c r="A2978" s="1">
        <v>2977</v>
      </c>
      <c r="B2978" s="1">
        <v>573</v>
      </c>
      <c r="C2978" s="1">
        <v>52</v>
      </c>
      <c r="D2978" t="str">
        <f>VLOOKUP(B2978,Заказы!A:C,3,0)</f>
        <v>2023-07-26 19:21:00</v>
      </c>
      <c r="E2978" t="str">
        <f>VLOOKUP(C2978,Меню!A:E,4,0)</f>
        <v>Суши</v>
      </c>
      <c r="F2978">
        <f>VLOOKUP(C2978,Меню!A:E,5,0)</f>
        <v>100</v>
      </c>
    </row>
    <row r="2979" spans="1:6" ht="15.75" hidden="1" customHeight="1" x14ac:dyDescent="0.35">
      <c r="A2979" s="1">
        <v>2978</v>
      </c>
      <c r="B2979" s="1">
        <v>573</v>
      </c>
      <c r="C2979" s="1">
        <v>55</v>
      </c>
      <c r="D2979" t="str">
        <f>VLOOKUP(B2979,Заказы!A:C,3,0)</f>
        <v>2023-07-26 19:21:00</v>
      </c>
      <c r="E2979" t="str">
        <f>VLOOKUP(C2979,Меню!A:E,4,0)</f>
        <v>Суши</v>
      </c>
      <c r="F2979">
        <f>VLOOKUP(C2979,Меню!A:E,5,0)</f>
        <v>100</v>
      </c>
    </row>
    <row r="2980" spans="1:6" ht="15.75" hidden="1" customHeight="1" x14ac:dyDescent="0.35">
      <c r="A2980" s="1">
        <v>2979</v>
      </c>
      <c r="B2980" s="1">
        <v>574</v>
      </c>
      <c r="C2980" s="1">
        <v>48</v>
      </c>
      <c r="D2980" t="str">
        <f>VLOOKUP(B2980,Заказы!A:C,3,0)</f>
        <v>2023-07-26 22:58:00</v>
      </c>
      <c r="E2980" t="str">
        <f>VLOOKUP(C2980,Меню!A:E,4,0)</f>
        <v>Суши</v>
      </c>
      <c r="F2980">
        <f>VLOOKUP(C2980,Меню!A:E,5,0)</f>
        <v>200</v>
      </c>
    </row>
    <row r="2981" spans="1:6" ht="15.75" hidden="1" customHeight="1" x14ac:dyDescent="0.35">
      <c r="A2981" s="1">
        <v>2980</v>
      </c>
      <c r="B2981" s="1">
        <v>574</v>
      </c>
      <c r="C2981" s="1">
        <v>7</v>
      </c>
      <c r="D2981" t="str">
        <f>VLOOKUP(B2981,Заказы!A:C,3,0)</f>
        <v>2023-07-26 22:58:00</v>
      </c>
      <c r="E2981" t="str">
        <f>VLOOKUP(C2981,Меню!A:E,4,0)</f>
        <v>Завтрак</v>
      </c>
      <c r="F2981">
        <f>VLOOKUP(C2981,Меню!A:E,5,0)</f>
        <v>200</v>
      </c>
    </row>
    <row r="2982" spans="1:6" ht="15.75" hidden="1" customHeight="1" x14ac:dyDescent="0.35">
      <c r="A2982" s="1">
        <v>2981</v>
      </c>
      <c r="B2982" s="1">
        <v>574</v>
      </c>
      <c r="C2982" s="1">
        <v>23</v>
      </c>
      <c r="D2982" t="str">
        <f>VLOOKUP(B2982,Заказы!A:C,3,0)</f>
        <v>2023-07-26 22:58:00</v>
      </c>
      <c r="E2982" t="str">
        <f>VLOOKUP(C2982,Меню!A:E,4,0)</f>
        <v>Салат</v>
      </c>
      <c r="F2982">
        <f>VLOOKUP(C2982,Меню!A:E,5,0)</f>
        <v>250</v>
      </c>
    </row>
    <row r="2983" spans="1:6" ht="15.75" hidden="1" customHeight="1" x14ac:dyDescent="0.35">
      <c r="A2983" s="1">
        <v>2982</v>
      </c>
      <c r="B2983" s="1">
        <v>574</v>
      </c>
      <c r="C2983" s="1">
        <v>23</v>
      </c>
      <c r="D2983" t="str">
        <f>VLOOKUP(B2983,Заказы!A:C,3,0)</f>
        <v>2023-07-26 22:58:00</v>
      </c>
      <c r="E2983" t="str">
        <f>VLOOKUP(C2983,Меню!A:E,4,0)</f>
        <v>Салат</v>
      </c>
      <c r="F2983">
        <f>VLOOKUP(C2983,Меню!A:E,5,0)</f>
        <v>250</v>
      </c>
    </row>
    <row r="2984" spans="1:6" ht="15.75" hidden="1" customHeight="1" x14ac:dyDescent="0.35">
      <c r="A2984" s="1">
        <v>2983</v>
      </c>
      <c r="B2984" s="1">
        <v>574</v>
      </c>
      <c r="C2984" s="1">
        <v>13</v>
      </c>
      <c r="D2984" t="str">
        <f>VLOOKUP(B2984,Заказы!A:C,3,0)</f>
        <v>2023-07-26 22:58:00</v>
      </c>
      <c r="E2984" t="str">
        <f>VLOOKUP(C2984,Меню!A:E,4,0)</f>
        <v>Первое</v>
      </c>
      <c r="F2984">
        <f>VLOOKUP(C2984,Меню!A:E,5,0)</f>
        <v>280</v>
      </c>
    </row>
    <row r="2985" spans="1:6" ht="15.75" hidden="1" customHeight="1" x14ac:dyDescent="0.35">
      <c r="A2985" s="1">
        <v>2984</v>
      </c>
      <c r="B2985" s="1">
        <v>575</v>
      </c>
      <c r="C2985" s="1">
        <v>33</v>
      </c>
      <c r="D2985" t="str">
        <f>VLOOKUP(B2985,Заказы!A:C,3,0)</f>
        <v>2023-07-27 16:00:00</v>
      </c>
      <c r="E2985" t="str">
        <f>VLOOKUP(C2985,Меню!A:E,4,0)</f>
        <v>Десерт</v>
      </c>
      <c r="F2985">
        <f>VLOOKUP(C2985,Меню!A:E,5,0)</f>
        <v>150</v>
      </c>
    </row>
    <row r="2986" spans="1:6" ht="15.75" hidden="1" customHeight="1" x14ac:dyDescent="0.35">
      <c r="A2986" s="1">
        <v>2985</v>
      </c>
      <c r="B2986" s="1">
        <v>575</v>
      </c>
      <c r="C2986" s="1">
        <v>9</v>
      </c>
      <c r="D2986" t="str">
        <f>VLOOKUP(B2986,Заказы!A:C,3,0)</f>
        <v>2023-07-27 16:00:00</v>
      </c>
      <c r="E2986" t="str">
        <f>VLOOKUP(C2986,Меню!A:E,4,0)</f>
        <v>Завтрак</v>
      </c>
      <c r="F2986">
        <f>VLOOKUP(C2986,Меню!A:E,5,0)</f>
        <v>220</v>
      </c>
    </row>
    <row r="2987" spans="1:6" ht="15.75" hidden="1" customHeight="1" x14ac:dyDescent="0.35">
      <c r="A2987" s="1">
        <v>2986</v>
      </c>
      <c r="B2987" s="1">
        <v>575</v>
      </c>
      <c r="C2987" s="1">
        <v>48</v>
      </c>
      <c r="D2987" t="str">
        <f>VLOOKUP(B2987,Заказы!A:C,3,0)</f>
        <v>2023-07-27 16:00:00</v>
      </c>
      <c r="E2987" t="str">
        <f>VLOOKUP(C2987,Меню!A:E,4,0)</f>
        <v>Суши</v>
      </c>
      <c r="F2987">
        <f>VLOOKUP(C2987,Меню!A:E,5,0)</f>
        <v>200</v>
      </c>
    </row>
    <row r="2988" spans="1:6" ht="15.75" hidden="1" customHeight="1" x14ac:dyDescent="0.35">
      <c r="A2988" s="1">
        <v>2987</v>
      </c>
      <c r="B2988" s="1">
        <v>575</v>
      </c>
      <c r="C2988" s="1">
        <v>14</v>
      </c>
      <c r="D2988" t="str">
        <f>VLOOKUP(B2988,Заказы!A:C,3,0)</f>
        <v>2023-07-27 16:00:00</v>
      </c>
      <c r="E2988" t="str">
        <f>VLOOKUP(C2988,Меню!A:E,4,0)</f>
        <v>Первое</v>
      </c>
      <c r="F2988">
        <f>VLOOKUP(C2988,Меню!A:E,5,0)</f>
        <v>350</v>
      </c>
    </row>
    <row r="2989" spans="1:6" ht="15.75" hidden="1" customHeight="1" x14ac:dyDescent="0.35">
      <c r="A2989" s="1">
        <v>2988</v>
      </c>
      <c r="B2989" s="1">
        <v>575</v>
      </c>
      <c r="C2989" s="1">
        <v>26</v>
      </c>
      <c r="D2989" t="str">
        <f>VLOOKUP(B2989,Заказы!A:C,3,0)</f>
        <v>2023-07-27 16:00:00</v>
      </c>
      <c r="E2989" t="str">
        <f>VLOOKUP(C2989,Меню!A:E,4,0)</f>
        <v>Салат</v>
      </c>
      <c r="F2989">
        <f>VLOOKUP(C2989,Меню!A:E,5,0)</f>
        <v>250</v>
      </c>
    </row>
    <row r="2990" spans="1:6" ht="15.75" hidden="1" customHeight="1" x14ac:dyDescent="0.35">
      <c r="A2990" s="1">
        <v>2989</v>
      </c>
      <c r="B2990" s="1">
        <v>575</v>
      </c>
      <c r="C2990" s="1">
        <v>45</v>
      </c>
      <c r="D2990" t="str">
        <f>VLOOKUP(B2990,Заказы!A:C,3,0)</f>
        <v>2023-07-27 16:00:00</v>
      </c>
      <c r="E2990" t="str">
        <f>VLOOKUP(C2990,Меню!A:E,4,0)</f>
        <v>Суши</v>
      </c>
      <c r="F2990">
        <f>VLOOKUP(C2990,Меню!A:E,5,0)</f>
        <v>200</v>
      </c>
    </row>
    <row r="2991" spans="1:6" ht="15.75" hidden="1" customHeight="1" x14ac:dyDescent="0.35">
      <c r="A2991" s="1">
        <v>2990</v>
      </c>
      <c r="B2991" s="1">
        <v>575</v>
      </c>
      <c r="C2991" s="1">
        <v>33</v>
      </c>
      <c r="D2991" t="str">
        <f>VLOOKUP(B2991,Заказы!A:C,3,0)</f>
        <v>2023-07-27 16:00:00</v>
      </c>
      <c r="E2991" t="str">
        <f>VLOOKUP(C2991,Меню!A:E,4,0)</f>
        <v>Десерт</v>
      </c>
      <c r="F2991">
        <f>VLOOKUP(C2991,Меню!A:E,5,0)</f>
        <v>150</v>
      </c>
    </row>
    <row r="2992" spans="1:6" ht="15.75" hidden="1" customHeight="1" x14ac:dyDescent="0.35">
      <c r="A2992" s="1">
        <v>2991</v>
      </c>
      <c r="B2992" s="1">
        <v>576</v>
      </c>
      <c r="C2992" s="1">
        <v>14</v>
      </c>
      <c r="D2992" t="str">
        <f>VLOOKUP(B2992,Заказы!A:C,3,0)</f>
        <v>2023-07-27 16:56:00</v>
      </c>
      <c r="E2992" t="str">
        <f>VLOOKUP(C2992,Меню!A:E,4,0)</f>
        <v>Первое</v>
      </c>
      <c r="F2992">
        <f>VLOOKUP(C2992,Меню!A:E,5,0)</f>
        <v>350</v>
      </c>
    </row>
    <row r="2993" spans="1:6" ht="15.75" hidden="1" customHeight="1" x14ac:dyDescent="0.35">
      <c r="A2993" s="1">
        <v>2992</v>
      </c>
      <c r="B2993" s="1">
        <v>576</v>
      </c>
      <c r="C2993" s="1">
        <v>34</v>
      </c>
      <c r="D2993" t="str">
        <f>VLOOKUP(B2993,Заказы!A:C,3,0)</f>
        <v>2023-07-27 16:56:00</v>
      </c>
      <c r="E2993" t="str">
        <f>VLOOKUP(C2993,Меню!A:E,4,0)</f>
        <v>Десерт</v>
      </c>
      <c r="F2993">
        <f>VLOOKUP(C2993,Меню!A:E,5,0)</f>
        <v>150</v>
      </c>
    </row>
    <row r="2994" spans="1:6" ht="15.75" hidden="1" customHeight="1" x14ac:dyDescent="0.35">
      <c r="A2994" s="1">
        <v>2993</v>
      </c>
      <c r="B2994" s="1">
        <v>576</v>
      </c>
      <c r="C2994" s="1">
        <v>50</v>
      </c>
      <c r="D2994" t="str">
        <f>VLOOKUP(B2994,Заказы!A:C,3,0)</f>
        <v>2023-07-27 16:56:00</v>
      </c>
      <c r="E2994" t="str">
        <f>VLOOKUP(C2994,Меню!A:E,4,0)</f>
        <v>Суши</v>
      </c>
      <c r="F2994">
        <f>VLOOKUP(C2994,Меню!A:E,5,0)</f>
        <v>200</v>
      </c>
    </row>
    <row r="2995" spans="1:6" ht="15.75" hidden="1" customHeight="1" x14ac:dyDescent="0.35">
      <c r="A2995" s="1">
        <v>2994</v>
      </c>
      <c r="B2995" s="1">
        <v>576</v>
      </c>
      <c r="C2995" s="1">
        <v>41</v>
      </c>
      <c r="D2995" t="str">
        <f>VLOOKUP(B2995,Заказы!A:C,3,0)</f>
        <v>2023-07-27 16:56:00</v>
      </c>
      <c r="E2995" t="str">
        <f>VLOOKUP(C2995,Меню!A:E,4,0)</f>
        <v>Суши</v>
      </c>
      <c r="F2995">
        <f>VLOOKUP(C2995,Меню!A:E,5,0)</f>
        <v>220</v>
      </c>
    </row>
    <row r="2996" spans="1:6" ht="15.75" hidden="1" customHeight="1" x14ac:dyDescent="0.35">
      <c r="A2996" s="1">
        <v>2995</v>
      </c>
      <c r="B2996" s="1">
        <v>576</v>
      </c>
      <c r="C2996" s="1">
        <v>55</v>
      </c>
      <c r="D2996" t="str">
        <f>VLOOKUP(B2996,Заказы!A:C,3,0)</f>
        <v>2023-07-27 16:56:00</v>
      </c>
      <c r="E2996" t="str">
        <f>VLOOKUP(C2996,Меню!A:E,4,0)</f>
        <v>Суши</v>
      </c>
      <c r="F2996">
        <f>VLOOKUP(C2996,Меню!A:E,5,0)</f>
        <v>100</v>
      </c>
    </row>
    <row r="2997" spans="1:6" ht="15.75" hidden="1" customHeight="1" x14ac:dyDescent="0.35">
      <c r="A2997" s="1">
        <v>2996</v>
      </c>
      <c r="B2997" s="1">
        <v>576</v>
      </c>
      <c r="C2997" s="1">
        <v>34</v>
      </c>
      <c r="D2997" t="str">
        <f>VLOOKUP(B2997,Заказы!A:C,3,0)</f>
        <v>2023-07-27 16:56:00</v>
      </c>
      <c r="E2997" t="str">
        <f>VLOOKUP(C2997,Меню!A:E,4,0)</f>
        <v>Десерт</v>
      </c>
      <c r="F2997">
        <f>VLOOKUP(C2997,Меню!A:E,5,0)</f>
        <v>150</v>
      </c>
    </row>
    <row r="2998" spans="1:6" ht="15.75" hidden="1" customHeight="1" x14ac:dyDescent="0.35">
      <c r="A2998" s="1">
        <v>2997</v>
      </c>
      <c r="B2998" s="1">
        <v>576</v>
      </c>
      <c r="C2998" s="1">
        <v>60</v>
      </c>
      <c r="D2998" t="str">
        <f>VLOOKUP(B2998,Заказы!A:C,3,0)</f>
        <v>2023-07-27 16:56:00</v>
      </c>
      <c r="E2998" t="str">
        <f>VLOOKUP(C2998,Меню!A:E,4,0)</f>
        <v>Суши</v>
      </c>
      <c r="F2998">
        <f>VLOOKUP(C2998,Меню!A:E,5,0)</f>
        <v>250</v>
      </c>
    </row>
    <row r="2999" spans="1:6" ht="15.75" hidden="1" customHeight="1" x14ac:dyDescent="0.35">
      <c r="A2999" s="1">
        <v>2998</v>
      </c>
      <c r="B2999" s="1">
        <v>576</v>
      </c>
      <c r="C2999" s="1">
        <v>17</v>
      </c>
      <c r="D2999" t="str">
        <f>VLOOKUP(B2999,Заказы!A:C,3,0)</f>
        <v>2023-07-27 16:56:00</v>
      </c>
      <c r="E2999" t="str">
        <f>VLOOKUP(C2999,Меню!A:E,4,0)</f>
        <v>Первое</v>
      </c>
      <c r="F2999">
        <f>VLOOKUP(C2999,Меню!A:E,5,0)</f>
        <v>250</v>
      </c>
    </row>
    <row r="3000" spans="1:6" ht="15.75" hidden="1" customHeight="1" x14ac:dyDescent="0.35">
      <c r="A3000" s="1">
        <v>2999</v>
      </c>
      <c r="B3000" s="1">
        <v>576</v>
      </c>
      <c r="C3000" s="1">
        <v>55</v>
      </c>
      <c r="D3000" t="str">
        <f>VLOOKUP(B3000,Заказы!A:C,3,0)</f>
        <v>2023-07-27 16:56:00</v>
      </c>
      <c r="E3000" t="str">
        <f>VLOOKUP(C3000,Меню!A:E,4,0)</f>
        <v>Суши</v>
      </c>
      <c r="F3000">
        <f>VLOOKUP(C3000,Меню!A:E,5,0)</f>
        <v>100</v>
      </c>
    </row>
    <row r="3001" spans="1:6" ht="15.75" hidden="1" customHeight="1" x14ac:dyDescent="0.35">
      <c r="A3001" s="1">
        <v>3000</v>
      </c>
      <c r="B3001" s="1">
        <v>577</v>
      </c>
      <c r="C3001" s="1">
        <v>35</v>
      </c>
      <c r="D3001" t="str">
        <f>VLOOKUP(B3001,Заказы!A:C,3,0)</f>
        <v>2023-07-27 17:24:00</v>
      </c>
      <c r="E3001" t="str">
        <f>VLOOKUP(C3001,Меню!A:E,4,0)</f>
        <v>Десерт</v>
      </c>
      <c r="F3001">
        <f>VLOOKUP(C3001,Меню!A:E,5,0)</f>
        <v>150</v>
      </c>
    </row>
    <row r="3002" spans="1:6" ht="15.75" hidden="1" customHeight="1" x14ac:dyDescent="0.35">
      <c r="A3002" s="1">
        <v>3001</v>
      </c>
      <c r="B3002" s="1">
        <v>577</v>
      </c>
      <c r="C3002" s="1">
        <v>57</v>
      </c>
      <c r="D3002" t="str">
        <f>VLOOKUP(B3002,Заказы!A:C,3,0)</f>
        <v>2023-07-27 17:24:00</v>
      </c>
      <c r="E3002" t="str">
        <f>VLOOKUP(C3002,Меню!A:E,4,0)</f>
        <v>Суши</v>
      </c>
      <c r="F3002">
        <f>VLOOKUP(C3002,Меню!A:E,5,0)</f>
        <v>200</v>
      </c>
    </row>
    <row r="3003" spans="1:6" ht="15.75" hidden="1" customHeight="1" x14ac:dyDescent="0.35">
      <c r="A3003" s="1">
        <v>3002</v>
      </c>
      <c r="B3003" s="1">
        <v>577</v>
      </c>
      <c r="C3003" s="1">
        <v>34</v>
      </c>
      <c r="D3003" t="str">
        <f>VLOOKUP(B3003,Заказы!A:C,3,0)</f>
        <v>2023-07-27 17:24:00</v>
      </c>
      <c r="E3003" t="str">
        <f>VLOOKUP(C3003,Меню!A:E,4,0)</f>
        <v>Десерт</v>
      </c>
      <c r="F3003">
        <f>VLOOKUP(C3003,Меню!A:E,5,0)</f>
        <v>150</v>
      </c>
    </row>
    <row r="3004" spans="1:6" ht="15.75" hidden="1" customHeight="1" x14ac:dyDescent="0.35">
      <c r="A3004" s="1">
        <v>3003</v>
      </c>
      <c r="B3004" s="1">
        <v>578</v>
      </c>
      <c r="C3004" s="1">
        <v>7</v>
      </c>
      <c r="D3004" t="str">
        <f>VLOOKUP(B3004,Заказы!A:C,3,0)</f>
        <v>2023-07-27 17:44:00</v>
      </c>
      <c r="E3004" t="str">
        <f>VLOOKUP(C3004,Меню!A:E,4,0)</f>
        <v>Завтрак</v>
      </c>
      <c r="F3004">
        <f>VLOOKUP(C3004,Меню!A:E,5,0)</f>
        <v>200</v>
      </c>
    </row>
    <row r="3005" spans="1:6" ht="15.75" hidden="1" customHeight="1" x14ac:dyDescent="0.35">
      <c r="A3005" s="1">
        <v>3004</v>
      </c>
      <c r="B3005" s="1">
        <v>578</v>
      </c>
      <c r="C3005" s="1">
        <v>50</v>
      </c>
      <c r="D3005" t="str">
        <f>VLOOKUP(B3005,Заказы!A:C,3,0)</f>
        <v>2023-07-27 17:44:00</v>
      </c>
      <c r="E3005" t="str">
        <f>VLOOKUP(C3005,Меню!A:E,4,0)</f>
        <v>Суши</v>
      </c>
      <c r="F3005">
        <f>VLOOKUP(C3005,Меню!A:E,5,0)</f>
        <v>200</v>
      </c>
    </row>
    <row r="3006" spans="1:6" ht="15.75" hidden="1" customHeight="1" x14ac:dyDescent="0.35">
      <c r="A3006" s="1">
        <v>3005</v>
      </c>
      <c r="B3006" s="1">
        <v>578</v>
      </c>
      <c r="C3006" s="1">
        <v>42</v>
      </c>
      <c r="D3006" t="str">
        <f>VLOOKUP(B3006,Заказы!A:C,3,0)</f>
        <v>2023-07-27 17:44:00</v>
      </c>
      <c r="E3006" t="str">
        <f>VLOOKUP(C3006,Меню!A:E,4,0)</f>
        <v>Суши</v>
      </c>
      <c r="F3006">
        <f>VLOOKUP(C3006,Меню!A:E,5,0)</f>
        <v>250</v>
      </c>
    </row>
    <row r="3007" spans="1:6" ht="15.75" hidden="1" customHeight="1" x14ac:dyDescent="0.35">
      <c r="A3007" s="1">
        <v>3006</v>
      </c>
      <c r="B3007" s="1">
        <v>578</v>
      </c>
      <c r="C3007" s="1">
        <v>19</v>
      </c>
      <c r="D3007" t="str">
        <f>VLOOKUP(B3007,Заказы!A:C,3,0)</f>
        <v>2023-07-27 17:44:00</v>
      </c>
      <c r="E3007" t="str">
        <f>VLOOKUP(C3007,Меню!A:E,4,0)</f>
        <v>Первое</v>
      </c>
      <c r="F3007">
        <f>VLOOKUP(C3007,Меню!A:E,5,0)</f>
        <v>300</v>
      </c>
    </row>
    <row r="3008" spans="1:6" ht="15.75" hidden="1" customHeight="1" x14ac:dyDescent="0.35">
      <c r="A3008" s="1">
        <v>3007</v>
      </c>
      <c r="B3008" s="1">
        <v>578</v>
      </c>
      <c r="C3008" s="1">
        <v>5</v>
      </c>
      <c r="D3008" t="str">
        <f>VLOOKUP(B3008,Заказы!A:C,3,0)</f>
        <v>2023-07-27 17:44:00</v>
      </c>
      <c r="E3008" t="str">
        <f>VLOOKUP(C3008,Меню!A:E,4,0)</f>
        <v>Завтрак</v>
      </c>
      <c r="F3008">
        <f>VLOOKUP(C3008,Меню!A:E,5,0)</f>
        <v>220</v>
      </c>
    </row>
    <row r="3009" spans="1:6" ht="15.75" hidden="1" customHeight="1" x14ac:dyDescent="0.35">
      <c r="A3009" s="1">
        <v>3008</v>
      </c>
      <c r="B3009" s="1">
        <v>578</v>
      </c>
      <c r="C3009" s="1">
        <v>58</v>
      </c>
      <c r="D3009" t="str">
        <f>VLOOKUP(B3009,Заказы!A:C,3,0)</f>
        <v>2023-07-27 17:44:00</v>
      </c>
      <c r="E3009" t="str">
        <f>VLOOKUP(C3009,Меню!A:E,4,0)</f>
        <v>Суши</v>
      </c>
      <c r="F3009">
        <f>VLOOKUP(C3009,Меню!A:E,5,0)</f>
        <v>200</v>
      </c>
    </row>
    <row r="3010" spans="1:6" ht="15.75" hidden="1" customHeight="1" x14ac:dyDescent="0.35">
      <c r="A3010" s="1">
        <v>3009</v>
      </c>
      <c r="B3010" s="1">
        <v>578</v>
      </c>
      <c r="C3010" s="1">
        <v>44</v>
      </c>
      <c r="D3010" t="str">
        <f>VLOOKUP(B3010,Заказы!A:C,3,0)</f>
        <v>2023-07-27 17:44:00</v>
      </c>
      <c r="E3010" t="str">
        <f>VLOOKUP(C3010,Меню!A:E,4,0)</f>
        <v>Суши</v>
      </c>
      <c r="F3010">
        <f>VLOOKUP(C3010,Меню!A:E,5,0)</f>
        <v>250</v>
      </c>
    </row>
    <row r="3011" spans="1:6" ht="15.75" hidden="1" customHeight="1" x14ac:dyDescent="0.35">
      <c r="A3011" s="1">
        <v>3010</v>
      </c>
      <c r="B3011" s="1">
        <v>579</v>
      </c>
      <c r="C3011" s="1">
        <v>50</v>
      </c>
      <c r="D3011" t="str">
        <f>VLOOKUP(B3011,Заказы!A:C,3,0)</f>
        <v>2023-07-27 17:48:00</v>
      </c>
      <c r="E3011" t="str">
        <f>VLOOKUP(C3011,Меню!A:E,4,0)</f>
        <v>Суши</v>
      </c>
      <c r="F3011">
        <f>VLOOKUP(C3011,Меню!A:E,5,0)</f>
        <v>200</v>
      </c>
    </row>
    <row r="3012" spans="1:6" ht="15.75" hidden="1" customHeight="1" x14ac:dyDescent="0.35">
      <c r="A3012" s="1">
        <v>3011</v>
      </c>
      <c r="B3012" s="1">
        <v>579</v>
      </c>
      <c r="C3012" s="1">
        <v>15</v>
      </c>
      <c r="D3012" t="str">
        <f>VLOOKUP(B3012,Заказы!A:C,3,0)</f>
        <v>2023-07-27 17:48:00</v>
      </c>
      <c r="E3012" t="str">
        <f>VLOOKUP(C3012,Меню!A:E,4,0)</f>
        <v>Первое</v>
      </c>
      <c r="F3012">
        <f>VLOOKUP(C3012,Меню!A:E,5,0)</f>
        <v>250</v>
      </c>
    </row>
    <row r="3013" spans="1:6" ht="15.75" hidden="1" customHeight="1" x14ac:dyDescent="0.35">
      <c r="A3013" s="1">
        <v>3012</v>
      </c>
      <c r="B3013" s="1">
        <v>579</v>
      </c>
      <c r="C3013" s="1">
        <v>22</v>
      </c>
      <c r="D3013" t="str">
        <f>VLOOKUP(B3013,Заказы!A:C,3,0)</f>
        <v>2023-07-27 17:48:00</v>
      </c>
      <c r="E3013" t="str">
        <f>VLOOKUP(C3013,Меню!A:E,4,0)</f>
        <v>Салат</v>
      </c>
      <c r="F3013">
        <f>VLOOKUP(C3013,Меню!A:E,5,0)</f>
        <v>250</v>
      </c>
    </row>
    <row r="3014" spans="1:6" ht="15.75" hidden="1" customHeight="1" x14ac:dyDescent="0.35">
      <c r="A3014" s="1">
        <v>3013</v>
      </c>
      <c r="B3014" s="1">
        <v>579</v>
      </c>
      <c r="C3014" s="1">
        <v>22</v>
      </c>
      <c r="D3014" t="str">
        <f>VLOOKUP(B3014,Заказы!A:C,3,0)</f>
        <v>2023-07-27 17:48:00</v>
      </c>
      <c r="E3014" t="str">
        <f>VLOOKUP(C3014,Меню!A:E,4,0)</f>
        <v>Салат</v>
      </c>
      <c r="F3014">
        <f>VLOOKUP(C3014,Меню!A:E,5,0)</f>
        <v>250</v>
      </c>
    </row>
    <row r="3015" spans="1:6" ht="15.75" hidden="1" customHeight="1" x14ac:dyDescent="0.35">
      <c r="A3015" s="1">
        <v>3014</v>
      </c>
      <c r="B3015" s="1">
        <v>579</v>
      </c>
      <c r="C3015" s="1">
        <v>23</v>
      </c>
      <c r="D3015" t="str">
        <f>VLOOKUP(B3015,Заказы!A:C,3,0)</f>
        <v>2023-07-27 17:48:00</v>
      </c>
      <c r="E3015" t="str">
        <f>VLOOKUP(C3015,Меню!A:E,4,0)</f>
        <v>Салат</v>
      </c>
      <c r="F3015">
        <f>VLOOKUP(C3015,Меню!A:E,5,0)</f>
        <v>250</v>
      </c>
    </row>
    <row r="3016" spans="1:6" ht="15.75" hidden="1" customHeight="1" x14ac:dyDescent="0.35">
      <c r="A3016" s="1">
        <v>3015</v>
      </c>
      <c r="B3016" s="1">
        <v>579</v>
      </c>
      <c r="C3016" s="1">
        <v>10</v>
      </c>
      <c r="D3016" t="str">
        <f>VLOOKUP(B3016,Заказы!A:C,3,0)</f>
        <v>2023-07-27 17:48:00</v>
      </c>
      <c r="E3016" t="str">
        <f>VLOOKUP(C3016,Меню!A:E,4,0)</f>
        <v>Завтрак</v>
      </c>
      <c r="F3016">
        <f>VLOOKUP(C3016,Меню!A:E,5,0)</f>
        <v>200</v>
      </c>
    </row>
    <row r="3017" spans="1:6" ht="15.75" hidden="1" customHeight="1" x14ac:dyDescent="0.35">
      <c r="A3017" s="1">
        <v>3016</v>
      </c>
      <c r="B3017" s="1">
        <v>580</v>
      </c>
      <c r="C3017" s="1">
        <v>31</v>
      </c>
      <c r="D3017" t="str">
        <f>VLOOKUP(B3017,Заказы!A:C,3,0)</f>
        <v>2023-07-27 22:11:00</v>
      </c>
      <c r="E3017" t="str">
        <f>VLOOKUP(C3017,Меню!A:E,4,0)</f>
        <v>Десерт</v>
      </c>
      <c r="F3017">
        <f>VLOOKUP(C3017,Меню!A:E,5,0)</f>
        <v>150</v>
      </c>
    </row>
    <row r="3018" spans="1:6" ht="15.75" hidden="1" customHeight="1" x14ac:dyDescent="0.35">
      <c r="A3018" s="1">
        <v>3017</v>
      </c>
      <c r="B3018" s="1">
        <v>581</v>
      </c>
      <c r="C3018" s="1">
        <v>10</v>
      </c>
      <c r="D3018" t="str">
        <f>VLOOKUP(B3018,Заказы!A:C,3,0)</f>
        <v>2023-07-27 22:38:00</v>
      </c>
      <c r="E3018" t="str">
        <f>VLOOKUP(C3018,Меню!A:E,4,0)</f>
        <v>Завтрак</v>
      </c>
      <c r="F3018">
        <f>VLOOKUP(C3018,Меню!A:E,5,0)</f>
        <v>200</v>
      </c>
    </row>
    <row r="3019" spans="1:6" ht="15.75" hidden="1" customHeight="1" x14ac:dyDescent="0.35">
      <c r="A3019" s="1">
        <v>3018</v>
      </c>
      <c r="B3019" s="1">
        <v>581</v>
      </c>
      <c r="C3019" s="1">
        <v>6</v>
      </c>
      <c r="D3019" t="str">
        <f>VLOOKUP(B3019,Заказы!A:C,3,0)</f>
        <v>2023-07-27 22:38:00</v>
      </c>
      <c r="E3019" t="str">
        <f>VLOOKUP(C3019,Меню!A:E,4,0)</f>
        <v>Завтрак</v>
      </c>
      <c r="F3019">
        <f>VLOOKUP(C3019,Меню!A:E,5,0)</f>
        <v>300</v>
      </c>
    </row>
    <row r="3020" spans="1:6" ht="15.75" hidden="1" customHeight="1" x14ac:dyDescent="0.35">
      <c r="A3020" s="1">
        <v>3019</v>
      </c>
      <c r="B3020" s="1">
        <v>581</v>
      </c>
      <c r="C3020" s="1">
        <v>42</v>
      </c>
      <c r="D3020" t="str">
        <f>VLOOKUP(B3020,Заказы!A:C,3,0)</f>
        <v>2023-07-27 22:38:00</v>
      </c>
      <c r="E3020" t="str">
        <f>VLOOKUP(C3020,Меню!A:E,4,0)</f>
        <v>Суши</v>
      </c>
      <c r="F3020">
        <f>VLOOKUP(C3020,Меню!A:E,5,0)</f>
        <v>250</v>
      </c>
    </row>
    <row r="3021" spans="1:6" ht="15.75" hidden="1" customHeight="1" x14ac:dyDescent="0.35">
      <c r="A3021" s="1">
        <v>3020</v>
      </c>
      <c r="B3021" s="1">
        <v>581</v>
      </c>
      <c r="C3021" s="1">
        <v>44</v>
      </c>
      <c r="D3021" t="str">
        <f>VLOOKUP(B3021,Заказы!A:C,3,0)</f>
        <v>2023-07-27 22:38:00</v>
      </c>
      <c r="E3021" t="str">
        <f>VLOOKUP(C3021,Меню!A:E,4,0)</f>
        <v>Суши</v>
      </c>
      <c r="F3021">
        <f>VLOOKUP(C3021,Меню!A:E,5,0)</f>
        <v>250</v>
      </c>
    </row>
    <row r="3022" spans="1:6" ht="15.75" hidden="1" customHeight="1" x14ac:dyDescent="0.35">
      <c r="A3022" s="1">
        <v>3021</v>
      </c>
      <c r="B3022" s="1">
        <v>581</v>
      </c>
      <c r="C3022" s="1">
        <v>37</v>
      </c>
      <c r="D3022" t="str">
        <f>VLOOKUP(B3022,Заказы!A:C,3,0)</f>
        <v>2023-07-27 22:38:00</v>
      </c>
      <c r="E3022" t="str">
        <f>VLOOKUP(C3022,Меню!A:E,4,0)</f>
        <v>Десерт</v>
      </c>
      <c r="F3022">
        <f>VLOOKUP(C3022,Меню!A:E,5,0)</f>
        <v>100</v>
      </c>
    </row>
    <row r="3023" spans="1:6" ht="15.75" hidden="1" customHeight="1" x14ac:dyDescent="0.35">
      <c r="A3023" s="1">
        <v>3022</v>
      </c>
      <c r="B3023" s="1">
        <v>582</v>
      </c>
      <c r="C3023" s="1">
        <v>42</v>
      </c>
      <c r="D3023" t="str">
        <f>VLOOKUP(B3023,Заказы!A:C,3,0)</f>
        <v>2023-07-28 15:31:00</v>
      </c>
      <c r="E3023" t="str">
        <f>VLOOKUP(C3023,Меню!A:E,4,0)</f>
        <v>Суши</v>
      </c>
      <c r="F3023">
        <f>VLOOKUP(C3023,Меню!A:E,5,0)</f>
        <v>250</v>
      </c>
    </row>
    <row r="3024" spans="1:6" ht="15.75" hidden="1" customHeight="1" x14ac:dyDescent="0.35">
      <c r="A3024" s="1">
        <v>3023</v>
      </c>
      <c r="B3024" s="1">
        <v>582</v>
      </c>
      <c r="C3024" s="1">
        <v>48</v>
      </c>
      <c r="D3024" t="str">
        <f>VLOOKUP(B3024,Заказы!A:C,3,0)</f>
        <v>2023-07-28 15:31:00</v>
      </c>
      <c r="E3024" t="str">
        <f>VLOOKUP(C3024,Меню!A:E,4,0)</f>
        <v>Суши</v>
      </c>
      <c r="F3024">
        <f>VLOOKUP(C3024,Меню!A:E,5,0)</f>
        <v>200</v>
      </c>
    </row>
    <row r="3025" spans="1:6" ht="15.75" hidden="1" customHeight="1" x14ac:dyDescent="0.35">
      <c r="A3025" s="1">
        <v>3024</v>
      </c>
      <c r="B3025" s="1">
        <v>582</v>
      </c>
      <c r="C3025" s="1">
        <v>38</v>
      </c>
      <c r="D3025" t="str">
        <f>VLOOKUP(B3025,Заказы!A:C,3,0)</f>
        <v>2023-07-28 15:31:00</v>
      </c>
      <c r="E3025" t="str">
        <f>VLOOKUP(C3025,Меню!A:E,4,0)</f>
        <v>Десерт</v>
      </c>
      <c r="F3025">
        <f>VLOOKUP(C3025,Меню!A:E,5,0)</f>
        <v>150</v>
      </c>
    </row>
    <row r="3026" spans="1:6" ht="15.75" hidden="1" customHeight="1" x14ac:dyDescent="0.35">
      <c r="A3026" s="1">
        <v>3025</v>
      </c>
      <c r="B3026" s="1">
        <v>582</v>
      </c>
      <c r="C3026" s="1">
        <v>7</v>
      </c>
      <c r="D3026" t="str">
        <f>VLOOKUP(B3026,Заказы!A:C,3,0)</f>
        <v>2023-07-28 15:31:00</v>
      </c>
      <c r="E3026" t="str">
        <f>VLOOKUP(C3026,Меню!A:E,4,0)</f>
        <v>Завтрак</v>
      </c>
      <c r="F3026">
        <f>VLOOKUP(C3026,Меню!A:E,5,0)</f>
        <v>200</v>
      </c>
    </row>
    <row r="3027" spans="1:6" ht="15.75" hidden="1" customHeight="1" x14ac:dyDescent="0.35">
      <c r="A3027" s="1">
        <v>3026</v>
      </c>
      <c r="B3027" s="1">
        <v>582</v>
      </c>
      <c r="C3027" s="1">
        <v>57</v>
      </c>
      <c r="D3027" t="str">
        <f>VLOOKUP(B3027,Заказы!A:C,3,0)</f>
        <v>2023-07-28 15:31:00</v>
      </c>
      <c r="E3027" t="str">
        <f>VLOOKUP(C3027,Меню!A:E,4,0)</f>
        <v>Суши</v>
      </c>
      <c r="F3027">
        <f>VLOOKUP(C3027,Меню!A:E,5,0)</f>
        <v>200</v>
      </c>
    </row>
    <row r="3028" spans="1:6" ht="15.75" hidden="1" customHeight="1" x14ac:dyDescent="0.35">
      <c r="A3028" s="1">
        <v>3027</v>
      </c>
      <c r="B3028" s="1">
        <v>582</v>
      </c>
      <c r="C3028" s="1">
        <v>14</v>
      </c>
      <c r="D3028" t="str">
        <f>VLOOKUP(B3028,Заказы!A:C,3,0)</f>
        <v>2023-07-28 15:31:00</v>
      </c>
      <c r="E3028" t="str">
        <f>VLOOKUP(C3028,Меню!A:E,4,0)</f>
        <v>Первое</v>
      </c>
      <c r="F3028">
        <f>VLOOKUP(C3028,Меню!A:E,5,0)</f>
        <v>350</v>
      </c>
    </row>
    <row r="3029" spans="1:6" ht="15.75" hidden="1" customHeight="1" x14ac:dyDescent="0.35">
      <c r="A3029" s="1">
        <v>3028</v>
      </c>
      <c r="B3029" s="1">
        <v>582</v>
      </c>
      <c r="C3029" s="1">
        <v>7</v>
      </c>
      <c r="D3029" t="str">
        <f>VLOOKUP(B3029,Заказы!A:C,3,0)</f>
        <v>2023-07-28 15:31:00</v>
      </c>
      <c r="E3029" t="str">
        <f>VLOOKUP(C3029,Меню!A:E,4,0)</f>
        <v>Завтрак</v>
      </c>
      <c r="F3029">
        <f>VLOOKUP(C3029,Меню!A:E,5,0)</f>
        <v>200</v>
      </c>
    </row>
    <row r="3030" spans="1:6" ht="15.75" hidden="1" customHeight="1" x14ac:dyDescent="0.35">
      <c r="A3030" s="1">
        <v>3029</v>
      </c>
      <c r="B3030" s="1">
        <v>582</v>
      </c>
      <c r="C3030" s="1">
        <v>25</v>
      </c>
      <c r="D3030" t="str">
        <f>VLOOKUP(B3030,Заказы!A:C,3,0)</f>
        <v>2023-07-28 15:31:00</v>
      </c>
      <c r="E3030" t="str">
        <f>VLOOKUP(C3030,Меню!A:E,4,0)</f>
        <v>Салат</v>
      </c>
      <c r="F3030">
        <f>VLOOKUP(C3030,Меню!A:E,5,0)</f>
        <v>250</v>
      </c>
    </row>
    <row r="3031" spans="1:6" ht="15.75" hidden="1" customHeight="1" x14ac:dyDescent="0.35">
      <c r="A3031" s="1">
        <v>3030</v>
      </c>
      <c r="B3031" s="1">
        <v>583</v>
      </c>
      <c r="C3031" s="1">
        <v>23</v>
      </c>
      <c r="D3031" t="str">
        <f>VLOOKUP(B3031,Заказы!A:C,3,0)</f>
        <v>2023-07-28 17:51:00</v>
      </c>
      <c r="E3031" t="str">
        <f>VLOOKUP(C3031,Меню!A:E,4,0)</f>
        <v>Салат</v>
      </c>
      <c r="F3031">
        <f>VLOOKUP(C3031,Меню!A:E,5,0)</f>
        <v>250</v>
      </c>
    </row>
    <row r="3032" spans="1:6" ht="15.75" hidden="1" customHeight="1" x14ac:dyDescent="0.35">
      <c r="A3032" s="1">
        <v>3031</v>
      </c>
      <c r="B3032" s="1">
        <v>583</v>
      </c>
      <c r="C3032" s="1">
        <v>57</v>
      </c>
      <c r="D3032" t="str">
        <f>VLOOKUP(B3032,Заказы!A:C,3,0)</f>
        <v>2023-07-28 17:51:00</v>
      </c>
      <c r="E3032" t="str">
        <f>VLOOKUP(C3032,Меню!A:E,4,0)</f>
        <v>Суши</v>
      </c>
      <c r="F3032">
        <f>VLOOKUP(C3032,Меню!A:E,5,0)</f>
        <v>200</v>
      </c>
    </row>
    <row r="3033" spans="1:6" ht="15.75" hidden="1" customHeight="1" x14ac:dyDescent="0.35">
      <c r="A3033" s="1">
        <v>3032</v>
      </c>
      <c r="B3033" s="1">
        <v>583</v>
      </c>
      <c r="C3033" s="1">
        <v>12</v>
      </c>
      <c r="D3033" t="str">
        <f>VLOOKUP(B3033,Заказы!A:C,3,0)</f>
        <v>2023-07-28 17:51:00</v>
      </c>
      <c r="E3033" t="str">
        <f>VLOOKUP(C3033,Меню!A:E,4,0)</f>
        <v>Первое</v>
      </c>
      <c r="F3033">
        <f>VLOOKUP(C3033,Меню!A:E,5,0)</f>
        <v>300</v>
      </c>
    </row>
    <row r="3034" spans="1:6" ht="15.75" hidden="1" customHeight="1" x14ac:dyDescent="0.35">
      <c r="A3034" s="1">
        <v>3033</v>
      </c>
      <c r="B3034" s="1">
        <v>583</v>
      </c>
      <c r="C3034" s="1">
        <v>4</v>
      </c>
      <c r="D3034" t="str">
        <f>VLOOKUP(B3034,Заказы!A:C,3,0)</f>
        <v>2023-07-28 17:51:00</v>
      </c>
      <c r="E3034" t="str">
        <f>VLOOKUP(C3034,Меню!A:E,4,0)</f>
        <v>Завтрак</v>
      </c>
      <c r="F3034">
        <f>VLOOKUP(C3034,Меню!A:E,5,0)</f>
        <v>180</v>
      </c>
    </row>
    <row r="3035" spans="1:6" ht="15.75" hidden="1" customHeight="1" x14ac:dyDescent="0.35">
      <c r="A3035" s="1">
        <v>3034</v>
      </c>
      <c r="B3035" s="1">
        <v>583</v>
      </c>
      <c r="C3035" s="1">
        <v>21</v>
      </c>
      <c r="D3035" t="str">
        <f>VLOOKUP(B3035,Заказы!A:C,3,0)</f>
        <v>2023-07-28 17:51:00</v>
      </c>
      <c r="E3035" t="str">
        <f>VLOOKUP(C3035,Меню!A:E,4,0)</f>
        <v>Салат</v>
      </c>
      <c r="F3035">
        <f>VLOOKUP(C3035,Меню!A:E,5,0)</f>
        <v>250</v>
      </c>
    </row>
    <row r="3036" spans="1:6" ht="15.75" hidden="1" customHeight="1" x14ac:dyDescent="0.35">
      <c r="A3036" s="1">
        <v>3035</v>
      </c>
      <c r="B3036" s="1">
        <v>583</v>
      </c>
      <c r="C3036" s="1">
        <v>32</v>
      </c>
      <c r="D3036" t="str">
        <f>VLOOKUP(B3036,Заказы!A:C,3,0)</f>
        <v>2023-07-28 17:51:00</v>
      </c>
      <c r="E3036" t="str">
        <f>VLOOKUP(C3036,Меню!A:E,4,0)</f>
        <v>Десерт</v>
      </c>
      <c r="F3036">
        <f>VLOOKUP(C3036,Меню!A:E,5,0)</f>
        <v>150</v>
      </c>
    </row>
    <row r="3037" spans="1:6" ht="15.75" hidden="1" customHeight="1" x14ac:dyDescent="0.35">
      <c r="A3037" s="1">
        <v>3036</v>
      </c>
      <c r="B3037" s="1">
        <v>584</v>
      </c>
      <c r="C3037" s="1">
        <v>38</v>
      </c>
      <c r="D3037" t="str">
        <f>VLOOKUP(B3037,Заказы!A:C,3,0)</f>
        <v>2023-07-28 21:18:00</v>
      </c>
      <c r="E3037" t="str">
        <f>VLOOKUP(C3037,Меню!A:E,4,0)</f>
        <v>Десерт</v>
      </c>
      <c r="F3037">
        <f>VLOOKUP(C3037,Меню!A:E,5,0)</f>
        <v>150</v>
      </c>
    </row>
    <row r="3038" spans="1:6" ht="15.75" hidden="1" customHeight="1" x14ac:dyDescent="0.35">
      <c r="A3038" s="1">
        <v>3037</v>
      </c>
      <c r="B3038" s="1">
        <v>584</v>
      </c>
      <c r="C3038" s="1">
        <v>15</v>
      </c>
      <c r="D3038" t="str">
        <f>VLOOKUP(B3038,Заказы!A:C,3,0)</f>
        <v>2023-07-28 21:18:00</v>
      </c>
      <c r="E3038" t="str">
        <f>VLOOKUP(C3038,Меню!A:E,4,0)</f>
        <v>Первое</v>
      </c>
      <c r="F3038">
        <f>VLOOKUP(C3038,Меню!A:E,5,0)</f>
        <v>250</v>
      </c>
    </row>
    <row r="3039" spans="1:6" ht="15.75" hidden="1" customHeight="1" x14ac:dyDescent="0.35">
      <c r="A3039" s="1">
        <v>3038</v>
      </c>
      <c r="B3039" s="1">
        <v>584</v>
      </c>
      <c r="C3039" s="1">
        <v>39</v>
      </c>
      <c r="D3039" t="str">
        <f>VLOOKUP(B3039,Заказы!A:C,3,0)</f>
        <v>2023-07-28 21:18:00</v>
      </c>
      <c r="E3039" t="str">
        <f>VLOOKUP(C3039,Меню!A:E,4,0)</f>
        <v>Десерт</v>
      </c>
      <c r="F3039">
        <f>VLOOKUP(C3039,Меню!A:E,5,0)</f>
        <v>150</v>
      </c>
    </row>
    <row r="3040" spans="1:6" ht="15.75" hidden="1" customHeight="1" x14ac:dyDescent="0.35">
      <c r="A3040" s="1">
        <v>3039</v>
      </c>
      <c r="B3040" s="1">
        <v>584</v>
      </c>
      <c r="C3040" s="1">
        <v>49</v>
      </c>
      <c r="D3040" t="str">
        <f>VLOOKUP(B3040,Заказы!A:C,3,0)</f>
        <v>2023-07-28 21:18:00</v>
      </c>
      <c r="E3040" t="str">
        <f>VLOOKUP(C3040,Меню!A:E,4,0)</f>
        <v>Суши</v>
      </c>
      <c r="F3040">
        <f>VLOOKUP(C3040,Меню!A:E,5,0)</f>
        <v>200</v>
      </c>
    </row>
    <row r="3041" spans="1:6" ht="15.75" hidden="1" customHeight="1" x14ac:dyDescent="0.35">
      <c r="A3041" s="1">
        <v>3040</v>
      </c>
      <c r="B3041" s="1">
        <v>584</v>
      </c>
      <c r="C3041" s="1">
        <v>24</v>
      </c>
      <c r="D3041" t="str">
        <f>VLOOKUP(B3041,Заказы!A:C,3,0)</f>
        <v>2023-07-28 21:18:00</v>
      </c>
      <c r="E3041" t="str">
        <f>VLOOKUP(C3041,Меню!A:E,4,0)</f>
        <v>Салат</v>
      </c>
      <c r="F3041">
        <f>VLOOKUP(C3041,Меню!A:E,5,0)</f>
        <v>250</v>
      </c>
    </row>
    <row r="3042" spans="1:6" ht="15.75" hidden="1" customHeight="1" x14ac:dyDescent="0.35">
      <c r="A3042" s="1">
        <v>3041</v>
      </c>
      <c r="B3042" s="1">
        <v>584</v>
      </c>
      <c r="C3042" s="1">
        <v>22</v>
      </c>
      <c r="D3042" t="str">
        <f>VLOOKUP(B3042,Заказы!A:C,3,0)</f>
        <v>2023-07-28 21:18:00</v>
      </c>
      <c r="E3042" t="str">
        <f>VLOOKUP(C3042,Меню!A:E,4,0)</f>
        <v>Салат</v>
      </c>
      <c r="F3042">
        <f>VLOOKUP(C3042,Меню!A:E,5,0)</f>
        <v>250</v>
      </c>
    </row>
    <row r="3043" spans="1:6" ht="15.75" hidden="1" customHeight="1" x14ac:dyDescent="0.35">
      <c r="A3043" s="1">
        <v>3042</v>
      </c>
      <c r="B3043" s="1">
        <v>584</v>
      </c>
      <c r="C3043" s="1">
        <v>35</v>
      </c>
      <c r="D3043" t="str">
        <f>VLOOKUP(B3043,Заказы!A:C,3,0)</f>
        <v>2023-07-28 21:18:00</v>
      </c>
      <c r="E3043" t="str">
        <f>VLOOKUP(C3043,Меню!A:E,4,0)</f>
        <v>Десерт</v>
      </c>
      <c r="F3043">
        <f>VLOOKUP(C3043,Меню!A:E,5,0)</f>
        <v>150</v>
      </c>
    </row>
    <row r="3044" spans="1:6" ht="15.75" hidden="1" customHeight="1" x14ac:dyDescent="0.35">
      <c r="A3044" s="1">
        <v>3043</v>
      </c>
      <c r="B3044" s="1">
        <v>584</v>
      </c>
      <c r="C3044" s="1">
        <v>58</v>
      </c>
      <c r="D3044" t="str">
        <f>VLOOKUP(B3044,Заказы!A:C,3,0)</f>
        <v>2023-07-28 21:18:00</v>
      </c>
      <c r="E3044" t="str">
        <f>VLOOKUP(C3044,Меню!A:E,4,0)</f>
        <v>Суши</v>
      </c>
      <c r="F3044">
        <f>VLOOKUP(C3044,Меню!A:E,5,0)</f>
        <v>200</v>
      </c>
    </row>
    <row r="3045" spans="1:6" ht="15.75" hidden="1" customHeight="1" x14ac:dyDescent="0.35">
      <c r="A3045" s="1">
        <v>3044</v>
      </c>
      <c r="B3045" s="1">
        <v>585</v>
      </c>
      <c r="C3045" s="1">
        <v>5</v>
      </c>
      <c r="D3045" t="str">
        <f>VLOOKUP(B3045,Заказы!A:C,3,0)</f>
        <v>2023-07-28 22:53:00</v>
      </c>
      <c r="E3045" t="str">
        <f>VLOOKUP(C3045,Меню!A:E,4,0)</f>
        <v>Завтрак</v>
      </c>
      <c r="F3045">
        <f>VLOOKUP(C3045,Меню!A:E,5,0)</f>
        <v>220</v>
      </c>
    </row>
    <row r="3046" spans="1:6" ht="15.75" hidden="1" customHeight="1" x14ac:dyDescent="0.35">
      <c r="A3046" s="1">
        <v>3045</v>
      </c>
      <c r="B3046" s="1">
        <v>585</v>
      </c>
      <c r="C3046" s="1">
        <v>49</v>
      </c>
      <c r="D3046" t="str">
        <f>VLOOKUP(B3046,Заказы!A:C,3,0)</f>
        <v>2023-07-28 22:53:00</v>
      </c>
      <c r="E3046" t="str">
        <f>VLOOKUP(C3046,Меню!A:E,4,0)</f>
        <v>Суши</v>
      </c>
      <c r="F3046">
        <f>VLOOKUP(C3046,Меню!A:E,5,0)</f>
        <v>200</v>
      </c>
    </row>
    <row r="3047" spans="1:6" ht="15.75" hidden="1" customHeight="1" x14ac:dyDescent="0.35">
      <c r="A3047" s="1">
        <v>3046</v>
      </c>
      <c r="B3047" s="1">
        <v>585</v>
      </c>
      <c r="C3047" s="1">
        <v>30</v>
      </c>
      <c r="D3047" t="str">
        <f>VLOOKUP(B3047,Заказы!A:C,3,0)</f>
        <v>2023-07-28 22:53:00</v>
      </c>
      <c r="E3047" t="str">
        <f>VLOOKUP(C3047,Меню!A:E,4,0)</f>
        <v>Салат</v>
      </c>
      <c r="F3047">
        <f>VLOOKUP(C3047,Меню!A:E,5,0)</f>
        <v>250</v>
      </c>
    </row>
    <row r="3048" spans="1:6" ht="15.75" hidden="1" customHeight="1" x14ac:dyDescent="0.35">
      <c r="A3048" s="1">
        <v>3047</v>
      </c>
      <c r="B3048" s="1">
        <v>585</v>
      </c>
      <c r="C3048" s="1">
        <v>47</v>
      </c>
      <c r="D3048" t="str">
        <f>VLOOKUP(B3048,Заказы!A:C,3,0)</f>
        <v>2023-07-28 22:53:00</v>
      </c>
      <c r="E3048" t="str">
        <f>VLOOKUP(C3048,Меню!A:E,4,0)</f>
        <v>Суши</v>
      </c>
      <c r="F3048">
        <f>VLOOKUP(C3048,Меню!A:E,5,0)</f>
        <v>200</v>
      </c>
    </row>
    <row r="3049" spans="1:6" ht="15.75" hidden="1" customHeight="1" x14ac:dyDescent="0.35">
      <c r="A3049" s="1">
        <v>3048</v>
      </c>
      <c r="B3049" s="1">
        <v>585</v>
      </c>
      <c r="C3049" s="1">
        <v>40</v>
      </c>
      <c r="D3049" t="str">
        <f>VLOOKUP(B3049,Заказы!A:C,3,0)</f>
        <v>2023-07-28 22:53:00</v>
      </c>
      <c r="E3049" t="str">
        <f>VLOOKUP(C3049,Меню!A:E,4,0)</f>
        <v>Десерт</v>
      </c>
      <c r="F3049">
        <f>VLOOKUP(C3049,Меню!A:E,5,0)</f>
        <v>150</v>
      </c>
    </row>
    <row r="3050" spans="1:6" ht="15.75" hidden="1" customHeight="1" x14ac:dyDescent="0.35">
      <c r="A3050" s="1">
        <v>3049</v>
      </c>
      <c r="B3050" s="1">
        <v>585</v>
      </c>
      <c r="C3050" s="1">
        <v>32</v>
      </c>
      <c r="D3050" t="str">
        <f>VLOOKUP(B3050,Заказы!A:C,3,0)</f>
        <v>2023-07-28 22:53:00</v>
      </c>
      <c r="E3050" t="str">
        <f>VLOOKUP(C3050,Меню!A:E,4,0)</f>
        <v>Десерт</v>
      </c>
      <c r="F3050">
        <f>VLOOKUP(C3050,Меню!A:E,5,0)</f>
        <v>150</v>
      </c>
    </row>
    <row r="3051" spans="1:6" ht="15.75" hidden="1" customHeight="1" x14ac:dyDescent="0.35">
      <c r="A3051" s="1">
        <v>3050</v>
      </c>
      <c r="B3051" s="1">
        <v>586</v>
      </c>
      <c r="C3051" s="1">
        <v>24</v>
      </c>
      <c r="D3051" t="str">
        <f>VLOOKUP(B3051,Заказы!A:C,3,0)</f>
        <v>2023-07-29 15:22:00</v>
      </c>
      <c r="E3051" t="str">
        <f>VLOOKUP(C3051,Меню!A:E,4,0)</f>
        <v>Салат</v>
      </c>
      <c r="F3051">
        <f>VLOOKUP(C3051,Меню!A:E,5,0)</f>
        <v>250</v>
      </c>
    </row>
    <row r="3052" spans="1:6" ht="15.75" hidden="1" customHeight="1" x14ac:dyDescent="0.35">
      <c r="A3052" s="1">
        <v>3051</v>
      </c>
      <c r="B3052" s="1">
        <v>586</v>
      </c>
      <c r="C3052" s="1">
        <v>52</v>
      </c>
      <c r="D3052" t="str">
        <f>VLOOKUP(B3052,Заказы!A:C,3,0)</f>
        <v>2023-07-29 15:22:00</v>
      </c>
      <c r="E3052" t="str">
        <f>VLOOKUP(C3052,Меню!A:E,4,0)</f>
        <v>Суши</v>
      </c>
      <c r="F3052">
        <f>VLOOKUP(C3052,Меню!A:E,5,0)</f>
        <v>100</v>
      </c>
    </row>
    <row r="3053" spans="1:6" ht="15.75" hidden="1" customHeight="1" x14ac:dyDescent="0.35">
      <c r="A3053" s="1">
        <v>3052</v>
      </c>
      <c r="B3053" s="1">
        <v>586</v>
      </c>
      <c r="C3053" s="1">
        <v>4</v>
      </c>
      <c r="D3053" t="str">
        <f>VLOOKUP(B3053,Заказы!A:C,3,0)</f>
        <v>2023-07-29 15:22:00</v>
      </c>
      <c r="E3053" t="str">
        <f>VLOOKUP(C3053,Меню!A:E,4,0)</f>
        <v>Завтрак</v>
      </c>
      <c r="F3053">
        <f>VLOOKUP(C3053,Меню!A:E,5,0)</f>
        <v>180</v>
      </c>
    </row>
    <row r="3054" spans="1:6" ht="15.75" hidden="1" customHeight="1" x14ac:dyDescent="0.35">
      <c r="A3054" s="1">
        <v>3053</v>
      </c>
      <c r="B3054" s="1">
        <v>586</v>
      </c>
      <c r="C3054" s="1">
        <v>32</v>
      </c>
      <c r="D3054" t="str">
        <f>VLOOKUP(B3054,Заказы!A:C,3,0)</f>
        <v>2023-07-29 15:22:00</v>
      </c>
      <c r="E3054" t="str">
        <f>VLOOKUP(C3054,Меню!A:E,4,0)</f>
        <v>Десерт</v>
      </c>
      <c r="F3054">
        <f>VLOOKUP(C3054,Меню!A:E,5,0)</f>
        <v>150</v>
      </c>
    </row>
    <row r="3055" spans="1:6" ht="15.75" hidden="1" customHeight="1" x14ac:dyDescent="0.35">
      <c r="A3055" s="1">
        <v>3054</v>
      </c>
      <c r="B3055" s="1">
        <v>586</v>
      </c>
      <c r="C3055" s="1">
        <v>54</v>
      </c>
      <c r="D3055" t="str">
        <f>VLOOKUP(B3055,Заказы!A:C,3,0)</f>
        <v>2023-07-29 15:22:00</v>
      </c>
      <c r="E3055" t="str">
        <f>VLOOKUP(C3055,Меню!A:E,4,0)</f>
        <v>Суши</v>
      </c>
      <c r="F3055">
        <f>VLOOKUP(C3055,Меню!A:E,5,0)</f>
        <v>100</v>
      </c>
    </row>
    <row r="3056" spans="1:6" ht="15.75" hidden="1" customHeight="1" x14ac:dyDescent="0.35">
      <c r="A3056" s="1">
        <v>3055</v>
      </c>
      <c r="B3056" s="1">
        <v>587</v>
      </c>
      <c r="C3056" s="1">
        <v>10</v>
      </c>
      <c r="D3056" t="str">
        <f>VLOOKUP(B3056,Заказы!A:C,3,0)</f>
        <v>2023-07-29 17:08:00</v>
      </c>
      <c r="E3056" t="str">
        <f>VLOOKUP(C3056,Меню!A:E,4,0)</f>
        <v>Завтрак</v>
      </c>
      <c r="F3056">
        <f>VLOOKUP(C3056,Меню!A:E,5,0)</f>
        <v>200</v>
      </c>
    </row>
    <row r="3057" spans="1:6" ht="15.75" hidden="1" customHeight="1" x14ac:dyDescent="0.35">
      <c r="A3057" s="1">
        <v>3056</v>
      </c>
      <c r="B3057" s="1">
        <v>587</v>
      </c>
      <c r="C3057" s="1">
        <v>19</v>
      </c>
      <c r="D3057" t="str">
        <f>VLOOKUP(B3057,Заказы!A:C,3,0)</f>
        <v>2023-07-29 17:08:00</v>
      </c>
      <c r="E3057" t="str">
        <f>VLOOKUP(C3057,Меню!A:E,4,0)</f>
        <v>Первое</v>
      </c>
      <c r="F3057">
        <f>VLOOKUP(C3057,Меню!A:E,5,0)</f>
        <v>300</v>
      </c>
    </row>
    <row r="3058" spans="1:6" ht="15.75" hidden="1" customHeight="1" x14ac:dyDescent="0.35">
      <c r="A3058" s="1">
        <v>3057</v>
      </c>
      <c r="B3058" s="1">
        <v>588</v>
      </c>
      <c r="C3058" s="1">
        <v>50</v>
      </c>
      <c r="D3058" t="str">
        <f>VLOOKUP(B3058,Заказы!A:C,3,0)</f>
        <v>2023-07-29 21:39:00</v>
      </c>
      <c r="E3058" t="str">
        <f>VLOOKUP(C3058,Меню!A:E,4,0)</f>
        <v>Суши</v>
      </c>
      <c r="F3058">
        <f>VLOOKUP(C3058,Меню!A:E,5,0)</f>
        <v>200</v>
      </c>
    </row>
    <row r="3059" spans="1:6" ht="15.75" hidden="1" customHeight="1" x14ac:dyDescent="0.35">
      <c r="A3059" s="1">
        <v>3058</v>
      </c>
      <c r="B3059" s="1">
        <v>588</v>
      </c>
      <c r="C3059" s="1">
        <v>7</v>
      </c>
      <c r="D3059" t="str">
        <f>VLOOKUP(B3059,Заказы!A:C,3,0)</f>
        <v>2023-07-29 21:39:00</v>
      </c>
      <c r="E3059" t="str">
        <f>VLOOKUP(C3059,Меню!A:E,4,0)</f>
        <v>Завтрак</v>
      </c>
      <c r="F3059">
        <f>VLOOKUP(C3059,Меню!A:E,5,0)</f>
        <v>200</v>
      </c>
    </row>
    <row r="3060" spans="1:6" ht="15.75" hidden="1" customHeight="1" x14ac:dyDescent="0.35">
      <c r="A3060" s="1">
        <v>3059</v>
      </c>
      <c r="B3060" s="1">
        <v>588</v>
      </c>
      <c r="C3060" s="1">
        <v>8</v>
      </c>
      <c r="D3060" t="str">
        <f>VLOOKUP(B3060,Заказы!A:C,3,0)</f>
        <v>2023-07-29 21:39:00</v>
      </c>
      <c r="E3060" t="str">
        <f>VLOOKUP(C3060,Меню!A:E,4,0)</f>
        <v>Завтрак</v>
      </c>
      <c r="F3060">
        <f>VLOOKUP(C3060,Меню!A:E,5,0)</f>
        <v>180</v>
      </c>
    </row>
    <row r="3061" spans="1:6" ht="15.75" hidden="1" customHeight="1" x14ac:dyDescent="0.35">
      <c r="A3061" s="1">
        <v>3060</v>
      </c>
      <c r="B3061" s="1">
        <v>588</v>
      </c>
      <c r="C3061" s="1">
        <v>35</v>
      </c>
      <c r="D3061" t="str">
        <f>VLOOKUP(B3061,Заказы!A:C,3,0)</f>
        <v>2023-07-29 21:39:00</v>
      </c>
      <c r="E3061" t="str">
        <f>VLOOKUP(C3061,Меню!A:E,4,0)</f>
        <v>Десерт</v>
      </c>
      <c r="F3061">
        <f>VLOOKUP(C3061,Меню!A:E,5,0)</f>
        <v>150</v>
      </c>
    </row>
    <row r="3062" spans="1:6" ht="15.75" hidden="1" customHeight="1" x14ac:dyDescent="0.35">
      <c r="A3062" s="1">
        <v>3061</v>
      </c>
      <c r="B3062" s="1">
        <v>588</v>
      </c>
      <c r="C3062" s="1">
        <v>48</v>
      </c>
      <c r="D3062" t="str">
        <f>VLOOKUP(B3062,Заказы!A:C,3,0)</f>
        <v>2023-07-29 21:39:00</v>
      </c>
      <c r="E3062" t="str">
        <f>VLOOKUP(C3062,Меню!A:E,4,0)</f>
        <v>Суши</v>
      </c>
      <c r="F3062">
        <f>VLOOKUP(C3062,Меню!A:E,5,0)</f>
        <v>200</v>
      </c>
    </row>
    <row r="3063" spans="1:6" ht="15.75" hidden="1" customHeight="1" x14ac:dyDescent="0.35">
      <c r="A3063" s="1">
        <v>3062</v>
      </c>
      <c r="B3063" s="1">
        <v>588</v>
      </c>
      <c r="C3063" s="1">
        <v>31</v>
      </c>
      <c r="D3063" t="str">
        <f>VLOOKUP(B3063,Заказы!A:C,3,0)</f>
        <v>2023-07-29 21:39:00</v>
      </c>
      <c r="E3063" t="str">
        <f>VLOOKUP(C3063,Меню!A:E,4,0)</f>
        <v>Десерт</v>
      </c>
      <c r="F3063">
        <f>VLOOKUP(C3063,Меню!A:E,5,0)</f>
        <v>150</v>
      </c>
    </row>
    <row r="3064" spans="1:6" ht="15.75" hidden="1" customHeight="1" x14ac:dyDescent="0.35">
      <c r="A3064" s="1">
        <v>3063</v>
      </c>
      <c r="B3064" s="1">
        <v>588</v>
      </c>
      <c r="C3064" s="1">
        <v>35</v>
      </c>
      <c r="D3064" t="str">
        <f>VLOOKUP(B3064,Заказы!A:C,3,0)</f>
        <v>2023-07-29 21:39:00</v>
      </c>
      <c r="E3064" t="str">
        <f>VLOOKUP(C3064,Меню!A:E,4,0)</f>
        <v>Десерт</v>
      </c>
      <c r="F3064">
        <f>VLOOKUP(C3064,Меню!A:E,5,0)</f>
        <v>150</v>
      </c>
    </row>
    <row r="3065" spans="1:6" ht="15.75" hidden="1" customHeight="1" x14ac:dyDescent="0.35">
      <c r="A3065" s="1">
        <v>3064</v>
      </c>
      <c r="B3065" s="1">
        <v>588</v>
      </c>
      <c r="C3065" s="1">
        <v>20</v>
      </c>
      <c r="D3065" t="str">
        <f>VLOOKUP(B3065,Заказы!A:C,3,0)</f>
        <v>2023-07-29 21:39:00</v>
      </c>
      <c r="E3065" t="str">
        <f>VLOOKUP(C3065,Меню!A:E,4,0)</f>
        <v>Первое</v>
      </c>
      <c r="F3065">
        <f>VLOOKUP(C3065,Меню!A:E,5,0)</f>
        <v>250</v>
      </c>
    </row>
    <row r="3066" spans="1:6" ht="15.75" hidden="1" customHeight="1" x14ac:dyDescent="0.35">
      <c r="A3066" s="1">
        <v>3065</v>
      </c>
      <c r="B3066" s="1">
        <v>588</v>
      </c>
      <c r="C3066" s="1">
        <v>32</v>
      </c>
      <c r="D3066" t="str">
        <f>VLOOKUP(B3066,Заказы!A:C,3,0)</f>
        <v>2023-07-29 21:39:00</v>
      </c>
      <c r="E3066" t="str">
        <f>VLOOKUP(C3066,Меню!A:E,4,0)</f>
        <v>Десерт</v>
      </c>
      <c r="F3066">
        <f>VLOOKUP(C3066,Меню!A:E,5,0)</f>
        <v>150</v>
      </c>
    </row>
    <row r="3067" spans="1:6" ht="15.75" hidden="1" customHeight="1" x14ac:dyDescent="0.35">
      <c r="A3067" s="1">
        <v>3066</v>
      </c>
      <c r="B3067" s="1">
        <v>588</v>
      </c>
      <c r="C3067" s="1">
        <v>37</v>
      </c>
      <c r="D3067" t="str">
        <f>VLOOKUP(B3067,Заказы!A:C,3,0)</f>
        <v>2023-07-29 21:39:00</v>
      </c>
      <c r="E3067" t="str">
        <f>VLOOKUP(C3067,Меню!A:E,4,0)</f>
        <v>Десерт</v>
      </c>
      <c r="F3067">
        <f>VLOOKUP(C3067,Меню!A:E,5,0)</f>
        <v>100</v>
      </c>
    </row>
    <row r="3068" spans="1:6" ht="15.75" hidden="1" customHeight="1" x14ac:dyDescent="0.35">
      <c r="A3068" s="1">
        <v>3067</v>
      </c>
      <c r="B3068" s="1">
        <v>589</v>
      </c>
      <c r="C3068" s="1">
        <v>48</v>
      </c>
      <c r="D3068" t="str">
        <f>VLOOKUP(B3068,Заказы!A:C,3,0)</f>
        <v>2023-07-30 17:11:00</v>
      </c>
      <c r="E3068" t="str">
        <f>VLOOKUP(C3068,Меню!A:E,4,0)</f>
        <v>Суши</v>
      </c>
      <c r="F3068">
        <f>VLOOKUP(C3068,Меню!A:E,5,0)</f>
        <v>200</v>
      </c>
    </row>
    <row r="3069" spans="1:6" ht="15.75" hidden="1" customHeight="1" x14ac:dyDescent="0.35">
      <c r="A3069" s="1">
        <v>3068</v>
      </c>
      <c r="B3069" s="1">
        <v>589</v>
      </c>
      <c r="C3069" s="1">
        <v>29</v>
      </c>
      <c r="D3069" t="str">
        <f>VLOOKUP(B3069,Заказы!A:C,3,0)</f>
        <v>2023-07-30 17:11:00</v>
      </c>
      <c r="E3069" t="str">
        <f>VLOOKUP(C3069,Меню!A:E,4,0)</f>
        <v>Салат</v>
      </c>
      <c r="F3069">
        <f>VLOOKUP(C3069,Меню!A:E,5,0)</f>
        <v>250</v>
      </c>
    </row>
    <row r="3070" spans="1:6" ht="15.75" hidden="1" customHeight="1" x14ac:dyDescent="0.35">
      <c r="A3070" s="1">
        <v>3069</v>
      </c>
      <c r="B3070" s="1">
        <v>589</v>
      </c>
      <c r="C3070" s="1">
        <v>26</v>
      </c>
      <c r="D3070" t="str">
        <f>VLOOKUP(B3070,Заказы!A:C,3,0)</f>
        <v>2023-07-30 17:11:00</v>
      </c>
      <c r="E3070" t="str">
        <f>VLOOKUP(C3070,Меню!A:E,4,0)</f>
        <v>Салат</v>
      </c>
      <c r="F3070">
        <f>VLOOKUP(C3070,Меню!A:E,5,0)</f>
        <v>250</v>
      </c>
    </row>
    <row r="3071" spans="1:6" ht="15.75" hidden="1" customHeight="1" x14ac:dyDescent="0.35">
      <c r="A3071" s="1">
        <v>3070</v>
      </c>
      <c r="B3071" s="1">
        <v>589</v>
      </c>
      <c r="C3071" s="1">
        <v>21</v>
      </c>
      <c r="D3071" t="str">
        <f>VLOOKUP(B3071,Заказы!A:C,3,0)</f>
        <v>2023-07-30 17:11:00</v>
      </c>
      <c r="E3071" t="str">
        <f>VLOOKUP(C3071,Меню!A:E,4,0)</f>
        <v>Салат</v>
      </c>
      <c r="F3071">
        <f>VLOOKUP(C3071,Меню!A:E,5,0)</f>
        <v>250</v>
      </c>
    </row>
    <row r="3072" spans="1:6" ht="15.75" hidden="1" customHeight="1" x14ac:dyDescent="0.35">
      <c r="A3072" s="1">
        <v>3071</v>
      </c>
      <c r="B3072" s="1">
        <v>589</v>
      </c>
      <c r="C3072" s="1">
        <v>56</v>
      </c>
      <c r="D3072" t="str">
        <f>VLOOKUP(B3072,Заказы!A:C,3,0)</f>
        <v>2023-07-30 17:11:00</v>
      </c>
      <c r="E3072" t="str">
        <f>VLOOKUP(C3072,Меню!A:E,4,0)</f>
        <v>Суши</v>
      </c>
      <c r="F3072">
        <f>VLOOKUP(C3072,Меню!A:E,5,0)</f>
        <v>200</v>
      </c>
    </row>
    <row r="3073" spans="1:6" ht="15.75" hidden="1" customHeight="1" x14ac:dyDescent="0.35">
      <c r="A3073" s="1">
        <v>3072</v>
      </c>
      <c r="B3073" s="1">
        <v>589</v>
      </c>
      <c r="C3073" s="1">
        <v>18</v>
      </c>
      <c r="D3073" t="str">
        <f>VLOOKUP(B3073,Заказы!A:C,3,0)</f>
        <v>2023-07-30 17:11:00</v>
      </c>
      <c r="E3073" t="str">
        <f>VLOOKUP(C3073,Меню!A:E,4,0)</f>
        <v>Первое</v>
      </c>
      <c r="F3073">
        <f>VLOOKUP(C3073,Меню!A:E,5,0)</f>
        <v>300</v>
      </c>
    </row>
    <row r="3074" spans="1:6" ht="15.75" hidden="1" customHeight="1" x14ac:dyDescent="0.35">
      <c r="A3074" s="1">
        <v>3073</v>
      </c>
      <c r="B3074" s="1">
        <v>590</v>
      </c>
      <c r="C3074" s="1">
        <v>39</v>
      </c>
      <c r="D3074" t="str">
        <f>VLOOKUP(B3074,Заказы!A:C,3,0)</f>
        <v>2023-07-30 21:11:00</v>
      </c>
      <c r="E3074" t="str">
        <f>VLOOKUP(C3074,Меню!A:E,4,0)</f>
        <v>Десерт</v>
      </c>
      <c r="F3074">
        <f>VLOOKUP(C3074,Меню!A:E,5,0)</f>
        <v>150</v>
      </c>
    </row>
    <row r="3075" spans="1:6" ht="15.75" hidden="1" customHeight="1" x14ac:dyDescent="0.35">
      <c r="A3075" s="1">
        <v>3074</v>
      </c>
      <c r="B3075" s="1">
        <v>590</v>
      </c>
      <c r="C3075" s="1">
        <v>17</v>
      </c>
      <c r="D3075" t="str">
        <f>VLOOKUP(B3075,Заказы!A:C,3,0)</f>
        <v>2023-07-30 21:11:00</v>
      </c>
      <c r="E3075" t="str">
        <f>VLOOKUP(C3075,Меню!A:E,4,0)</f>
        <v>Первое</v>
      </c>
      <c r="F3075">
        <f>VLOOKUP(C3075,Меню!A:E,5,0)</f>
        <v>250</v>
      </c>
    </row>
    <row r="3076" spans="1:6" ht="15.75" hidden="1" customHeight="1" x14ac:dyDescent="0.35">
      <c r="A3076" s="1">
        <v>3075</v>
      </c>
      <c r="B3076" s="1">
        <v>590</v>
      </c>
      <c r="C3076" s="1">
        <v>57</v>
      </c>
      <c r="D3076" t="str">
        <f>VLOOKUP(B3076,Заказы!A:C,3,0)</f>
        <v>2023-07-30 21:11:00</v>
      </c>
      <c r="E3076" t="str">
        <f>VLOOKUP(C3076,Меню!A:E,4,0)</f>
        <v>Суши</v>
      </c>
      <c r="F3076">
        <f>VLOOKUP(C3076,Меню!A:E,5,0)</f>
        <v>200</v>
      </c>
    </row>
    <row r="3077" spans="1:6" ht="15.75" hidden="1" customHeight="1" x14ac:dyDescent="0.35">
      <c r="A3077" s="1">
        <v>3076</v>
      </c>
      <c r="B3077" s="1">
        <v>590</v>
      </c>
      <c r="C3077" s="1">
        <v>48</v>
      </c>
      <c r="D3077" t="str">
        <f>VLOOKUP(B3077,Заказы!A:C,3,0)</f>
        <v>2023-07-30 21:11:00</v>
      </c>
      <c r="E3077" t="str">
        <f>VLOOKUP(C3077,Меню!A:E,4,0)</f>
        <v>Суши</v>
      </c>
      <c r="F3077">
        <f>VLOOKUP(C3077,Меню!A:E,5,0)</f>
        <v>200</v>
      </c>
    </row>
    <row r="3078" spans="1:6" ht="15.75" hidden="1" customHeight="1" x14ac:dyDescent="0.35">
      <c r="A3078" s="1">
        <v>3077</v>
      </c>
      <c r="B3078" s="1">
        <v>591</v>
      </c>
      <c r="C3078" s="1">
        <v>20</v>
      </c>
      <c r="D3078" t="str">
        <f>VLOOKUP(B3078,Заказы!A:C,3,0)</f>
        <v>2023-07-30 22:59:00</v>
      </c>
      <c r="E3078" t="str">
        <f>VLOOKUP(C3078,Меню!A:E,4,0)</f>
        <v>Первое</v>
      </c>
      <c r="F3078">
        <f>VLOOKUP(C3078,Меню!A:E,5,0)</f>
        <v>250</v>
      </c>
    </row>
    <row r="3079" spans="1:6" ht="15.75" hidden="1" customHeight="1" x14ac:dyDescent="0.35">
      <c r="A3079" s="1">
        <v>3078</v>
      </c>
      <c r="B3079" s="1">
        <v>591</v>
      </c>
      <c r="C3079" s="1">
        <v>21</v>
      </c>
      <c r="D3079" t="str">
        <f>VLOOKUP(B3079,Заказы!A:C,3,0)</f>
        <v>2023-07-30 22:59:00</v>
      </c>
      <c r="E3079" t="str">
        <f>VLOOKUP(C3079,Меню!A:E,4,0)</f>
        <v>Салат</v>
      </c>
      <c r="F3079">
        <f>VLOOKUP(C3079,Меню!A:E,5,0)</f>
        <v>250</v>
      </c>
    </row>
    <row r="3080" spans="1:6" ht="15.75" hidden="1" customHeight="1" x14ac:dyDescent="0.35">
      <c r="A3080" s="1">
        <v>3079</v>
      </c>
      <c r="B3080" s="1">
        <v>592</v>
      </c>
      <c r="C3080" s="1">
        <v>41</v>
      </c>
      <c r="D3080" t="str">
        <f>VLOOKUP(B3080,Заказы!A:C,3,0)</f>
        <v>2023-07-31 16:57:00</v>
      </c>
      <c r="E3080" t="str">
        <f>VLOOKUP(C3080,Меню!A:E,4,0)</f>
        <v>Суши</v>
      </c>
      <c r="F3080">
        <f>VLOOKUP(C3080,Меню!A:E,5,0)</f>
        <v>220</v>
      </c>
    </row>
    <row r="3081" spans="1:6" ht="15.75" hidden="1" customHeight="1" x14ac:dyDescent="0.35">
      <c r="A3081" s="1">
        <v>3080</v>
      </c>
      <c r="B3081" s="1">
        <v>592</v>
      </c>
      <c r="C3081" s="1">
        <v>39</v>
      </c>
      <c r="D3081" t="str">
        <f>VLOOKUP(B3081,Заказы!A:C,3,0)</f>
        <v>2023-07-31 16:57:00</v>
      </c>
      <c r="E3081" t="str">
        <f>VLOOKUP(C3081,Меню!A:E,4,0)</f>
        <v>Десерт</v>
      </c>
      <c r="F3081">
        <f>VLOOKUP(C3081,Меню!A:E,5,0)</f>
        <v>150</v>
      </c>
    </row>
    <row r="3082" spans="1:6" ht="15.75" hidden="1" customHeight="1" x14ac:dyDescent="0.35">
      <c r="A3082" s="1">
        <v>3081</v>
      </c>
      <c r="B3082" s="1">
        <v>592</v>
      </c>
      <c r="C3082" s="1">
        <v>38</v>
      </c>
      <c r="D3082" t="str">
        <f>VLOOKUP(B3082,Заказы!A:C,3,0)</f>
        <v>2023-07-31 16:57:00</v>
      </c>
      <c r="E3082" t="str">
        <f>VLOOKUP(C3082,Меню!A:E,4,0)</f>
        <v>Десерт</v>
      </c>
      <c r="F3082">
        <f>VLOOKUP(C3082,Меню!A:E,5,0)</f>
        <v>150</v>
      </c>
    </row>
    <row r="3083" spans="1:6" ht="15.75" hidden="1" customHeight="1" x14ac:dyDescent="0.35">
      <c r="A3083" s="1">
        <v>3082</v>
      </c>
      <c r="B3083" s="1">
        <v>592</v>
      </c>
      <c r="C3083" s="1">
        <v>52</v>
      </c>
      <c r="D3083" t="str">
        <f>VLOOKUP(B3083,Заказы!A:C,3,0)</f>
        <v>2023-07-31 16:57:00</v>
      </c>
      <c r="E3083" t="str">
        <f>VLOOKUP(C3083,Меню!A:E,4,0)</f>
        <v>Суши</v>
      </c>
      <c r="F3083">
        <f>VLOOKUP(C3083,Меню!A:E,5,0)</f>
        <v>100</v>
      </c>
    </row>
    <row r="3084" spans="1:6" ht="15.75" hidden="1" customHeight="1" x14ac:dyDescent="0.35">
      <c r="A3084" s="1">
        <v>3083</v>
      </c>
      <c r="B3084" s="1">
        <v>592</v>
      </c>
      <c r="C3084" s="1">
        <v>52</v>
      </c>
      <c r="D3084" t="str">
        <f>VLOOKUP(B3084,Заказы!A:C,3,0)</f>
        <v>2023-07-31 16:57:00</v>
      </c>
      <c r="E3084" t="str">
        <f>VLOOKUP(C3084,Меню!A:E,4,0)</f>
        <v>Суши</v>
      </c>
      <c r="F3084">
        <f>VLOOKUP(C3084,Меню!A:E,5,0)</f>
        <v>100</v>
      </c>
    </row>
    <row r="3085" spans="1:6" ht="15.75" hidden="1" customHeight="1" x14ac:dyDescent="0.35">
      <c r="A3085" s="1">
        <v>3084</v>
      </c>
      <c r="B3085" s="1">
        <v>592</v>
      </c>
      <c r="C3085" s="1">
        <v>2</v>
      </c>
      <c r="D3085" t="str">
        <f>VLOOKUP(B3085,Заказы!A:C,3,0)</f>
        <v>2023-07-31 16:57:00</v>
      </c>
      <c r="E3085" t="str">
        <f>VLOOKUP(C3085,Меню!A:E,4,0)</f>
        <v>Завтрак</v>
      </c>
      <c r="F3085">
        <f>VLOOKUP(C3085,Меню!A:E,5,0)</f>
        <v>250</v>
      </c>
    </row>
    <row r="3086" spans="1:6" ht="15.75" hidden="1" customHeight="1" x14ac:dyDescent="0.35">
      <c r="A3086" s="1">
        <v>3085</v>
      </c>
      <c r="B3086" s="1">
        <v>592</v>
      </c>
      <c r="C3086" s="1">
        <v>33</v>
      </c>
      <c r="D3086" t="str">
        <f>VLOOKUP(B3086,Заказы!A:C,3,0)</f>
        <v>2023-07-31 16:57:00</v>
      </c>
      <c r="E3086" t="str">
        <f>VLOOKUP(C3086,Меню!A:E,4,0)</f>
        <v>Десерт</v>
      </c>
      <c r="F3086">
        <f>VLOOKUP(C3086,Меню!A:E,5,0)</f>
        <v>150</v>
      </c>
    </row>
    <row r="3087" spans="1:6" ht="15.75" hidden="1" customHeight="1" x14ac:dyDescent="0.35">
      <c r="A3087" s="1">
        <v>3086</v>
      </c>
      <c r="B3087" s="1">
        <v>593</v>
      </c>
      <c r="C3087" s="1">
        <v>32</v>
      </c>
      <c r="D3087" t="str">
        <f>VLOOKUP(B3087,Заказы!A:C,3,0)</f>
        <v>2023-07-31 18:39:00</v>
      </c>
      <c r="E3087" t="str">
        <f>VLOOKUP(C3087,Меню!A:E,4,0)</f>
        <v>Десерт</v>
      </c>
      <c r="F3087">
        <f>VLOOKUP(C3087,Меню!A:E,5,0)</f>
        <v>150</v>
      </c>
    </row>
    <row r="3088" spans="1:6" ht="15.75" hidden="1" customHeight="1" x14ac:dyDescent="0.35">
      <c r="A3088" s="1">
        <v>3087</v>
      </c>
      <c r="B3088" s="1">
        <v>593</v>
      </c>
      <c r="C3088" s="1">
        <v>26</v>
      </c>
      <c r="D3088" t="str">
        <f>VLOOKUP(B3088,Заказы!A:C,3,0)</f>
        <v>2023-07-31 18:39:00</v>
      </c>
      <c r="E3088" t="str">
        <f>VLOOKUP(C3088,Меню!A:E,4,0)</f>
        <v>Салат</v>
      </c>
      <c r="F3088">
        <f>VLOOKUP(C3088,Меню!A:E,5,0)</f>
        <v>250</v>
      </c>
    </row>
    <row r="3089" spans="1:6" ht="15.75" hidden="1" customHeight="1" x14ac:dyDescent="0.35">
      <c r="A3089" s="1">
        <v>3088</v>
      </c>
      <c r="B3089" s="1">
        <v>593</v>
      </c>
      <c r="C3089" s="1">
        <v>43</v>
      </c>
      <c r="D3089" t="str">
        <f>VLOOKUP(B3089,Заказы!A:C,3,0)</f>
        <v>2023-07-31 18:39:00</v>
      </c>
      <c r="E3089" t="str">
        <f>VLOOKUP(C3089,Меню!A:E,4,0)</f>
        <v>Суши</v>
      </c>
      <c r="F3089">
        <f>VLOOKUP(C3089,Меню!A:E,5,0)</f>
        <v>250</v>
      </c>
    </row>
    <row r="3090" spans="1:6" ht="15.75" hidden="1" customHeight="1" x14ac:dyDescent="0.35">
      <c r="A3090" s="1">
        <v>3089</v>
      </c>
      <c r="B3090" s="1">
        <v>593</v>
      </c>
      <c r="C3090" s="1">
        <v>17</v>
      </c>
      <c r="D3090" t="str">
        <f>VLOOKUP(B3090,Заказы!A:C,3,0)</f>
        <v>2023-07-31 18:39:00</v>
      </c>
      <c r="E3090" t="str">
        <f>VLOOKUP(C3090,Меню!A:E,4,0)</f>
        <v>Первое</v>
      </c>
      <c r="F3090">
        <f>VLOOKUP(C3090,Меню!A:E,5,0)</f>
        <v>250</v>
      </c>
    </row>
    <row r="3091" spans="1:6" ht="15.75" hidden="1" customHeight="1" x14ac:dyDescent="0.35">
      <c r="A3091" s="1">
        <v>3090</v>
      </c>
      <c r="B3091" s="1">
        <v>593</v>
      </c>
      <c r="C3091" s="1">
        <v>18</v>
      </c>
      <c r="D3091" t="str">
        <f>VLOOKUP(B3091,Заказы!A:C,3,0)</f>
        <v>2023-07-31 18:39:00</v>
      </c>
      <c r="E3091" t="str">
        <f>VLOOKUP(C3091,Меню!A:E,4,0)</f>
        <v>Первое</v>
      </c>
      <c r="F3091">
        <f>VLOOKUP(C3091,Меню!A:E,5,0)</f>
        <v>300</v>
      </c>
    </row>
    <row r="3092" spans="1:6" ht="15.75" hidden="1" customHeight="1" x14ac:dyDescent="0.35">
      <c r="A3092" s="1">
        <v>3091</v>
      </c>
      <c r="B3092" s="1">
        <v>593</v>
      </c>
      <c r="C3092" s="1">
        <v>60</v>
      </c>
      <c r="D3092" t="str">
        <f>VLOOKUP(B3092,Заказы!A:C,3,0)</f>
        <v>2023-07-31 18:39:00</v>
      </c>
      <c r="E3092" t="str">
        <f>VLOOKUP(C3092,Меню!A:E,4,0)</f>
        <v>Суши</v>
      </c>
      <c r="F3092">
        <f>VLOOKUP(C3092,Меню!A:E,5,0)</f>
        <v>250</v>
      </c>
    </row>
    <row r="3093" spans="1:6" ht="15.75" hidden="1" customHeight="1" x14ac:dyDescent="0.35">
      <c r="A3093" s="1">
        <v>3092</v>
      </c>
      <c r="B3093" s="1">
        <v>593</v>
      </c>
      <c r="C3093" s="1">
        <v>35</v>
      </c>
      <c r="D3093" t="str">
        <f>VLOOKUP(B3093,Заказы!A:C,3,0)</f>
        <v>2023-07-31 18:39:00</v>
      </c>
      <c r="E3093" t="str">
        <f>VLOOKUP(C3093,Меню!A:E,4,0)</f>
        <v>Десерт</v>
      </c>
      <c r="F3093">
        <f>VLOOKUP(C3093,Меню!A:E,5,0)</f>
        <v>150</v>
      </c>
    </row>
    <row r="3094" spans="1:6" ht="15.75" hidden="1" customHeight="1" x14ac:dyDescent="0.35">
      <c r="A3094" s="1">
        <v>3093</v>
      </c>
      <c r="B3094" s="1">
        <v>593</v>
      </c>
      <c r="C3094" s="1">
        <v>23</v>
      </c>
      <c r="D3094" t="str">
        <f>VLOOKUP(B3094,Заказы!A:C,3,0)</f>
        <v>2023-07-31 18:39:00</v>
      </c>
      <c r="E3094" t="str">
        <f>VLOOKUP(C3094,Меню!A:E,4,0)</f>
        <v>Салат</v>
      </c>
      <c r="F3094">
        <f>VLOOKUP(C3094,Меню!A:E,5,0)</f>
        <v>250</v>
      </c>
    </row>
    <row r="3095" spans="1:6" ht="15.75" hidden="1" customHeight="1" x14ac:dyDescent="0.35">
      <c r="A3095" s="1">
        <v>3094</v>
      </c>
      <c r="B3095" s="1">
        <v>594</v>
      </c>
      <c r="C3095" s="1">
        <v>23</v>
      </c>
      <c r="D3095" t="str">
        <f>VLOOKUP(B3095,Заказы!A:C,3,0)</f>
        <v>2023-07-31 20:04:00</v>
      </c>
      <c r="E3095" t="str">
        <f>VLOOKUP(C3095,Меню!A:E,4,0)</f>
        <v>Салат</v>
      </c>
      <c r="F3095">
        <f>VLOOKUP(C3095,Меню!A:E,5,0)</f>
        <v>250</v>
      </c>
    </row>
    <row r="3096" spans="1:6" ht="15.75" hidden="1" customHeight="1" x14ac:dyDescent="0.35">
      <c r="A3096" s="1">
        <v>3095</v>
      </c>
      <c r="B3096" s="1">
        <v>594</v>
      </c>
      <c r="C3096" s="1">
        <v>53</v>
      </c>
      <c r="D3096" t="str">
        <f>VLOOKUP(B3096,Заказы!A:C,3,0)</f>
        <v>2023-07-31 20:04:00</v>
      </c>
      <c r="E3096" t="str">
        <f>VLOOKUP(C3096,Меню!A:E,4,0)</f>
        <v>Суши</v>
      </c>
      <c r="F3096">
        <f>VLOOKUP(C3096,Меню!A:E,5,0)</f>
        <v>100</v>
      </c>
    </row>
    <row r="3097" spans="1:6" ht="15.75" hidden="1" customHeight="1" x14ac:dyDescent="0.35">
      <c r="A3097" s="1">
        <v>3096</v>
      </c>
      <c r="B3097" s="1">
        <v>594</v>
      </c>
      <c r="C3097" s="1">
        <v>31</v>
      </c>
      <c r="D3097" t="str">
        <f>VLOOKUP(B3097,Заказы!A:C,3,0)</f>
        <v>2023-07-31 20:04:00</v>
      </c>
      <c r="E3097" t="str">
        <f>VLOOKUP(C3097,Меню!A:E,4,0)</f>
        <v>Десерт</v>
      </c>
      <c r="F3097">
        <f>VLOOKUP(C3097,Меню!A:E,5,0)</f>
        <v>150</v>
      </c>
    </row>
    <row r="3098" spans="1:6" ht="15.75" hidden="1" customHeight="1" x14ac:dyDescent="0.35">
      <c r="A3098" s="1">
        <v>3097</v>
      </c>
      <c r="B3098" s="1">
        <v>594</v>
      </c>
      <c r="C3098" s="1">
        <v>10</v>
      </c>
      <c r="D3098" t="str">
        <f>VLOOKUP(B3098,Заказы!A:C,3,0)</f>
        <v>2023-07-31 20:04:00</v>
      </c>
      <c r="E3098" t="str">
        <f>VLOOKUP(C3098,Меню!A:E,4,0)</f>
        <v>Завтрак</v>
      </c>
      <c r="F3098">
        <f>VLOOKUP(C3098,Меню!A:E,5,0)</f>
        <v>200</v>
      </c>
    </row>
    <row r="3099" spans="1:6" ht="15.75" hidden="1" customHeight="1" x14ac:dyDescent="0.35">
      <c r="A3099" s="1">
        <v>3098</v>
      </c>
      <c r="B3099" s="1">
        <v>594</v>
      </c>
      <c r="C3099" s="1">
        <v>31</v>
      </c>
      <c r="D3099" t="str">
        <f>VLOOKUP(B3099,Заказы!A:C,3,0)</f>
        <v>2023-07-31 20:04:00</v>
      </c>
      <c r="E3099" t="str">
        <f>VLOOKUP(C3099,Меню!A:E,4,0)</f>
        <v>Десерт</v>
      </c>
      <c r="F3099">
        <f>VLOOKUP(C3099,Меню!A:E,5,0)</f>
        <v>150</v>
      </c>
    </row>
    <row r="3100" spans="1:6" ht="15.75" hidden="1" customHeight="1" x14ac:dyDescent="0.35">
      <c r="A3100" s="1">
        <v>3099</v>
      </c>
      <c r="B3100" s="1">
        <v>594</v>
      </c>
      <c r="C3100" s="1">
        <v>36</v>
      </c>
      <c r="D3100" t="str">
        <f>VLOOKUP(B3100,Заказы!A:C,3,0)</f>
        <v>2023-07-31 20:04:00</v>
      </c>
      <c r="E3100" t="str">
        <f>VLOOKUP(C3100,Меню!A:E,4,0)</f>
        <v>Десерт</v>
      </c>
      <c r="F3100">
        <f>VLOOKUP(C3100,Меню!A:E,5,0)</f>
        <v>150</v>
      </c>
    </row>
    <row r="3101" spans="1:6" ht="15.75" hidden="1" customHeight="1" x14ac:dyDescent="0.35">
      <c r="A3101" s="1">
        <v>3100</v>
      </c>
      <c r="B3101" s="1">
        <v>594</v>
      </c>
      <c r="C3101" s="1">
        <v>5</v>
      </c>
      <c r="D3101" t="str">
        <f>VLOOKUP(B3101,Заказы!A:C,3,0)</f>
        <v>2023-07-31 20:04:00</v>
      </c>
      <c r="E3101" t="str">
        <f>VLOOKUP(C3101,Меню!A:E,4,0)</f>
        <v>Завтрак</v>
      </c>
      <c r="F3101">
        <f>VLOOKUP(C3101,Меню!A:E,5,0)</f>
        <v>220</v>
      </c>
    </row>
    <row r="3102" spans="1:6" ht="15.75" hidden="1" customHeight="1" x14ac:dyDescent="0.35">
      <c r="A3102" s="1">
        <v>3101</v>
      </c>
      <c r="B3102" s="1">
        <v>594</v>
      </c>
      <c r="C3102" s="1">
        <v>33</v>
      </c>
      <c r="D3102" t="str">
        <f>VLOOKUP(B3102,Заказы!A:C,3,0)</f>
        <v>2023-07-31 20:04:00</v>
      </c>
      <c r="E3102" t="str">
        <f>VLOOKUP(C3102,Меню!A:E,4,0)</f>
        <v>Десерт</v>
      </c>
      <c r="F3102">
        <f>VLOOKUP(C3102,Меню!A:E,5,0)</f>
        <v>150</v>
      </c>
    </row>
    <row r="3103" spans="1:6" ht="15.75" hidden="1" customHeight="1" x14ac:dyDescent="0.35">
      <c r="A3103" s="1">
        <v>3102</v>
      </c>
      <c r="B3103" s="1">
        <v>595</v>
      </c>
      <c r="C3103" s="1">
        <v>35</v>
      </c>
      <c r="D3103" t="str">
        <f>VLOOKUP(B3103,Заказы!A:C,3,0)</f>
        <v>2023-07-31 20:06:00</v>
      </c>
      <c r="E3103" t="str">
        <f>VLOOKUP(C3103,Меню!A:E,4,0)</f>
        <v>Десерт</v>
      </c>
      <c r="F3103">
        <f>VLOOKUP(C3103,Меню!A:E,5,0)</f>
        <v>150</v>
      </c>
    </row>
    <row r="3104" spans="1:6" ht="15.75" hidden="1" customHeight="1" x14ac:dyDescent="0.35">
      <c r="A3104" s="1">
        <v>3103</v>
      </c>
      <c r="B3104" s="1">
        <v>595</v>
      </c>
      <c r="C3104" s="1">
        <v>55</v>
      </c>
      <c r="D3104" t="str">
        <f>VLOOKUP(B3104,Заказы!A:C,3,0)</f>
        <v>2023-07-31 20:06:00</v>
      </c>
      <c r="E3104" t="str">
        <f>VLOOKUP(C3104,Меню!A:E,4,0)</f>
        <v>Суши</v>
      </c>
      <c r="F3104">
        <f>VLOOKUP(C3104,Меню!A:E,5,0)</f>
        <v>100</v>
      </c>
    </row>
    <row r="3105" spans="1:6" ht="15.75" hidden="1" customHeight="1" x14ac:dyDescent="0.35">
      <c r="A3105" s="1">
        <v>3104</v>
      </c>
      <c r="B3105" s="1">
        <v>595</v>
      </c>
      <c r="C3105" s="1">
        <v>38</v>
      </c>
      <c r="D3105" t="str">
        <f>VLOOKUP(B3105,Заказы!A:C,3,0)</f>
        <v>2023-07-31 20:06:00</v>
      </c>
      <c r="E3105" t="str">
        <f>VLOOKUP(C3105,Меню!A:E,4,0)</f>
        <v>Десерт</v>
      </c>
      <c r="F3105">
        <f>VLOOKUP(C3105,Меню!A:E,5,0)</f>
        <v>150</v>
      </c>
    </row>
    <row r="3106" spans="1:6" ht="15.75" hidden="1" customHeight="1" x14ac:dyDescent="0.35">
      <c r="A3106" s="1">
        <v>3105</v>
      </c>
      <c r="B3106" s="1">
        <v>595</v>
      </c>
      <c r="C3106" s="1">
        <v>25</v>
      </c>
      <c r="D3106" t="str">
        <f>VLOOKUP(B3106,Заказы!A:C,3,0)</f>
        <v>2023-07-31 20:06:00</v>
      </c>
      <c r="E3106" t="str">
        <f>VLOOKUP(C3106,Меню!A:E,4,0)</f>
        <v>Салат</v>
      </c>
      <c r="F3106">
        <f>VLOOKUP(C3106,Меню!A:E,5,0)</f>
        <v>250</v>
      </c>
    </row>
    <row r="3107" spans="1:6" ht="15.75" hidden="1" customHeight="1" x14ac:dyDescent="0.35">
      <c r="A3107" s="1">
        <v>3106</v>
      </c>
      <c r="B3107" s="1">
        <v>596</v>
      </c>
      <c r="C3107" s="1">
        <v>46</v>
      </c>
      <c r="D3107" t="str">
        <f>VLOOKUP(B3107,Заказы!A:C,3,0)</f>
        <v>2023-07-31 20:41:00</v>
      </c>
      <c r="E3107" t="str">
        <f>VLOOKUP(C3107,Меню!A:E,4,0)</f>
        <v>Суши</v>
      </c>
      <c r="F3107">
        <f>VLOOKUP(C3107,Меню!A:E,5,0)</f>
        <v>200</v>
      </c>
    </row>
    <row r="3108" spans="1:6" ht="15.75" hidden="1" customHeight="1" x14ac:dyDescent="0.35">
      <c r="A3108" s="1">
        <v>3107</v>
      </c>
      <c r="B3108" s="1">
        <v>596</v>
      </c>
      <c r="C3108" s="1">
        <v>47</v>
      </c>
      <c r="D3108" t="str">
        <f>VLOOKUP(B3108,Заказы!A:C,3,0)</f>
        <v>2023-07-31 20:41:00</v>
      </c>
      <c r="E3108" t="str">
        <f>VLOOKUP(C3108,Меню!A:E,4,0)</f>
        <v>Суши</v>
      </c>
      <c r="F3108">
        <f>VLOOKUP(C3108,Меню!A:E,5,0)</f>
        <v>200</v>
      </c>
    </row>
    <row r="3109" spans="1:6" ht="15.75" hidden="1" customHeight="1" x14ac:dyDescent="0.35">
      <c r="A3109" s="1">
        <v>3108</v>
      </c>
      <c r="B3109" s="1">
        <v>596</v>
      </c>
      <c r="C3109" s="1">
        <v>51</v>
      </c>
      <c r="D3109" t="str">
        <f>VLOOKUP(B3109,Заказы!A:C,3,0)</f>
        <v>2023-07-31 20:41:00</v>
      </c>
      <c r="E3109" t="str">
        <f>VLOOKUP(C3109,Меню!A:E,4,0)</f>
        <v>Суши</v>
      </c>
      <c r="F3109">
        <f>VLOOKUP(C3109,Меню!A:E,5,0)</f>
        <v>100</v>
      </c>
    </row>
    <row r="3110" spans="1:6" ht="15.75" hidden="1" customHeight="1" x14ac:dyDescent="0.35">
      <c r="A3110" s="1">
        <v>3109</v>
      </c>
      <c r="B3110" s="1">
        <v>596</v>
      </c>
      <c r="C3110" s="1">
        <v>27</v>
      </c>
      <c r="D3110" t="str">
        <f>VLOOKUP(B3110,Заказы!A:C,3,0)</f>
        <v>2023-07-31 20:41:00</v>
      </c>
      <c r="E3110" t="str">
        <f>VLOOKUP(C3110,Меню!A:E,4,0)</f>
        <v>Салат</v>
      </c>
      <c r="F3110">
        <f>VLOOKUP(C3110,Меню!A:E,5,0)</f>
        <v>250</v>
      </c>
    </row>
    <row r="3111" spans="1:6" ht="15.75" hidden="1" customHeight="1" x14ac:dyDescent="0.35">
      <c r="A3111" s="1">
        <v>3110</v>
      </c>
      <c r="B3111" s="1">
        <v>596</v>
      </c>
      <c r="C3111" s="1">
        <v>42</v>
      </c>
      <c r="D3111" t="str">
        <f>VLOOKUP(B3111,Заказы!A:C,3,0)</f>
        <v>2023-07-31 20:41:00</v>
      </c>
      <c r="E3111" t="str">
        <f>VLOOKUP(C3111,Меню!A:E,4,0)</f>
        <v>Суши</v>
      </c>
      <c r="F3111">
        <f>VLOOKUP(C3111,Меню!A:E,5,0)</f>
        <v>250</v>
      </c>
    </row>
    <row r="3112" spans="1:6" ht="15.75" hidden="1" customHeight="1" x14ac:dyDescent="0.35">
      <c r="A3112" s="1">
        <v>3111</v>
      </c>
      <c r="B3112" s="1">
        <v>597</v>
      </c>
      <c r="C3112" s="1">
        <v>50</v>
      </c>
      <c r="D3112" t="str">
        <f>VLOOKUP(B3112,Заказы!A:C,3,0)</f>
        <v>2023-07-31 22:25:00</v>
      </c>
      <c r="E3112" t="str">
        <f>VLOOKUP(C3112,Меню!A:E,4,0)</f>
        <v>Суши</v>
      </c>
      <c r="F3112">
        <f>VLOOKUP(C3112,Меню!A:E,5,0)</f>
        <v>200</v>
      </c>
    </row>
    <row r="3113" spans="1:6" ht="15.75" hidden="1" customHeight="1" x14ac:dyDescent="0.35">
      <c r="A3113" s="1">
        <v>3112</v>
      </c>
      <c r="B3113" s="1">
        <v>597</v>
      </c>
      <c r="C3113" s="1">
        <v>12</v>
      </c>
      <c r="D3113" t="str">
        <f>VLOOKUP(B3113,Заказы!A:C,3,0)</f>
        <v>2023-07-31 22:25:00</v>
      </c>
      <c r="E3113" t="str">
        <f>VLOOKUP(C3113,Меню!A:E,4,0)</f>
        <v>Первое</v>
      </c>
      <c r="F3113">
        <f>VLOOKUP(C3113,Меню!A:E,5,0)</f>
        <v>300</v>
      </c>
    </row>
    <row r="3114" spans="1:6" ht="15.75" hidden="1" customHeight="1" x14ac:dyDescent="0.35">
      <c r="A3114" s="1">
        <v>3113</v>
      </c>
      <c r="B3114" s="1">
        <v>597</v>
      </c>
      <c r="C3114" s="1">
        <v>56</v>
      </c>
      <c r="D3114" t="str">
        <f>VLOOKUP(B3114,Заказы!A:C,3,0)</f>
        <v>2023-07-31 22:25:00</v>
      </c>
      <c r="E3114" t="str">
        <f>VLOOKUP(C3114,Меню!A:E,4,0)</f>
        <v>Суши</v>
      </c>
      <c r="F3114">
        <f>VLOOKUP(C3114,Меню!A:E,5,0)</f>
        <v>200</v>
      </c>
    </row>
    <row r="3115" spans="1:6" ht="15.75" hidden="1" customHeight="1" x14ac:dyDescent="0.35">
      <c r="A3115" s="1">
        <v>3114</v>
      </c>
      <c r="B3115" s="1">
        <v>598</v>
      </c>
      <c r="C3115" s="1">
        <v>1</v>
      </c>
      <c r="D3115" t="str">
        <f>VLOOKUP(B3115,Заказы!A:C,3,0)</f>
        <v>2023-07-31 22:49:00</v>
      </c>
      <c r="E3115" t="str">
        <f>VLOOKUP(C3115,Меню!A:E,4,0)</f>
        <v>Завтрак</v>
      </c>
      <c r="F3115">
        <f>VLOOKUP(C3115,Меню!A:E,5,0)</f>
        <v>200</v>
      </c>
    </row>
    <row r="3116" spans="1:6" ht="15.75" hidden="1" customHeight="1" x14ac:dyDescent="0.35">
      <c r="A3116" s="1">
        <v>3115</v>
      </c>
      <c r="B3116" s="1">
        <v>598</v>
      </c>
      <c r="C3116" s="1">
        <v>44</v>
      </c>
      <c r="D3116" t="str">
        <f>VLOOKUP(B3116,Заказы!A:C,3,0)</f>
        <v>2023-07-31 22:49:00</v>
      </c>
      <c r="E3116" t="str">
        <f>VLOOKUP(C3116,Меню!A:E,4,0)</f>
        <v>Суши</v>
      </c>
      <c r="F3116">
        <f>VLOOKUP(C3116,Меню!A:E,5,0)</f>
        <v>250</v>
      </c>
    </row>
    <row r="3117" spans="1:6" ht="15.75" hidden="1" customHeight="1" x14ac:dyDescent="0.35">
      <c r="A3117" s="1">
        <v>3116</v>
      </c>
      <c r="B3117" s="1">
        <v>598</v>
      </c>
      <c r="C3117" s="1">
        <v>6</v>
      </c>
      <c r="D3117" t="str">
        <f>VLOOKUP(B3117,Заказы!A:C,3,0)</f>
        <v>2023-07-31 22:49:00</v>
      </c>
      <c r="E3117" t="str">
        <f>VLOOKUP(C3117,Меню!A:E,4,0)</f>
        <v>Завтрак</v>
      </c>
      <c r="F3117">
        <f>VLOOKUP(C3117,Меню!A:E,5,0)</f>
        <v>300</v>
      </c>
    </row>
    <row r="3118" spans="1:6" ht="15.75" hidden="1" customHeight="1" x14ac:dyDescent="0.35">
      <c r="A3118" s="1">
        <v>3117</v>
      </c>
      <c r="B3118" s="1">
        <v>598</v>
      </c>
      <c r="C3118" s="1">
        <v>34</v>
      </c>
      <c r="D3118" t="str">
        <f>VLOOKUP(B3118,Заказы!A:C,3,0)</f>
        <v>2023-07-31 22:49:00</v>
      </c>
      <c r="E3118" t="str">
        <f>VLOOKUP(C3118,Меню!A:E,4,0)</f>
        <v>Десерт</v>
      </c>
      <c r="F3118">
        <f>VLOOKUP(C3118,Меню!A:E,5,0)</f>
        <v>150</v>
      </c>
    </row>
    <row r="3119" spans="1:6" ht="15.75" hidden="1" customHeight="1" x14ac:dyDescent="0.35">
      <c r="A3119" s="1">
        <v>3118</v>
      </c>
      <c r="B3119" s="1">
        <v>598</v>
      </c>
      <c r="C3119" s="1">
        <v>10</v>
      </c>
      <c r="D3119" t="str">
        <f>VLOOKUP(B3119,Заказы!A:C,3,0)</f>
        <v>2023-07-31 22:49:00</v>
      </c>
      <c r="E3119" t="str">
        <f>VLOOKUP(C3119,Меню!A:E,4,0)</f>
        <v>Завтрак</v>
      </c>
      <c r="F3119">
        <f>VLOOKUP(C3119,Меню!A:E,5,0)</f>
        <v>200</v>
      </c>
    </row>
    <row r="3120" spans="1:6" ht="15.75" hidden="1" customHeight="1" x14ac:dyDescent="0.35">
      <c r="A3120" s="1">
        <v>3119</v>
      </c>
      <c r="B3120" s="1">
        <v>598</v>
      </c>
      <c r="C3120" s="1">
        <v>32</v>
      </c>
      <c r="D3120" t="str">
        <f>VLOOKUP(B3120,Заказы!A:C,3,0)</f>
        <v>2023-07-31 22:49:00</v>
      </c>
      <c r="E3120" t="str">
        <f>VLOOKUP(C3120,Меню!A:E,4,0)</f>
        <v>Десерт</v>
      </c>
      <c r="F3120">
        <f>VLOOKUP(C3120,Меню!A:E,5,0)</f>
        <v>150</v>
      </c>
    </row>
    <row r="3121" spans="1:6" ht="15.75" hidden="1" customHeight="1" x14ac:dyDescent="0.35">
      <c r="A3121" s="1">
        <v>3120</v>
      </c>
      <c r="B3121" s="1">
        <v>599</v>
      </c>
      <c r="C3121" s="1">
        <v>48</v>
      </c>
      <c r="D3121" t="str">
        <f>VLOOKUP(B3121,Заказы!A:C,3,0)</f>
        <v>2023-08-01 17:55:00</v>
      </c>
      <c r="E3121" t="str">
        <f>VLOOKUP(C3121,Меню!A:E,4,0)</f>
        <v>Суши</v>
      </c>
      <c r="F3121">
        <f>VLOOKUP(C3121,Меню!A:E,5,0)</f>
        <v>200</v>
      </c>
    </row>
    <row r="3122" spans="1:6" ht="15.75" hidden="1" customHeight="1" x14ac:dyDescent="0.35">
      <c r="A3122" s="1">
        <v>3121</v>
      </c>
      <c r="B3122" s="1">
        <v>599</v>
      </c>
      <c r="C3122" s="1">
        <v>57</v>
      </c>
      <c r="D3122" t="str">
        <f>VLOOKUP(B3122,Заказы!A:C,3,0)</f>
        <v>2023-08-01 17:55:00</v>
      </c>
      <c r="E3122" t="str">
        <f>VLOOKUP(C3122,Меню!A:E,4,0)</f>
        <v>Суши</v>
      </c>
      <c r="F3122">
        <f>VLOOKUP(C3122,Меню!A:E,5,0)</f>
        <v>200</v>
      </c>
    </row>
    <row r="3123" spans="1:6" ht="15.75" hidden="1" customHeight="1" x14ac:dyDescent="0.35">
      <c r="A3123" s="1">
        <v>3122</v>
      </c>
      <c r="B3123" s="1">
        <v>599</v>
      </c>
      <c r="C3123" s="1">
        <v>15</v>
      </c>
      <c r="D3123" t="str">
        <f>VLOOKUP(B3123,Заказы!A:C,3,0)</f>
        <v>2023-08-01 17:55:00</v>
      </c>
      <c r="E3123" t="str">
        <f>VLOOKUP(C3123,Меню!A:E,4,0)</f>
        <v>Первое</v>
      </c>
      <c r="F3123">
        <f>VLOOKUP(C3123,Меню!A:E,5,0)</f>
        <v>250</v>
      </c>
    </row>
    <row r="3124" spans="1:6" ht="15.75" hidden="1" customHeight="1" x14ac:dyDescent="0.35">
      <c r="A3124" s="1">
        <v>3123</v>
      </c>
      <c r="B3124" s="1">
        <v>600</v>
      </c>
      <c r="C3124" s="1">
        <v>54</v>
      </c>
      <c r="D3124" t="str">
        <f>VLOOKUP(B3124,Заказы!A:C,3,0)</f>
        <v>2023-08-01 21:51:00</v>
      </c>
      <c r="E3124" t="str">
        <f>VLOOKUP(C3124,Меню!A:E,4,0)</f>
        <v>Суши</v>
      </c>
      <c r="F3124">
        <f>VLOOKUP(C3124,Меню!A:E,5,0)</f>
        <v>100</v>
      </c>
    </row>
    <row r="3125" spans="1:6" ht="15.75" hidden="1" customHeight="1" x14ac:dyDescent="0.35">
      <c r="A3125" s="1">
        <v>3124</v>
      </c>
      <c r="B3125" s="1">
        <v>600</v>
      </c>
      <c r="C3125" s="1">
        <v>23</v>
      </c>
      <c r="D3125" t="str">
        <f>VLOOKUP(B3125,Заказы!A:C,3,0)</f>
        <v>2023-08-01 21:51:00</v>
      </c>
      <c r="E3125" t="str">
        <f>VLOOKUP(C3125,Меню!A:E,4,0)</f>
        <v>Салат</v>
      </c>
      <c r="F3125">
        <f>VLOOKUP(C3125,Меню!A:E,5,0)</f>
        <v>250</v>
      </c>
    </row>
    <row r="3126" spans="1:6" ht="15.75" hidden="1" customHeight="1" x14ac:dyDescent="0.35">
      <c r="A3126" s="1">
        <v>3125</v>
      </c>
      <c r="B3126" s="1">
        <v>600</v>
      </c>
      <c r="C3126" s="1">
        <v>38</v>
      </c>
      <c r="D3126" t="str">
        <f>VLOOKUP(B3126,Заказы!A:C,3,0)</f>
        <v>2023-08-01 21:51:00</v>
      </c>
      <c r="E3126" t="str">
        <f>VLOOKUP(C3126,Меню!A:E,4,0)</f>
        <v>Десерт</v>
      </c>
      <c r="F3126">
        <f>VLOOKUP(C3126,Меню!A:E,5,0)</f>
        <v>150</v>
      </c>
    </row>
    <row r="3127" spans="1:6" ht="15.75" hidden="1" customHeight="1" x14ac:dyDescent="0.35">
      <c r="A3127" s="1">
        <v>3126</v>
      </c>
      <c r="B3127" s="1">
        <v>600</v>
      </c>
      <c r="C3127" s="1">
        <v>58</v>
      </c>
      <c r="D3127" t="str">
        <f>VLOOKUP(B3127,Заказы!A:C,3,0)</f>
        <v>2023-08-01 21:51:00</v>
      </c>
      <c r="E3127" t="str">
        <f>VLOOKUP(C3127,Меню!A:E,4,0)</f>
        <v>Суши</v>
      </c>
      <c r="F3127">
        <f>VLOOKUP(C3127,Меню!A:E,5,0)</f>
        <v>200</v>
      </c>
    </row>
    <row r="3128" spans="1:6" ht="15.75" hidden="1" customHeight="1" x14ac:dyDescent="0.35">
      <c r="A3128" s="1">
        <v>3127</v>
      </c>
      <c r="B3128" s="1">
        <v>600</v>
      </c>
      <c r="C3128" s="1">
        <v>20</v>
      </c>
      <c r="D3128" t="str">
        <f>VLOOKUP(B3128,Заказы!A:C,3,0)</f>
        <v>2023-08-01 21:51:00</v>
      </c>
      <c r="E3128" t="str">
        <f>VLOOKUP(C3128,Меню!A:E,4,0)</f>
        <v>Первое</v>
      </c>
      <c r="F3128">
        <f>VLOOKUP(C3128,Меню!A:E,5,0)</f>
        <v>250</v>
      </c>
    </row>
    <row r="3129" spans="1:6" ht="15.75" hidden="1" customHeight="1" x14ac:dyDescent="0.35">
      <c r="A3129" s="1">
        <v>3128</v>
      </c>
      <c r="B3129" s="1">
        <v>600</v>
      </c>
      <c r="C3129" s="1">
        <v>30</v>
      </c>
      <c r="D3129" t="str">
        <f>VLOOKUP(B3129,Заказы!A:C,3,0)</f>
        <v>2023-08-01 21:51:00</v>
      </c>
      <c r="E3129" t="str">
        <f>VLOOKUP(C3129,Меню!A:E,4,0)</f>
        <v>Салат</v>
      </c>
      <c r="F3129">
        <f>VLOOKUP(C3129,Меню!A:E,5,0)</f>
        <v>250</v>
      </c>
    </row>
    <row r="3130" spans="1:6" ht="15.75" hidden="1" customHeight="1" x14ac:dyDescent="0.35">
      <c r="A3130" s="1">
        <v>3129</v>
      </c>
      <c r="B3130" s="1">
        <v>600</v>
      </c>
      <c r="C3130" s="1">
        <v>7</v>
      </c>
      <c r="D3130" t="str">
        <f>VLOOKUP(B3130,Заказы!A:C,3,0)</f>
        <v>2023-08-01 21:51:00</v>
      </c>
      <c r="E3130" t="str">
        <f>VLOOKUP(C3130,Меню!A:E,4,0)</f>
        <v>Завтрак</v>
      </c>
      <c r="F3130">
        <f>VLOOKUP(C3130,Меню!A:E,5,0)</f>
        <v>200</v>
      </c>
    </row>
    <row r="3131" spans="1:6" ht="15.75" hidden="1" customHeight="1" x14ac:dyDescent="0.35">
      <c r="A3131" s="1">
        <v>3130</v>
      </c>
      <c r="B3131" s="1">
        <v>601</v>
      </c>
      <c r="C3131" s="1">
        <v>58</v>
      </c>
      <c r="D3131" t="str">
        <f>VLOOKUP(B3131,Заказы!A:C,3,0)</f>
        <v>2023-08-01 21:55:00</v>
      </c>
      <c r="E3131" t="str">
        <f>VLOOKUP(C3131,Меню!A:E,4,0)</f>
        <v>Суши</v>
      </c>
      <c r="F3131">
        <f>VLOOKUP(C3131,Меню!A:E,5,0)</f>
        <v>200</v>
      </c>
    </row>
    <row r="3132" spans="1:6" ht="15.75" hidden="1" customHeight="1" x14ac:dyDescent="0.35">
      <c r="A3132" s="1">
        <v>3131</v>
      </c>
      <c r="B3132" s="1">
        <v>601</v>
      </c>
      <c r="C3132" s="1">
        <v>2</v>
      </c>
      <c r="D3132" t="str">
        <f>VLOOKUP(B3132,Заказы!A:C,3,0)</f>
        <v>2023-08-01 21:55:00</v>
      </c>
      <c r="E3132" t="str">
        <f>VLOOKUP(C3132,Меню!A:E,4,0)</f>
        <v>Завтрак</v>
      </c>
      <c r="F3132">
        <f>VLOOKUP(C3132,Меню!A:E,5,0)</f>
        <v>250</v>
      </c>
    </row>
    <row r="3133" spans="1:6" ht="15.75" hidden="1" customHeight="1" x14ac:dyDescent="0.35">
      <c r="A3133" s="1">
        <v>3132</v>
      </c>
      <c r="B3133" s="1">
        <v>601</v>
      </c>
      <c r="C3133" s="1">
        <v>15</v>
      </c>
      <c r="D3133" t="str">
        <f>VLOOKUP(B3133,Заказы!A:C,3,0)</f>
        <v>2023-08-01 21:55:00</v>
      </c>
      <c r="E3133" t="str">
        <f>VLOOKUP(C3133,Меню!A:E,4,0)</f>
        <v>Первое</v>
      </c>
      <c r="F3133">
        <f>VLOOKUP(C3133,Меню!A:E,5,0)</f>
        <v>250</v>
      </c>
    </row>
    <row r="3134" spans="1:6" ht="15.75" hidden="1" customHeight="1" x14ac:dyDescent="0.35">
      <c r="A3134" s="1">
        <v>3133</v>
      </c>
      <c r="B3134" s="1">
        <v>601</v>
      </c>
      <c r="C3134" s="1">
        <v>13</v>
      </c>
      <c r="D3134" t="str">
        <f>VLOOKUP(B3134,Заказы!A:C,3,0)</f>
        <v>2023-08-01 21:55:00</v>
      </c>
      <c r="E3134" t="str">
        <f>VLOOKUP(C3134,Меню!A:E,4,0)</f>
        <v>Первое</v>
      </c>
      <c r="F3134">
        <f>VLOOKUP(C3134,Меню!A:E,5,0)</f>
        <v>280</v>
      </c>
    </row>
    <row r="3135" spans="1:6" ht="15.75" hidden="1" customHeight="1" x14ac:dyDescent="0.35">
      <c r="A3135" s="1">
        <v>3134</v>
      </c>
      <c r="B3135" s="1">
        <v>601</v>
      </c>
      <c r="C3135" s="1">
        <v>50</v>
      </c>
      <c r="D3135" t="str">
        <f>VLOOKUP(B3135,Заказы!A:C,3,0)</f>
        <v>2023-08-01 21:55:00</v>
      </c>
      <c r="E3135" t="str">
        <f>VLOOKUP(C3135,Меню!A:E,4,0)</f>
        <v>Суши</v>
      </c>
      <c r="F3135">
        <f>VLOOKUP(C3135,Меню!A:E,5,0)</f>
        <v>200</v>
      </c>
    </row>
    <row r="3136" spans="1:6" ht="15.75" hidden="1" customHeight="1" x14ac:dyDescent="0.35">
      <c r="A3136" s="1">
        <v>3135</v>
      </c>
      <c r="B3136" s="1">
        <v>601</v>
      </c>
      <c r="C3136" s="1">
        <v>43</v>
      </c>
      <c r="D3136" t="str">
        <f>VLOOKUP(B3136,Заказы!A:C,3,0)</f>
        <v>2023-08-01 21:55:00</v>
      </c>
      <c r="E3136" t="str">
        <f>VLOOKUP(C3136,Меню!A:E,4,0)</f>
        <v>Суши</v>
      </c>
      <c r="F3136">
        <f>VLOOKUP(C3136,Меню!A:E,5,0)</f>
        <v>250</v>
      </c>
    </row>
    <row r="3137" spans="1:6" ht="15.75" hidden="1" customHeight="1" x14ac:dyDescent="0.35">
      <c r="A3137" s="1">
        <v>3136</v>
      </c>
      <c r="B3137" s="1">
        <v>601</v>
      </c>
      <c r="C3137" s="1">
        <v>60</v>
      </c>
      <c r="D3137" t="str">
        <f>VLOOKUP(B3137,Заказы!A:C,3,0)</f>
        <v>2023-08-01 21:55:00</v>
      </c>
      <c r="E3137" t="str">
        <f>VLOOKUP(C3137,Меню!A:E,4,0)</f>
        <v>Суши</v>
      </c>
      <c r="F3137">
        <f>VLOOKUP(C3137,Меню!A:E,5,0)</f>
        <v>250</v>
      </c>
    </row>
    <row r="3138" spans="1:6" ht="15.75" hidden="1" customHeight="1" x14ac:dyDescent="0.35">
      <c r="A3138" s="1">
        <v>3137</v>
      </c>
      <c r="B3138" s="1">
        <v>601</v>
      </c>
      <c r="C3138" s="1">
        <v>47</v>
      </c>
      <c r="D3138" t="str">
        <f>VLOOKUP(B3138,Заказы!A:C,3,0)</f>
        <v>2023-08-01 21:55:00</v>
      </c>
      <c r="E3138" t="str">
        <f>VLOOKUP(C3138,Меню!A:E,4,0)</f>
        <v>Суши</v>
      </c>
      <c r="F3138">
        <f>VLOOKUP(C3138,Меню!A:E,5,0)</f>
        <v>200</v>
      </c>
    </row>
    <row r="3139" spans="1:6" ht="15.75" hidden="1" customHeight="1" x14ac:dyDescent="0.35">
      <c r="A3139" s="1">
        <v>3138</v>
      </c>
      <c r="B3139" s="1">
        <v>601</v>
      </c>
      <c r="C3139" s="1">
        <v>36</v>
      </c>
      <c r="D3139" t="str">
        <f>VLOOKUP(B3139,Заказы!A:C,3,0)</f>
        <v>2023-08-01 21:55:00</v>
      </c>
      <c r="E3139" t="str">
        <f>VLOOKUP(C3139,Меню!A:E,4,0)</f>
        <v>Десерт</v>
      </c>
      <c r="F3139">
        <f>VLOOKUP(C3139,Меню!A:E,5,0)</f>
        <v>150</v>
      </c>
    </row>
    <row r="3140" spans="1:6" ht="15.75" hidden="1" customHeight="1" x14ac:dyDescent="0.35">
      <c r="A3140" s="1">
        <v>3139</v>
      </c>
      <c r="B3140" s="1">
        <v>601</v>
      </c>
      <c r="C3140" s="1">
        <v>48</v>
      </c>
      <c r="D3140" t="str">
        <f>VLOOKUP(B3140,Заказы!A:C,3,0)</f>
        <v>2023-08-01 21:55:00</v>
      </c>
      <c r="E3140" t="str">
        <f>VLOOKUP(C3140,Меню!A:E,4,0)</f>
        <v>Суши</v>
      </c>
      <c r="F3140">
        <f>VLOOKUP(C3140,Меню!A:E,5,0)</f>
        <v>200</v>
      </c>
    </row>
    <row r="3141" spans="1:6" ht="15.75" hidden="1" customHeight="1" x14ac:dyDescent="0.35">
      <c r="A3141" s="1">
        <v>3140</v>
      </c>
      <c r="B3141" s="1">
        <v>602</v>
      </c>
      <c r="C3141" s="1">
        <v>20</v>
      </c>
      <c r="D3141" t="str">
        <f>VLOOKUP(B3141,Заказы!A:C,3,0)</f>
        <v>2023-08-02 16:08:00</v>
      </c>
      <c r="E3141" t="str">
        <f>VLOOKUP(C3141,Меню!A:E,4,0)</f>
        <v>Первое</v>
      </c>
      <c r="F3141">
        <f>VLOOKUP(C3141,Меню!A:E,5,0)</f>
        <v>250</v>
      </c>
    </row>
    <row r="3142" spans="1:6" ht="15.75" hidden="1" customHeight="1" x14ac:dyDescent="0.35">
      <c r="A3142" s="1">
        <v>3141</v>
      </c>
      <c r="B3142" s="1">
        <v>602</v>
      </c>
      <c r="C3142" s="1">
        <v>12</v>
      </c>
      <c r="D3142" t="str">
        <f>VLOOKUP(B3142,Заказы!A:C,3,0)</f>
        <v>2023-08-02 16:08:00</v>
      </c>
      <c r="E3142" t="str">
        <f>VLOOKUP(C3142,Меню!A:E,4,0)</f>
        <v>Первое</v>
      </c>
      <c r="F3142">
        <f>VLOOKUP(C3142,Меню!A:E,5,0)</f>
        <v>300</v>
      </c>
    </row>
    <row r="3143" spans="1:6" ht="15.75" hidden="1" customHeight="1" x14ac:dyDescent="0.35">
      <c r="A3143" s="1">
        <v>3142</v>
      </c>
      <c r="B3143" s="1">
        <v>602</v>
      </c>
      <c r="C3143" s="1">
        <v>53</v>
      </c>
      <c r="D3143" t="str">
        <f>VLOOKUP(B3143,Заказы!A:C,3,0)</f>
        <v>2023-08-02 16:08:00</v>
      </c>
      <c r="E3143" t="str">
        <f>VLOOKUP(C3143,Меню!A:E,4,0)</f>
        <v>Суши</v>
      </c>
      <c r="F3143">
        <f>VLOOKUP(C3143,Меню!A:E,5,0)</f>
        <v>100</v>
      </c>
    </row>
    <row r="3144" spans="1:6" ht="15.75" hidden="1" customHeight="1" x14ac:dyDescent="0.35">
      <c r="A3144" s="1">
        <v>3143</v>
      </c>
      <c r="B3144" s="1">
        <v>602</v>
      </c>
      <c r="C3144" s="1">
        <v>49</v>
      </c>
      <c r="D3144" t="str">
        <f>VLOOKUP(B3144,Заказы!A:C,3,0)</f>
        <v>2023-08-02 16:08:00</v>
      </c>
      <c r="E3144" t="str">
        <f>VLOOKUP(C3144,Меню!A:E,4,0)</f>
        <v>Суши</v>
      </c>
      <c r="F3144">
        <f>VLOOKUP(C3144,Меню!A:E,5,0)</f>
        <v>200</v>
      </c>
    </row>
    <row r="3145" spans="1:6" ht="15.75" hidden="1" customHeight="1" x14ac:dyDescent="0.35">
      <c r="A3145" s="1">
        <v>3144</v>
      </c>
      <c r="B3145" s="1">
        <v>602</v>
      </c>
      <c r="C3145" s="1">
        <v>13</v>
      </c>
      <c r="D3145" t="str">
        <f>VLOOKUP(B3145,Заказы!A:C,3,0)</f>
        <v>2023-08-02 16:08:00</v>
      </c>
      <c r="E3145" t="str">
        <f>VLOOKUP(C3145,Меню!A:E,4,0)</f>
        <v>Первое</v>
      </c>
      <c r="F3145">
        <f>VLOOKUP(C3145,Меню!A:E,5,0)</f>
        <v>280</v>
      </c>
    </row>
    <row r="3146" spans="1:6" ht="15.75" hidden="1" customHeight="1" x14ac:dyDescent="0.35">
      <c r="A3146" s="1">
        <v>3145</v>
      </c>
      <c r="B3146" s="1">
        <v>602</v>
      </c>
      <c r="C3146" s="1">
        <v>44</v>
      </c>
      <c r="D3146" t="str">
        <f>VLOOKUP(B3146,Заказы!A:C,3,0)</f>
        <v>2023-08-02 16:08:00</v>
      </c>
      <c r="E3146" t="str">
        <f>VLOOKUP(C3146,Меню!A:E,4,0)</f>
        <v>Суши</v>
      </c>
      <c r="F3146">
        <f>VLOOKUP(C3146,Меню!A:E,5,0)</f>
        <v>250</v>
      </c>
    </row>
    <row r="3147" spans="1:6" ht="15.75" hidden="1" customHeight="1" x14ac:dyDescent="0.35">
      <c r="A3147" s="1">
        <v>3146</v>
      </c>
      <c r="B3147" s="1">
        <v>602</v>
      </c>
      <c r="C3147" s="1">
        <v>7</v>
      </c>
      <c r="D3147" t="str">
        <f>VLOOKUP(B3147,Заказы!A:C,3,0)</f>
        <v>2023-08-02 16:08:00</v>
      </c>
      <c r="E3147" t="str">
        <f>VLOOKUP(C3147,Меню!A:E,4,0)</f>
        <v>Завтрак</v>
      </c>
      <c r="F3147">
        <f>VLOOKUP(C3147,Меню!A:E,5,0)</f>
        <v>200</v>
      </c>
    </row>
    <row r="3148" spans="1:6" ht="15.75" hidden="1" customHeight="1" x14ac:dyDescent="0.35">
      <c r="A3148" s="1">
        <v>3147</v>
      </c>
      <c r="B3148" s="1">
        <v>602</v>
      </c>
      <c r="C3148" s="1">
        <v>54</v>
      </c>
      <c r="D3148" t="str">
        <f>VLOOKUP(B3148,Заказы!A:C,3,0)</f>
        <v>2023-08-02 16:08:00</v>
      </c>
      <c r="E3148" t="str">
        <f>VLOOKUP(C3148,Меню!A:E,4,0)</f>
        <v>Суши</v>
      </c>
      <c r="F3148">
        <f>VLOOKUP(C3148,Меню!A:E,5,0)</f>
        <v>100</v>
      </c>
    </row>
    <row r="3149" spans="1:6" ht="15.75" hidden="1" customHeight="1" x14ac:dyDescent="0.35">
      <c r="A3149" s="1">
        <v>3148</v>
      </c>
      <c r="B3149" s="1">
        <v>603</v>
      </c>
      <c r="C3149" s="1">
        <v>44</v>
      </c>
      <c r="D3149" t="str">
        <f>VLOOKUP(B3149,Заказы!A:C,3,0)</f>
        <v>2023-08-02 18:52:00</v>
      </c>
      <c r="E3149" t="str">
        <f>VLOOKUP(C3149,Меню!A:E,4,0)</f>
        <v>Суши</v>
      </c>
      <c r="F3149">
        <f>VLOOKUP(C3149,Меню!A:E,5,0)</f>
        <v>250</v>
      </c>
    </row>
    <row r="3150" spans="1:6" ht="15.75" hidden="1" customHeight="1" x14ac:dyDescent="0.35">
      <c r="A3150" s="1">
        <v>3149</v>
      </c>
      <c r="B3150" s="1">
        <v>604</v>
      </c>
      <c r="C3150" s="1">
        <v>37</v>
      </c>
      <c r="D3150" t="str">
        <f>VLOOKUP(B3150,Заказы!A:C,3,0)</f>
        <v>2023-08-03 16:02:00</v>
      </c>
      <c r="E3150" t="str">
        <f>VLOOKUP(C3150,Меню!A:E,4,0)</f>
        <v>Десерт</v>
      </c>
      <c r="F3150">
        <f>VLOOKUP(C3150,Меню!A:E,5,0)</f>
        <v>100</v>
      </c>
    </row>
    <row r="3151" spans="1:6" ht="15.75" hidden="1" customHeight="1" x14ac:dyDescent="0.35">
      <c r="A3151" s="1">
        <v>3150</v>
      </c>
      <c r="B3151" s="1">
        <v>604</v>
      </c>
      <c r="C3151" s="1">
        <v>5</v>
      </c>
      <c r="D3151" t="str">
        <f>VLOOKUP(B3151,Заказы!A:C,3,0)</f>
        <v>2023-08-03 16:02:00</v>
      </c>
      <c r="E3151" t="str">
        <f>VLOOKUP(C3151,Меню!A:E,4,0)</f>
        <v>Завтрак</v>
      </c>
      <c r="F3151">
        <f>VLOOKUP(C3151,Меню!A:E,5,0)</f>
        <v>220</v>
      </c>
    </row>
    <row r="3152" spans="1:6" ht="15.75" hidden="1" customHeight="1" x14ac:dyDescent="0.35">
      <c r="A3152" s="1">
        <v>3151</v>
      </c>
      <c r="B3152" s="1">
        <v>604</v>
      </c>
      <c r="C3152" s="1">
        <v>24</v>
      </c>
      <c r="D3152" t="str">
        <f>VLOOKUP(B3152,Заказы!A:C,3,0)</f>
        <v>2023-08-03 16:02:00</v>
      </c>
      <c r="E3152" t="str">
        <f>VLOOKUP(C3152,Меню!A:E,4,0)</f>
        <v>Салат</v>
      </c>
      <c r="F3152">
        <f>VLOOKUP(C3152,Меню!A:E,5,0)</f>
        <v>250</v>
      </c>
    </row>
    <row r="3153" spans="1:6" ht="15.75" hidden="1" customHeight="1" x14ac:dyDescent="0.35">
      <c r="A3153" s="1">
        <v>3152</v>
      </c>
      <c r="B3153" s="1">
        <v>604</v>
      </c>
      <c r="C3153" s="1">
        <v>23</v>
      </c>
      <c r="D3153" t="str">
        <f>VLOOKUP(B3153,Заказы!A:C,3,0)</f>
        <v>2023-08-03 16:02:00</v>
      </c>
      <c r="E3153" t="str">
        <f>VLOOKUP(C3153,Меню!A:E,4,0)</f>
        <v>Салат</v>
      </c>
      <c r="F3153">
        <f>VLOOKUP(C3153,Меню!A:E,5,0)</f>
        <v>250</v>
      </c>
    </row>
    <row r="3154" spans="1:6" ht="15.75" hidden="1" customHeight="1" x14ac:dyDescent="0.35">
      <c r="A3154" s="1">
        <v>3153</v>
      </c>
      <c r="B3154" s="1">
        <v>604</v>
      </c>
      <c r="C3154" s="1">
        <v>19</v>
      </c>
      <c r="D3154" t="str">
        <f>VLOOKUP(B3154,Заказы!A:C,3,0)</f>
        <v>2023-08-03 16:02:00</v>
      </c>
      <c r="E3154" t="str">
        <f>VLOOKUP(C3154,Меню!A:E,4,0)</f>
        <v>Первое</v>
      </c>
      <c r="F3154">
        <f>VLOOKUP(C3154,Меню!A:E,5,0)</f>
        <v>300</v>
      </c>
    </row>
    <row r="3155" spans="1:6" ht="15.75" hidden="1" customHeight="1" x14ac:dyDescent="0.35">
      <c r="A3155" s="1">
        <v>3154</v>
      </c>
      <c r="B3155" s="1">
        <v>604</v>
      </c>
      <c r="C3155" s="1">
        <v>36</v>
      </c>
      <c r="D3155" t="str">
        <f>VLOOKUP(B3155,Заказы!A:C,3,0)</f>
        <v>2023-08-03 16:02:00</v>
      </c>
      <c r="E3155" t="str">
        <f>VLOOKUP(C3155,Меню!A:E,4,0)</f>
        <v>Десерт</v>
      </c>
      <c r="F3155">
        <f>VLOOKUP(C3155,Меню!A:E,5,0)</f>
        <v>150</v>
      </c>
    </row>
    <row r="3156" spans="1:6" ht="15.75" hidden="1" customHeight="1" x14ac:dyDescent="0.35">
      <c r="A3156" s="1">
        <v>3155</v>
      </c>
      <c r="B3156" s="1">
        <v>604</v>
      </c>
      <c r="C3156" s="1">
        <v>13</v>
      </c>
      <c r="D3156" t="str">
        <f>VLOOKUP(B3156,Заказы!A:C,3,0)</f>
        <v>2023-08-03 16:02:00</v>
      </c>
      <c r="E3156" t="str">
        <f>VLOOKUP(C3156,Меню!A:E,4,0)</f>
        <v>Первое</v>
      </c>
      <c r="F3156">
        <f>VLOOKUP(C3156,Меню!A:E,5,0)</f>
        <v>280</v>
      </c>
    </row>
    <row r="3157" spans="1:6" ht="15.75" hidden="1" customHeight="1" x14ac:dyDescent="0.35">
      <c r="A3157" s="1">
        <v>3156</v>
      </c>
      <c r="B3157" s="1">
        <v>604</v>
      </c>
      <c r="C3157" s="1">
        <v>22</v>
      </c>
      <c r="D3157" t="str">
        <f>VLOOKUP(B3157,Заказы!A:C,3,0)</f>
        <v>2023-08-03 16:02:00</v>
      </c>
      <c r="E3157" t="str">
        <f>VLOOKUP(C3157,Меню!A:E,4,0)</f>
        <v>Салат</v>
      </c>
      <c r="F3157">
        <f>VLOOKUP(C3157,Меню!A:E,5,0)</f>
        <v>250</v>
      </c>
    </row>
    <row r="3158" spans="1:6" ht="15.75" hidden="1" customHeight="1" x14ac:dyDescent="0.35">
      <c r="A3158" s="1">
        <v>3157</v>
      </c>
      <c r="B3158" s="1">
        <v>605</v>
      </c>
      <c r="C3158" s="1">
        <v>47</v>
      </c>
      <c r="D3158" t="str">
        <f>VLOOKUP(B3158,Заказы!A:C,3,0)</f>
        <v>2023-08-03 20:35:00</v>
      </c>
      <c r="E3158" t="str">
        <f>VLOOKUP(C3158,Меню!A:E,4,0)</f>
        <v>Суши</v>
      </c>
      <c r="F3158">
        <f>VLOOKUP(C3158,Меню!A:E,5,0)</f>
        <v>200</v>
      </c>
    </row>
    <row r="3159" spans="1:6" ht="15.75" hidden="1" customHeight="1" x14ac:dyDescent="0.35">
      <c r="A3159" s="1">
        <v>3158</v>
      </c>
      <c r="B3159" s="1">
        <v>605</v>
      </c>
      <c r="C3159" s="1">
        <v>5</v>
      </c>
      <c r="D3159" t="str">
        <f>VLOOKUP(B3159,Заказы!A:C,3,0)</f>
        <v>2023-08-03 20:35:00</v>
      </c>
      <c r="E3159" t="str">
        <f>VLOOKUP(C3159,Меню!A:E,4,0)</f>
        <v>Завтрак</v>
      </c>
      <c r="F3159">
        <f>VLOOKUP(C3159,Меню!A:E,5,0)</f>
        <v>220</v>
      </c>
    </row>
    <row r="3160" spans="1:6" ht="15.75" hidden="1" customHeight="1" x14ac:dyDescent="0.35">
      <c r="A3160" s="1">
        <v>3159</v>
      </c>
      <c r="B3160" s="1">
        <v>606</v>
      </c>
      <c r="C3160" s="1">
        <v>20</v>
      </c>
      <c r="D3160" t="str">
        <f>VLOOKUP(B3160,Заказы!A:C,3,0)</f>
        <v>2023-08-03 21:03:00</v>
      </c>
      <c r="E3160" t="str">
        <f>VLOOKUP(C3160,Меню!A:E,4,0)</f>
        <v>Первое</v>
      </c>
      <c r="F3160">
        <f>VLOOKUP(C3160,Меню!A:E,5,0)</f>
        <v>250</v>
      </c>
    </row>
    <row r="3161" spans="1:6" ht="15.75" hidden="1" customHeight="1" x14ac:dyDescent="0.35">
      <c r="A3161" s="1">
        <v>3160</v>
      </c>
      <c r="B3161" s="1">
        <v>606</v>
      </c>
      <c r="C3161" s="1">
        <v>25</v>
      </c>
      <c r="D3161" t="str">
        <f>VLOOKUP(B3161,Заказы!A:C,3,0)</f>
        <v>2023-08-03 21:03:00</v>
      </c>
      <c r="E3161" t="str">
        <f>VLOOKUP(C3161,Меню!A:E,4,0)</f>
        <v>Салат</v>
      </c>
      <c r="F3161">
        <f>VLOOKUP(C3161,Меню!A:E,5,0)</f>
        <v>250</v>
      </c>
    </row>
    <row r="3162" spans="1:6" ht="15.75" hidden="1" customHeight="1" x14ac:dyDescent="0.35">
      <c r="A3162" s="1">
        <v>3161</v>
      </c>
      <c r="B3162" s="1">
        <v>606</v>
      </c>
      <c r="C3162" s="1">
        <v>30</v>
      </c>
      <c r="D3162" t="str">
        <f>VLOOKUP(B3162,Заказы!A:C,3,0)</f>
        <v>2023-08-03 21:03:00</v>
      </c>
      <c r="E3162" t="str">
        <f>VLOOKUP(C3162,Меню!A:E,4,0)</f>
        <v>Салат</v>
      </c>
      <c r="F3162">
        <f>VLOOKUP(C3162,Меню!A:E,5,0)</f>
        <v>250</v>
      </c>
    </row>
    <row r="3163" spans="1:6" ht="15.75" hidden="1" customHeight="1" x14ac:dyDescent="0.35">
      <c r="A3163" s="1">
        <v>3162</v>
      </c>
      <c r="B3163" s="1">
        <v>607</v>
      </c>
      <c r="C3163" s="1">
        <v>41</v>
      </c>
      <c r="D3163" t="str">
        <f>VLOOKUP(B3163,Заказы!A:C,3,0)</f>
        <v>2023-08-04 18:54:00</v>
      </c>
      <c r="E3163" t="str">
        <f>VLOOKUP(C3163,Меню!A:E,4,0)</f>
        <v>Суши</v>
      </c>
      <c r="F3163">
        <f>VLOOKUP(C3163,Меню!A:E,5,0)</f>
        <v>220</v>
      </c>
    </row>
    <row r="3164" spans="1:6" ht="15.75" hidden="1" customHeight="1" x14ac:dyDescent="0.35">
      <c r="A3164" s="1">
        <v>3163</v>
      </c>
      <c r="B3164" s="1">
        <v>607</v>
      </c>
      <c r="C3164" s="1">
        <v>46</v>
      </c>
      <c r="D3164" t="str">
        <f>VLOOKUP(B3164,Заказы!A:C,3,0)</f>
        <v>2023-08-04 18:54:00</v>
      </c>
      <c r="E3164" t="str">
        <f>VLOOKUP(C3164,Меню!A:E,4,0)</f>
        <v>Суши</v>
      </c>
      <c r="F3164">
        <f>VLOOKUP(C3164,Меню!A:E,5,0)</f>
        <v>200</v>
      </c>
    </row>
    <row r="3165" spans="1:6" ht="15.75" hidden="1" customHeight="1" x14ac:dyDescent="0.35">
      <c r="A3165" s="1">
        <v>3164</v>
      </c>
      <c r="B3165" s="1">
        <v>607</v>
      </c>
      <c r="C3165" s="1">
        <v>11</v>
      </c>
      <c r="D3165" t="str">
        <f>VLOOKUP(B3165,Заказы!A:C,3,0)</f>
        <v>2023-08-04 18:54:00</v>
      </c>
      <c r="E3165" t="str">
        <f>VLOOKUP(C3165,Меню!A:E,4,0)</f>
        <v>Первое</v>
      </c>
      <c r="F3165">
        <f>VLOOKUP(C3165,Меню!A:E,5,0)</f>
        <v>300</v>
      </c>
    </row>
    <row r="3166" spans="1:6" ht="15.75" hidden="1" customHeight="1" x14ac:dyDescent="0.35">
      <c r="A3166" s="1">
        <v>3165</v>
      </c>
      <c r="B3166" s="1">
        <v>607</v>
      </c>
      <c r="C3166" s="1">
        <v>27</v>
      </c>
      <c r="D3166" t="str">
        <f>VLOOKUP(B3166,Заказы!A:C,3,0)</f>
        <v>2023-08-04 18:54:00</v>
      </c>
      <c r="E3166" t="str">
        <f>VLOOKUP(C3166,Меню!A:E,4,0)</f>
        <v>Салат</v>
      </c>
      <c r="F3166">
        <f>VLOOKUP(C3166,Меню!A:E,5,0)</f>
        <v>250</v>
      </c>
    </row>
    <row r="3167" spans="1:6" ht="15.75" hidden="1" customHeight="1" x14ac:dyDescent="0.35">
      <c r="A3167" s="1">
        <v>3166</v>
      </c>
      <c r="B3167" s="1">
        <v>607</v>
      </c>
      <c r="C3167" s="1">
        <v>8</v>
      </c>
      <c r="D3167" t="str">
        <f>VLOOKUP(B3167,Заказы!A:C,3,0)</f>
        <v>2023-08-04 18:54:00</v>
      </c>
      <c r="E3167" t="str">
        <f>VLOOKUP(C3167,Меню!A:E,4,0)</f>
        <v>Завтрак</v>
      </c>
      <c r="F3167">
        <f>VLOOKUP(C3167,Меню!A:E,5,0)</f>
        <v>180</v>
      </c>
    </row>
    <row r="3168" spans="1:6" ht="15.75" hidden="1" customHeight="1" x14ac:dyDescent="0.35">
      <c r="A3168" s="1">
        <v>3167</v>
      </c>
      <c r="B3168" s="1">
        <v>607</v>
      </c>
      <c r="C3168" s="1">
        <v>39</v>
      </c>
      <c r="D3168" t="str">
        <f>VLOOKUP(B3168,Заказы!A:C,3,0)</f>
        <v>2023-08-04 18:54:00</v>
      </c>
      <c r="E3168" t="str">
        <f>VLOOKUP(C3168,Меню!A:E,4,0)</f>
        <v>Десерт</v>
      </c>
      <c r="F3168">
        <f>VLOOKUP(C3168,Меню!A:E,5,0)</f>
        <v>150</v>
      </c>
    </row>
    <row r="3169" spans="1:6" ht="15.75" hidden="1" customHeight="1" x14ac:dyDescent="0.35">
      <c r="A3169" s="1">
        <v>3168</v>
      </c>
      <c r="B3169" s="1">
        <v>607</v>
      </c>
      <c r="C3169" s="1">
        <v>44</v>
      </c>
      <c r="D3169" t="str">
        <f>VLOOKUP(B3169,Заказы!A:C,3,0)</f>
        <v>2023-08-04 18:54:00</v>
      </c>
      <c r="E3169" t="str">
        <f>VLOOKUP(C3169,Меню!A:E,4,0)</f>
        <v>Суши</v>
      </c>
      <c r="F3169">
        <f>VLOOKUP(C3169,Меню!A:E,5,0)</f>
        <v>250</v>
      </c>
    </row>
    <row r="3170" spans="1:6" ht="15.75" hidden="1" customHeight="1" x14ac:dyDescent="0.35">
      <c r="A3170" s="1">
        <v>3169</v>
      </c>
      <c r="B3170" s="1">
        <v>607</v>
      </c>
      <c r="C3170" s="1">
        <v>18</v>
      </c>
      <c r="D3170" t="str">
        <f>VLOOKUP(B3170,Заказы!A:C,3,0)</f>
        <v>2023-08-04 18:54:00</v>
      </c>
      <c r="E3170" t="str">
        <f>VLOOKUP(C3170,Меню!A:E,4,0)</f>
        <v>Первое</v>
      </c>
      <c r="F3170">
        <f>VLOOKUP(C3170,Меню!A:E,5,0)</f>
        <v>300</v>
      </c>
    </row>
    <row r="3171" spans="1:6" ht="15.75" hidden="1" customHeight="1" x14ac:dyDescent="0.35">
      <c r="A3171" s="1">
        <v>3170</v>
      </c>
      <c r="B3171" s="1">
        <v>608</v>
      </c>
      <c r="C3171" s="1">
        <v>46</v>
      </c>
      <c r="D3171" t="str">
        <f>VLOOKUP(B3171,Заказы!A:C,3,0)</f>
        <v>2023-08-04 19:32:00</v>
      </c>
      <c r="E3171" t="str">
        <f>VLOOKUP(C3171,Меню!A:E,4,0)</f>
        <v>Суши</v>
      </c>
      <c r="F3171">
        <f>VLOOKUP(C3171,Меню!A:E,5,0)</f>
        <v>200</v>
      </c>
    </row>
    <row r="3172" spans="1:6" ht="15.75" hidden="1" customHeight="1" x14ac:dyDescent="0.35">
      <c r="A3172" s="1">
        <v>3171</v>
      </c>
      <c r="B3172" s="1">
        <v>608</v>
      </c>
      <c r="C3172" s="1">
        <v>30</v>
      </c>
      <c r="D3172" t="str">
        <f>VLOOKUP(B3172,Заказы!A:C,3,0)</f>
        <v>2023-08-04 19:32:00</v>
      </c>
      <c r="E3172" t="str">
        <f>VLOOKUP(C3172,Меню!A:E,4,0)</f>
        <v>Салат</v>
      </c>
      <c r="F3172">
        <f>VLOOKUP(C3172,Меню!A:E,5,0)</f>
        <v>250</v>
      </c>
    </row>
    <row r="3173" spans="1:6" ht="15.75" hidden="1" customHeight="1" x14ac:dyDescent="0.35">
      <c r="A3173" s="1">
        <v>3172</v>
      </c>
      <c r="B3173" s="1">
        <v>608</v>
      </c>
      <c r="C3173" s="1">
        <v>19</v>
      </c>
      <c r="D3173" t="str">
        <f>VLOOKUP(B3173,Заказы!A:C,3,0)</f>
        <v>2023-08-04 19:32:00</v>
      </c>
      <c r="E3173" t="str">
        <f>VLOOKUP(C3173,Меню!A:E,4,0)</f>
        <v>Первое</v>
      </c>
      <c r="F3173">
        <f>VLOOKUP(C3173,Меню!A:E,5,0)</f>
        <v>300</v>
      </c>
    </row>
    <row r="3174" spans="1:6" ht="15.75" hidden="1" customHeight="1" x14ac:dyDescent="0.35">
      <c r="A3174" s="1">
        <v>3173</v>
      </c>
      <c r="B3174" s="1">
        <v>608</v>
      </c>
      <c r="C3174" s="1">
        <v>9</v>
      </c>
      <c r="D3174" t="str">
        <f>VLOOKUP(B3174,Заказы!A:C,3,0)</f>
        <v>2023-08-04 19:32:00</v>
      </c>
      <c r="E3174" t="str">
        <f>VLOOKUP(C3174,Меню!A:E,4,0)</f>
        <v>Завтрак</v>
      </c>
      <c r="F3174">
        <f>VLOOKUP(C3174,Меню!A:E,5,0)</f>
        <v>220</v>
      </c>
    </row>
    <row r="3175" spans="1:6" ht="15.75" hidden="1" customHeight="1" x14ac:dyDescent="0.35">
      <c r="A3175" s="1">
        <v>3174</v>
      </c>
      <c r="B3175" s="1">
        <v>608</v>
      </c>
      <c r="C3175" s="1">
        <v>37</v>
      </c>
      <c r="D3175" t="str">
        <f>VLOOKUP(B3175,Заказы!A:C,3,0)</f>
        <v>2023-08-04 19:32:00</v>
      </c>
      <c r="E3175" t="str">
        <f>VLOOKUP(C3175,Меню!A:E,4,0)</f>
        <v>Десерт</v>
      </c>
      <c r="F3175">
        <f>VLOOKUP(C3175,Меню!A:E,5,0)</f>
        <v>100</v>
      </c>
    </row>
    <row r="3176" spans="1:6" ht="15.75" hidden="1" customHeight="1" x14ac:dyDescent="0.35">
      <c r="A3176" s="1">
        <v>3175</v>
      </c>
      <c r="B3176" s="1">
        <v>608</v>
      </c>
      <c r="C3176" s="1">
        <v>46</v>
      </c>
      <c r="D3176" t="str">
        <f>VLOOKUP(B3176,Заказы!A:C,3,0)</f>
        <v>2023-08-04 19:32:00</v>
      </c>
      <c r="E3176" t="str">
        <f>VLOOKUP(C3176,Меню!A:E,4,0)</f>
        <v>Суши</v>
      </c>
      <c r="F3176">
        <f>VLOOKUP(C3176,Меню!A:E,5,0)</f>
        <v>200</v>
      </c>
    </row>
    <row r="3177" spans="1:6" ht="15.75" hidden="1" customHeight="1" x14ac:dyDescent="0.35">
      <c r="A3177" s="1">
        <v>3176</v>
      </c>
      <c r="B3177" s="1">
        <v>608</v>
      </c>
      <c r="C3177" s="1">
        <v>52</v>
      </c>
      <c r="D3177" t="str">
        <f>VLOOKUP(B3177,Заказы!A:C,3,0)</f>
        <v>2023-08-04 19:32:00</v>
      </c>
      <c r="E3177" t="str">
        <f>VLOOKUP(C3177,Меню!A:E,4,0)</f>
        <v>Суши</v>
      </c>
      <c r="F3177">
        <f>VLOOKUP(C3177,Меню!A:E,5,0)</f>
        <v>100</v>
      </c>
    </row>
    <row r="3178" spans="1:6" ht="15.75" hidden="1" customHeight="1" x14ac:dyDescent="0.35">
      <c r="A3178" s="1">
        <v>3177</v>
      </c>
      <c r="B3178" s="1">
        <v>608</v>
      </c>
      <c r="C3178" s="1">
        <v>25</v>
      </c>
      <c r="D3178" t="str">
        <f>VLOOKUP(B3178,Заказы!A:C,3,0)</f>
        <v>2023-08-04 19:32:00</v>
      </c>
      <c r="E3178" t="str">
        <f>VLOOKUP(C3178,Меню!A:E,4,0)</f>
        <v>Салат</v>
      </c>
      <c r="F3178">
        <f>VLOOKUP(C3178,Меню!A:E,5,0)</f>
        <v>250</v>
      </c>
    </row>
    <row r="3179" spans="1:6" ht="15.75" hidden="1" customHeight="1" x14ac:dyDescent="0.35">
      <c r="A3179" s="1">
        <v>3178</v>
      </c>
      <c r="B3179" s="1">
        <v>609</v>
      </c>
      <c r="C3179" s="1">
        <v>52</v>
      </c>
      <c r="D3179" t="str">
        <f>VLOOKUP(B3179,Заказы!A:C,3,0)</f>
        <v>2023-08-05 15:16:00</v>
      </c>
      <c r="E3179" t="str">
        <f>VLOOKUP(C3179,Меню!A:E,4,0)</f>
        <v>Суши</v>
      </c>
      <c r="F3179">
        <f>VLOOKUP(C3179,Меню!A:E,5,0)</f>
        <v>100</v>
      </c>
    </row>
    <row r="3180" spans="1:6" ht="15.75" hidden="1" customHeight="1" x14ac:dyDescent="0.35">
      <c r="A3180" s="1">
        <v>3179</v>
      </c>
      <c r="B3180" s="1">
        <v>609</v>
      </c>
      <c r="C3180" s="1">
        <v>42</v>
      </c>
      <c r="D3180" t="str">
        <f>VLOOKUP(B3180,Заказы!A:C,3,0)</f>
        <v>2023-08-05 15:16:00</v>
      </c>
      <c r="E3180" t="str">
        <f>VLOOKUP(C3180,Меню!A:E,4,0)</f>
        <v>Суши</v>
      </c>
      <c r="F3180">
        <f>VLOOKUP(C3180,Меню!A:E,5,0)</f>
        <v>250</v>
      </c>
    </row>
    <row r="3181" spans="1:6" ht="15.75" hidden="1" customHeight="1" x14ac:dyDescent="0.35">
      <c r="A3181" s="1">
        <v>3180</v>
      </c>
      <c r="B3181" s="1">
        <v>609</v>
      </c>
      <c r="C3181" s="1">
        <v>43</v>
      </c>
      <c r="D3181" t="str">
        <f>VLOOKUP(B3181,Заказы!A:C,3,0)</f>
        <v>2023-08-05 15:16:00</v>
      </c>
      <c r="E3181" t="str">
        <f>VLOOKUP(C3181,Меню!A:E,4,0)</f>
        <v>Суши</v>
      </c>
      <c r="F3181">
        <f>VLOOKUP(C3181,Меню!A:E,5,0)</f>
        <v>250</v>
      </c>
    </row>
    <row r="3182" spans="1:6" ht="15.75" hidden="1" customHeight="1" x14ac:dyDescent="0.35">
      <c r="A3182" s="1">
        <v>3181</v>
      </c>
      <c r="B3182" s="1">
        <v>609</v>
      </c>
      <c r="C3182" s="1">
        <v>37</v>
      </c>
      <c r="D3182" t="str">
        <f>VLOOKUP(B3182,Заказы!A:C,3,0)</f>
        <v>2023-08-05 15:16:00</v>
      </c>
      <c r="E3182" t="str">
        <f>VLOOKUP(C3182,Меню!A:E,4,0)</f>
        <v>Десерт</v>
      </c>
      <c r="F3182">
        <f>VLOOKUP(C3182,Меню!A:E,5,0)</f>
        <v>100</v>
      </c>
    </row>
    <row r="3183" spans="1:6" ht="15.75" hidden="1" customHeight="1" x14ac:dyDescent="0.35">
      <c r="A3183" s="1">
        <v>3182</v>
      </c>
      <c r="B3183" s="1">
        <v>609</v>
      </c>
      <c r="C3183" s="1">
        <v>42</v>
      </c>
      <c r="D3183" t="str">
        <f>VLOOKUP(B3183,Заказы!A:C,3,0)</f>
        <v>2023-08-05 15:16:00</v>
      </c>
      <c r="E3183" t="str">
        <f>VLOOKUP(C3183,Меню!A:E,4,0)</f>
        <v>Суши</v>
      </c>
      <c r="F3183">
        <f>VLOOKUP(C3183,Меню!A:E,5,0)</f>
        <v>250</v>
      </c>
    </row>
    <row r="3184" spans="1:6" ht="15.75" hidden="1" customHeight="1" x14ac:dyDescent="0.35">
      <c r="A3184" s="1">
        <v>3183</v>
      </c>
      <c r="B3184" s="1">
        <v>610</v>
      </c>
      <c r="C3184" s="1">
        <v>51</v>
      </c>
      <c r="D3184" t="str">
        <f>VLOOKUP(B3184,Заказы!A:C,3,0)</f>
        <v>2023-08-05 16:19:00</v>
      </c>
      <c r="E3184" t="str">
        <f>VLOOKUP(C3184,Меню!A:E,4,0)</f>
        <v>Суши</v>
      </c>
      <c r="F3184">
        <f>VLOOKUP(C3184,Меню!A:E,5,0)</f>
        <v>100</v>
      </c>
    </row>
    <row r="3185" spans="1:6" ht="15.75" hidden="1" customHeight="1" x14ac:dyDescent="0.35">
      <c r="A3185" s="1">
        <v>3184</v>
      </c>
      <c r="B3185" s="1">
        <v>610</v>
      </c>
      <c r="C3185" s="1">
        <v>36</v>
      </c>
      <c r="D3185" t="str">
        <f>VLOOKUP(B3185,Заказы!A:C,3,0)</f>
        <v>2023-08-05 16:19:00</v>
      </c>
      <c r="E3185" t="str">
        <f>VLOOKUP(C3185,Меню!A:E,4,0)</f>
        <v>Десерт</v>
      </c>
      <c r="F3185">
        <f>VLOOKUP(C3185,Меню!A:E,5,0)</f>
        <v>150</v>
      </c>
    </row>
    <row r="3186" spans="1:6" ht="15.75" hidden="1" customHeight="1" x14ac:dyDescent="0.35">
      <c r="A3186" s="1">
        <v>3185</v>
      </c>
      <c r="B3186" s="1">
        <v>610</v>
      </c>
      <c r="C3186" s="1">
        <v>29</v>
      </c>
      <c r="D3186" t="str">
        <f>VLOOKUP(B3186,Заказы!A:C,3,0)</f>
        <v>2023-08-05 16:19:00</v>
      </c>
      <c r="E3186" t="str">
        <f>VLOOKUP(C3186,Меню!A:E,4,0)</f>
        <v>Салат</v>
      </c>
      <c r="F3186">
        <f>VLOOKUP(C3186,Меню!A:E,5,0)</f>
        <v>250</v>
      </c>
    </row>
    <row r="3187" spans="1:6" ht="15.75" hidden="1" customHeight="1" x14ac:dyDescent="0.35">
      <c r="A3187" s="1">
        <v>3186</v>
      </c>
      <c r="B3187" s="1">
        <v>610</v>
      </c>
      <c r="C3187" s="1">
        <v>33</v>
      </c>
      <c r="D3187" t="str">
        <f>VLOOKUP(B3187,Заказы!A:C,3,0)</f>
        <v>2023-08-05 16:19:00</v>
      </c>
      <c r="E3187" t="str">
        <f>VLOOKUP(C3187,Меню!A:E,4,0)</f>
        <v>Десерт</v>
      </c>
      <c r="F3187">
        <f>VLOOKUP(C3187,Меню!A:E,5,0)</f>
        <v>150</v>
      </c>
    </row>
    <row r="3188" spans="1:6" ht="15.75" hidden="1" customHeight="1" x14ac:dyDescent="0.35">
      <c r="A3188" s="1">
        <v>3187</v>
      </c>
      <c r="B3188" s="1">
        <v>611</v>
      </c>
      <c r="C3188" s="1">
        <v>58</v>
      </c>
      <c r="D3188" t="str">
        <f>VLOOKUP(B3188,Заказы!A:C,3,0)</f>
        <v>2023-08-05 17:28:00</v>
      </c>
      <c r="E3188" t="str">
        <f>VLOOKUP(C3188,Меню!A:E,4,0)</f>
        <v>Суши</v>
      </c>
      <c r="F3188">
        <f>VLOOKUP(C3188,Меню!A:E,5,0)</f>
        <v>200</v>
      </c>
    </row>
    <row r="3189" spans="1:6" ht="15.75" hidden="1" customHeight="1" x14ac:dyDescent="0.35">
      <c r="A3189" s="1">
        <v>3188</v>
      </c>
      <c r="B3189" s="1">
        <v>611</v>
      </c>
      <c r="C3189" s="1">
        <v>20</v>
      </c>
      <c r="D3189" t="str">
        <f>VLOOKUP(B3189,Заказы!A:C,3,0)</f>
        <v>2023-08-05 17:28:00</v>
      </c>
      <c r="E3189" t="str">
        <f>VLOOKUP(C3189,Меню!A:E,4,0)</f>
        <v>Первое</v>
      </c>
      <c r="F3189">
        <f>VLOOKUP(C3189,Меню!A:E,5,0)</f>
        <v>250</v>
      </c>
    </row>
    <row r="3190" spans="1:6" ht="15.75" hidden="1" customHeight="1" x14ac:dyDescent="0.35">
      <c r="A3190" s="1">
        <v>3189</v>
      </c>
      <c r="B3190" s="1">
        <v>612</v>
      </c>
      <c r="C3190" s="1">
        <v>7</v>
      </c>
      <c r="D3190" t="str">
        <f>VLOOKUP(B3190,Заказы!A:C,3,0)</f>
        <v>2023-08-06 15:19:00</v>
      </c>
      <c r="E3190" t="str">
        <f>VLOOKUP(C3190,Меню!A:E,4,0)</f>
        <v>Завтрак</v>
      </c>
      <c r="F3190">
        <f>VLOOKUP(C3190,Меню!A:E,5,0)</f>
        <v>200</v>
      </c>
    </row>
    <row r="3191" spans="1:6" ht="15.75" hidden="1" customHeight="1" x14ac:dyDescent="0.35">
      <c r="A3191" s="1">
        <v>3190</v>
      </c>
      <c r="B3191" s="1">
        <v>612</v>
      </c>
      <c r="C3191" s="1">
        <v>56</v>
      </c>
      <c r="D3191" t="str">
        <f>VLOOKUP(B3191,Заказы!A:C,3,0)</f>
        <v>2023-08-06 15:19:00</v>
      </c>
      <c r="E3191" t="str">
        <f>VLOOKUP(C3191,Меню!A:E,4,0)</f>
        <v>Суши</v>
      </c>
      <c r="F3191">
        <f>VLOOKUP(C3191,Меню!A:E,5,0)</f>
        <v>200</v>
      </c>
    </row>
    <row r="3192" spans="1:6" ht="15.75" hidden="1" customHeight="1" x14ac:dyDescent="0.35">
      <c r="A3192" s="1">
        <v>3191</v>
      </c>
      <c r="B3192" s="1">
        <v>612</v>
      </c>
      <c r="C3192" s="1">
        <v>55</v>
      </c>
      <c r="D3192" t="str">
        <f>VLOOKUP(B3192,Заказы!A:C,3,0)</f>
        <v>2023-08-06 15:19:00</v>
      </c>
      <c r="E3192" t="str">
        <f>VLOOKUP(C3192,Меню!A:E,4,0)</f>
        <v>Суши</v>
      </c>
      <c r="F3192">
        <f>VLOOKUP(C3192,Меню!A:E,5,0)</f>
        <v>100</v>
      </c>
    </row>
    <row r="3193" spans="1:6" ht="15.75" hidden="1" customHeight="1" x14ac:dyDescent="0.35">
      <c r="A3193" s="1">
        <v>3192</v>
      </c>
      <c r="B3193" s="1">
        <v>612</v>
      </c>
      <c r="C3193" s="1">
        <v>6</v>
      </c>
      <c r="D3193" t="str">
        <f>VLOOKUP(B3193,Заказы!A:C,3,0)</f>
        <v>2023-08-06 15:19:00</v>
      </c>
      <c r="E3193" t="str">
        <f>VLOOKUP(C3193,Меню!A:E,4,0)</f>
        <v>Завтрак</v>
      </c>
      <c r="F3193">
        <f>VLOOKUP(C3193,Меню!A:E,5,0)</f>
        <v>300</v>
      </c>
    </row>
    <row r="3194" spans="1:6" ht="15.75" hidden="1" customHeight="1" x14ac:dyDescent="0.35">
      <c r="A3194" s="1">
        <v>3193</v>
      </c>
      <c r="B3194" s="1">
        <v>612</v>
      </c>
      <c r="C3194" s="1">
        <v>48</v>
      </c>
      <c r="D3194" t="str">
        <f>VLOOKUP(B3194,Заказы!A:C,3,0)</f>
        <v>2023-08-06 15:19:00</v>
      </c>
      <c r="E3194" t="str">
        <f>VLOOKUP(C3194,Меню!A:E,4,0)</f>
        <v>Суши</v>
      </c>
      <c r="F3194">
        <f>VLOOKUP(C3194,Меню!A:E,5,0)</f>
        <v>200</v>
      </c>
    </row>
    <row r="3195" spans="1:6" ht="15.75" hidden="1" customHeight="1" x14ac:dyDescent="0.35">
      <c r="A3195" s="1">
        <v>3194</v>
      </c>
      <c r="B3195" s="1">
        <v>612</v>
      </c>
      <c r="C3195" s="1">
        <v>35</v>
      </c>
      <c r="D3195" t="str">
        <f>VLOOKUP(B3195,Заказы!A:C,3,0)</f>
        <v>2023-08-06 15:19:00</v>
      </c>
      <c r="E3195" t="str">
        <f>VLOOKUP(C3195,Меню!A:E,4,0)</f>
        <v>Десерт</v>
      </c>
      <c r="F3195">
        <f>VLOOKUP(C3195,Меню!A:E,5,0)</f>
        <v>150</v>
      </c>
    </row>
    <row r="3196" spans="1:6" ht="15.75" hidden="1" customHeight="1" x14ac:dyDescent="0.35">
      <c r="A3196" s="1">
        <v>3195</v>
      </c>
      <c r="B3196" s="1">
        <v>612</v>
      </c>
      <c r="C3196" s="1">
        <v>30</v>
      </c>
      <c r="D3196" t="str">
        <f>VLOOKUP(B3196,Заказы!A:C,3,0)</f>
        <v>2023-08-06 15:19:00</v>
      </c>
      <c r="E3196" t="str">
        <f>VLOOKUP(C3196,Меню!A:E,4,0)</f>
        <v>Салат</v>
      </c>
      <c r="F3196">
        <f>VLOOKUP(C3196,Меню!A:E,5,0)</f>
        <v>250</v>
      </c>
    </row>
    <row r="3197" spans="1:6" ht="15.75" hidden="1" customHeight="1" x14ac:dyDescent="0.35">
      <c r="A3197" s="1">
        <v>3196</v>
      </c>
      <c r="B3197" s="1">
        <v>612</v>
      </c>
      <c r="C3197" s="1">
        <v>2</v>
      </c>
      <c r="D3197" t="str">
        <f>VLOOKUP(B3197,Заказы!A:C,3,0)</f>
        <v>2023-08-06 15:19:00</v>
      </c>
      <c r="E3197" t="str">
        <f>VLOOKUP(C3197,Меню!A:E,4,0)</f>
        <v>Завтрак</v>
      </c>
      <c r="F3197">
        <f>VLOOKUP(C3197,Меню!A:E,5,0)</f>
        <v>250</v>
      </c>
    </row>
    <row r="3198" spans="1:6" ht="15.75" hidden="1" customHeight="1" x14ac:dyDescent="0.35">
      <c r="A3198" s="1">
        <v>3197</v>
      </c>
      <c r="B3198" s="1">
        <v>613</v>
      </c>
      <c r="C3198" s="1">
        <v>11</v>
      </c>
      <c r="D3198" t="str">
        <f>VLOOKUP(B3198,Заказы!A:C,3,0)</f>
        <v>2023-08-06 16:39:00</v>
      </c>
      <c r="E3198" t="str">
        <f>VLOOKUP(C3198,Меню!A:E,4,0)</f>
        <v>Первое</v>
      </c>
      <c r="F3198">
        <f>VLOOKUP(C3198,Меню!A:E,5,0)</f>
        <v>300</v>
      </c>
    </row>
    <row r="3199" spans="1:6" ht="15.75" hidden="1" customHeight="1" x14ac:dyDescent="0.35">
      <c r="A3199" s="1">
        <v>3198</v>
      </c>
      <c r="B3199" s="1">
        <v>613</v>
      </c>
      <c r="C3199" s="1">
        <v>56</v>
      </c>
      <c r="D3199" t="str">
        <f>VLOOKUP(B3199,Заказы!A:C,3,0)</f>
        <v>2023-08-06 16:39:00</v>
      </c>
      <c r="E3199" t="str">
        <f>VLOOKUP(C3199,Меню!A:E,4,0)</f>
        <v>Суши</v>
      </c>
      <c r="F3199">
        <f>VLOOKUP(C3199,Меню!A:E,5,0)</f>
        <v>200</v>
      </c>
    </row>
    <row r="3200" spans="1:6" ht="15.75" hidden="1" customHeight="1" x14ac:dyDescent="0.35">
      <c r="A3200" s="1">
        <v>3199</v>
      </c>
      <c r="B3200" s="1">
        <v>614</v>
      </c>
      <c r="C3200" s="1">
        <v>33</v>
      </c>
      <c r="D3200" t="str">
        <f>VLOOKUP(B3200,Заказы!A:C,3,0)</f>
        <v>2023-08-06 17:41:00</v>
      </c>
      <c r="E3200" t="str">
        <f>VLOOKUP(C3200,Меню!A:E,4,0)</f>
        <v>Десерт</v>
      </c>
      <c r="F3200">
        <f>VLOOKUP(C3200,Меню!A:E,5,0)</f>
        <v>150</v>
      </c>
    </row>
    <row r="3201" spans="1:6" ht="15.75" hidden="1" customHeight="1" x14ac:dyDescent="0.35">
      <c r="A3201" s="1">
        <v>3200</v>
      </c>
      <c r="B3201" s="1">
        <v>614</v>
      </c>
      <c r="C3201" s="1">
        <v>36</v>
      </c>
      <c r="D3201" t="str">
        <f>VLOOKUP(B3201,Заказы!A:C,3,0)</f>
        <v>2023-08-06 17:41:00</v>
      </c>
      <c r="E3201" t="str">
        <f>VLOOKUP(C3201,Меню!A:E,4,0)</f>
        <v>Десерт</v>
      </c>
      <c r="F3201">
        <f>VLOOKUP(C3201,Меню!A:E,5,0)</f>
        <v>150</v>
      </c>
    </row>
    <row r="3202" spans="1:6" ht="15.75" hidden="1" customHeight="1" x14ac:dyDescent="0.35">
      <c r="A3202" s="1">
        <v>3201</v>
      </c>
      <c r="B3202" s="1">
        <v>614</v>
      </c>
      <c r="C3202" s="1">
        <v>27</v>
      </c>
      <c r="D3202" t="str">
        <f>VLOOKUP(B3202,Заказы!A:C,3,0)</f>
        <v>2023-08-06 17:41:00</v>
      </c>
      <c r="E3202" t="str">
        <f>VLOOKUP(C3202,Меню!A:E,4,0)</f>
        <v>Салат</v>
      </c>
      <c r="F3202">
        <f>VLOOKUP(C3202,Меню!A:E,5,0)</f>
        <v>250</v>
      </c>
    </row>
    <row r="3203" spans="1:6" ht="15.75" hidden="1" customHeight="1" x14ac:dyDescent="0.35">
      <c r="A3203" s="1">
        <v>3202</v>
      </c>
      <c r="B3203" s="1">
        <v>614</v>
      </c>
      <c r="C3203" s="1">
        <v>25</v>
      </c>
      <c r="D3203" t="str">
        <f>VLOOKUP(B3203,Заказы!A:C,3,0)</f>
        <v>2023-08-06 17:41:00</v>
      </c>
      <c r="E3203" t="str">
        <f>VLOOKUP(C3203,Меню!A:E,4,0)</f>
        <v>Салат</v>
      </c>
      <c r="F3203">
        <f>VLOOKUP(C3203,Меню!A:E,5,0)</f>
        <v>250</v>
      </c>
    </row>
    <row r="3204" spans="1:6" ht="15.75" hidden="1" customHeight="1" x14ac:dyDescent="0.35">
      <c r="A3204" s="1">
        <v>3203</v>
      </c>
      <c r="B3204" s="1">
        <v>614</v>
      </c>
      <c r="C3204" s="1">
        <v>19</v>
      </c>
      <c r="D3204" t="str">
        <f>VLOOKUP(B3204,Заказы!A:C,3,0)</f>
        <v>2023-08-06 17:41:00</v>
      </c>
      <c r="E3204" t="str">
        <f>VLOOKUP(C3204,Меню!A:E,4,0)</f>
        <v>Первое</v>
      </c>
      <c r="F3204">
        <f>VLOOKUP(C3204,Меню!A:E,5,0)</f>
        <v>300</v>
      </c>
    </row>
    <row r="3205" spans="1:6" ht="15.75" hidden="1" customHeight="1" x14ac:dyDescent="0.35">
      <c r="A3205" s="1">
        <v>3204</v>
      </c>
      <c r="B3205" s="1">
        <v>615</v>
      </c>
      <c r="C3205" s="1">
        <v>40</v>
      </c>
      <c r="D3205" t="str">
        <f>VLOOKUP(B3205,Заказы!A:C,3,0)</f>
        <v>2023-08-06 19:50:00</v>
      </c>
      <c r="E3205" t="str">
        <f>VLOOKUP(C3205,Меню!A:E,4,0)</f>
        <v>Десерт</v>
      </c>
      <c r="F3205">
        <f>VLOOKUP(C3205,Меню!A:E,5,0)</f>
        <v>150</v>
      </c>
    </row>
    <row r="3206" spans="1:6" ht="15.75" hidden="1" customHeight="1" x14ac:dyDescent="0.35">
      <c r="A3206" s="1">
        <v>3205</v>
      </c>
      <c r="B3206" s="1">
        <v>615</v>
      </c>
      <c r="C3206" s="1">
        <v>55</v>
      </c>
      <c r="D3206" t="str">
        <f>VLOOKUP(B3206,Заказы!A:C,3,0)</f>
        <v>2023-08-06 19:50:00</v>
      </c>
      <c r="E3206" t="str">
        <f>VLOOKUP(C3206,Меню!A:E,4,0)</f>
        <v>Суши</v>
      </c>
      <c r="F3206">
        <f>VLOOKUP(C3206,Меню!A:E,5,0)</f>
        <v>100</v>
      </c>
    </row>
    <row r="3207" spans="1:6" ht="15.75" hidden="1" customHeight="1" x14ac:dyDescent="0.35">
      <c r="A3207" s="1">
        <v>3206</v>
      </c>
      <c r="B3207" s="1">
        <v>615</v>
      </c>
      <c r="C3207" s="1">
        <v>2</v>
      </c>
      <c r="D3207" t="str">
        <f>VLOOKUP(B3207,Заказы!A:C,3,0)</f>
        <v>2023-08-06 19:50:00</v>
      </c>
      <c r="E3207" t="str">
        <f>VLOOKUP(C3207,Меню!A:E,4,0)</f>
        <v>Завтрак</v>
      </c>
      <c r="F3207">
        <f>VLOOKUP(C3207,Меню!A:E,5,0)</f>
        <v>250</v>
      </c>
    </row>
    <row r="3208" spans="1:6" ht="15.75" hidden="1" customHeight="1" x14ac:dyDescent="0.35">
      <c r="A3208" s="1">
        <v>3207</v>
      </c>
      <c r="B3208" s="1">
        <v>615</v>
      </c>
      <c r="C3208" s="1">
        <v>40</v>
      </c>
      <c r="D3208" t="str">
        <f>VLOOKUP(B3208,Заказы!A:C,3,0)</f>
        <v>2023-08-06 19:50:00</v>
      </c>
      <c r="E3208" t="str">
        <f>VLOOKUP(C3208,Меню!A:E,4,0)</f>
        <v>Десерт</v>
      </c>
      <c r="F3208">
        <f>VLOOKUP(C3208,Меню!A:E,5,0)</f>
        <v>150</v>
      </c>
    </row>
    <row r="3209" spans="1:6" ht="15.75" hidden="1" customHeight="1" x14ac:dyDescent="0.35">
      <c r="A3209" s="1">
        <v>3208</v>
      </c>
      <c r="B3209" s="1">
        <v>615</v>
      </c>
      <c r="C3209" s="1">
        <v>60</v>
      </c>
      <c r="D3209" t="str">
        <f>VLOOKUP(B3209,Заказы!A:C,3,0)</f>
        <v>2023-08-06 19:50:00</v>
      </c>
      <c r="E3209" t="str">
        <f>VLOOKUP(C3209,Меню!A:E,4,0)</f>
        <v>Суши</v>
      </c>
      <c r="F3209">
        <f>VLOOKUP(C3209,Меню!A:E,5,0)</f>
        <v>250</v>
      </c>
    </row>
    <row r="3210" spans="1:6" ht="15.75" hidden="1" customHeight="1" x14ac:dyDescent="0.35">
      <c r="A3210" s="1">
        <v>3209</v>
      </c>
      <c r="B3210" s="1">
        <v>616</v>
      </c>
      <c r="C3210" s="1">
        <v>20</v>
      </c>
      <c r="D3210" t="str">
        <f>VLOOKUP(B3210,Заказы!A:C,3,0)</f>
        <v>2023-08-06 22:24:00</v>
      </c>
      <c r="E3210" t="str">
        <f>VLOOKUP(C3210,Меню!A:E,4,0)</f>
        <v>Первое</v>
      </c>
      <c r="F3210">
        <f>VLOOKUP(C3210,Меню!A:E,5,0)</f>
        <v>250</v>
      </c>
    </row>
    <row r="3211" spans="1:6" ht="15.75" hidden="1" customHeight="1" x14ac:dyDescent="0.35">
      <c r="A3211" s="1">
        <v>3210</v>
      </c>
      <c r="B3211" s="1">
        <v>616</v>
      </c>
      <c r="C3211" s="1">
        <v>3</v>
      </c>
      <c r="D3211" t="str">
        <f>VLOOKUP(B3211,Заказы!A:C,3,0)</f>
        <v>2023-08-06 22:24:00</v>
      </c>
      <c r="E3211" t="str">
        <f>VLOOKUP(C3211,Меню!A:E,4,0)</f>
        <v>Завтрак</v>
      </c>
      <c r="F3211">
        <f>VLOOKUP(C3211,Меню!A:E,5,0)</f>
        <v>150</v>
      </c>
    </row>
    <row r="3212" spans="1:6" ht="15.75" hidden="1" customHeight="1" x14ac:dyDescent="0.35">
      <c r="A3212" s="1">
        <v>3211</v>
      </c>
      <c r="B3212" s="1">
        <v>616</v>
      </c>
      <c r="C3212" s="1">
        <v>41</v>
      </c>
      <c r="D3212" t="str">
        <f>VLOOKUP(B3212,Заказы!A:C,3,0)</f>
        <v>2023-08-06 22:24:00</v>
      </c>
      <c r="E3212" t="str">
        <f>VLOOKUP(C3212,Меню!A:E,4,0)</f>
        <v>Суши</v>
      </c>
      <c r="F3212">
        <f>VLOOKUP(C3212,Меню!A:E,5,0)</f>
        <v>220</v>
      </c>
    </row>
    <row r="3213" spans="1:6" ht="15.75" hidden="1" customHeight="1" x14ac:dyDescent="0.35">
      <c r="A3213" s="1">
        <v>3212</v>
      </c>
      <c r="B3213" s="1">
        <v>616</v>
      </c>
      <c r="C3213" s="1">
        <v>24</v>
      </c>
      <c r="D3213" t="str">
        <f>VLOOKUP(B3213,Заказы!A:C,3,0)</f>
        <v>2023-08-06 22:24:00</v>
      </c>
      <c r="E3213" t="str">
        <f>VLOOKUP(C3213,Меню!A:E,4,0)</f>
        <v>Салат</v>
      </c>
      <c r="F3213">
        <f>VLOOKUP(C3213,Меню!A:E,5,0)</f>
        <v>250</v>
      </c>
    </row>
    <row r="3214" spans="1:6" ht="15.75" hidden="1" customHeight="1" x14ac:dyDescent="0.35">
      <c r="A3214" s="1">
        <v>3213</v>
      </c>
      <c r="B3214" s="1">
        <v>616</v>
      </c>
      <c r="C3214" s="1">
        <v>51</v>
      </c>
      <c r="D3214" t="str">
        <f>VLOOKUP(B3214,Заказы!A:C,3,0)</f>
        <v>2023-08-06 22:24:00</v>
      </c>
      <c r="E3214" t="str">
        <f>VLOOKUP(C3214,Меню!A:E,4,0)</f>
        <v>Суши</v>
      </c>
      <c r="F3214">
        <f>VLOOKUP(C3214,Меню!A:E,5,0)</f>
        <v>100</v>
      </c>
    </row>
    <row r="3215" spans="1:6" ht="15.75" hidden="1" customHeight="1" x14ac:dyDescent="0.35">
      <c r="A3215" s="1">
        <v>3214</v>
      </c>
      <c r="B3215" s="1">
        <v>617</v>
      </c>
      <c r="C3215" s="1">
        <v>52</v>
      </c>
      <c r="D3215" t="str">
        <f>VLOOKUP(B3215,Заказы!A:C,3,0)</f>
        <v>2023-08-07 15:25:00</v>
      </c>
      <c r="E3215" t="str">
        <f>VLOOKUP(C3215,Меню!A:E,4,0)</f>
        <v>Суши</v>
      </c>
      <c r="F3215">
        <f>VLOOKUP(C3215,Меню!A:E,5,0)</f>
        <v>100</v>
      </c>
    </row>
    <row r="3216" spans="1:6" ht="15.75" hidden="1" customHeight="1" x14ac:dyDescent="0.35">
      <c r="A3216" s="1">
        <v>3215</v>
      </c>
      <c r="B3216" s="1">
        <v>617</v>
      </c>
      <c r="C3216" s="1">
        <v>39</v>
      </c>
      <c r="D3216" t="str">
        <f>VLOOKUP(B3216,Заказы!A:C,3,0)</f>
        <v>2023-08-07 15:25:00</v>
      </c>
      <c r="E3216" t="str">
        <f>VLOOKUP(C3216,Меню!A:E,4,0)</f>
        <v>Десерт</v>
      </c>
      <c r="F3216">
        <f>VLOOKUP(C3216,Меню!A:E,5,0)</f>
        <v>150</v>
      </c>
    </row>
    <row r="3217" spans="1:6" ht="15.75" hidden="1" customHeight="1" x14ac:dyDescent="0.35">
      <c r="A3217" s="1">
        <v>3216</v>
      </c>
      <c r="B3217" s="1">
        <v>618</v>
      </c>
      <c r="C3217" s="1">
        <v>38</v>
      </c>
      <c r="D3217" t="str">
        <f>VLOOKUP(B3217,Заказы!A:C,3,0)</f>
        <v>2023-08-07 16:00:00</v>
      </c>
      <c r="E3217" t="str">
        <f>VLOOKUP(C3217,Меню!A:E,4,0)</f>
        <v>Десерт</v>
      </c>
      <c r="F3217">
        <f>VLOOKUP(C3217,Меню!A:E,5,0)</f>
        <v>150</v>
      </c>
    </row>
    <row r="3218" spans="1:6" ht="15.75" hidden="1" customHeight="1" x14ac:dyDescent="0.35">
      <c r="A3218" s="1">
        <v>3217</v>
      </c>
      <c r="B3218" s="1">
        <v>618</v>
      </c>
      <c r="C3218" s="1">
        <v>17</v>
      </c>
      <c r="D3218" t="str">
        <f>VLOOKUP(B3218,Заказы!A:C,3,0)</f>
        <v>2023-08-07 16:00:00</v>
      </c>
      <c r="E3218" t="str">
        <f>VLOOKUP(C3218,Меню!A:E,4,0)</f>
        <v>Первое</v>
      </c>
      <c r="F3218">
        <f>VLOOKUP(C3218,Меню!A:E,5,0)</f>
        <v>250</v>
      </c>
    </row>
    <row r="3219" spans="1:6" ht="15.75" hidden="1" customHeight="1" x14ac:dyDescent="0.35">
      <c r="A3219" s="1">
        <v>3218</v>
      </c>
      <c r="B3219" s="1">
        <v>618</v>
      </c>
      <c r="C3219" s="1">
        <v>52</v>
      </c>
      <c r="D3219" t="str">
        <f>VLOOKUP(B3219,Заказы!A:C,3,0)</f>
        <v>2023-08-07 16:00:00</v>
      </c>
      <c r="E3219" t="str">
        <f>VLOOKUP(C3219,Меню!A:E,4,0)</f>
        <v>Суши</v>
      </c>
      <c r="F3219">
        <f>VLOOKUP(C3219,Меню!A:E,5,0)</f>
        <v>100</v>
      </c>
    </row>
    <row r="3220" spans="1:6" ht="15.75" hidden="1" customHeight="1" x14ac:dyDescent="0.35">
      <c r="A3220" s="1">
        <v>3219</v>
      </c>
      <c r="B3220" s="1">
        <v>618</v>
      </c>
      <c r="C3220" s="1">
        <v>21</v>
      </c>
      <c r="D3220" t="str">
        <f>VLOOKUP(B3220,Заказы!A:C,3,0)</f>
        <v>2023-08-07 16:00:00</v>
      </c>
      <c r="E3220" t="str">
        <f>VLOOKUP(C3220,Меню!A:E,4,0)</f>
        <v>Салат</v>
      </c>
      <c r="F3220">
        <f>VLOOKUP(C3220,Меню!A:E,5,0)</f>
        <v>250</v>
      </c>
    </row>
    <row r="3221" spans="1:6" ht="15.75" hidden="1" customHeight="1" x14ac:dyDescent="0.35">
      <c r="A3221" s="1">
        <v>3220</v>
      </c>
      <c r="B3221" s="1">
        <v>618</v>
      </c>
      <c r="C3221" s="1">
        <v>15</v>
      </c>
      <c r="D3221" t="str">
        <f>VLOOKUP(B3221,Заказы!A:C,3,0)</f>
        <v>2023-08-07 16:00:00</v>
      </c>
      <c r="E3221" t="str">
        <f>VLOOKUP(C3221,Меню!A:E,4,0)</f>
        <v>Первое</v>
      </c>
      <c r="F3221">
        <f>VLOOKUP(C3221,Меню!A:E,5,0)</f>
        <v>250</v>
      </c>
    </row>
    <row r="3222" spans="1:6" ht="15.75" hidden="1" customHeight="1" x14ac:dyDescent="0.35">
      <c r="A3222" s="1">
        <v>3221</v>
      </c>
      <c r="B3222" s="1">
        <v>618</v>
      </c>
      <c r="C3222" s="1">
        <v>8</v>
      </c>
      <c r="D3222" t="str">
        <f>VLOOKUP(B3222,Заказы!A:C,3,0)</f>
        <v>2023-08-07 16:00:00</v>
      </c>
      <c r="E3222" t="str">
        <f>VLOOKUP(C3222,Меню!A:E,4,0)</f>
        <v>Завтрак</v>
      </c>
      <c r="F3222">
        <f>VLOOKUP(C3222,Меню!A:E,5,0)</f>
        <v>180</v>
      </c>
    </row>
    <row r="3223" spans="1:6" ht="15.75" hidden="1" customHeight="1" x14ac:dyDescent="0.35">
      <c r="A3223" s="1">
        <v>3222</v>
      </c>
      <c r="B3223" s="1">
        <v>618</v>
      </c>
      <c r="C3223" s="1">
        <v>56</v>
      </c>
      <c r="D3223" t="str">
        <f>VLOOKUP(B3223,Заказы!A:C,3,0)</f>
        <v>2023-08-07 16:00:00</v>
      </c>
      <c r="E3223" t="str">
        <f>VLOOKUP(C3223,Меню!A:E,4,0)</f>
        <v>Суши</v>
      </c>
      <c r="F3223">
        <f>VLOOKUP(C3223,Меню!A:E,5,0)</f>
        <v>200</v>
      </c>
    </row>
    <row r="3224" spans="1:6" ht="15.75" hidden="1" customHeight="1" x14ac:dyDescent="0.35">
      <c r="A3224" s="1">
        <v>3223</v>
      </c>
      <c r="B3224" s="1">
        <v>618</v>
      </c>
      <c r="C3224" s="1">
        <v>23</v>
      </c>
      <c r="D3224" t="str">
        <f>VLOOKUP(B3224,Заказы!A:C,3,0)</f>
        <v>2023-08-07 16:00:00</v>
      </c>
      <c r="E3224" t="str">
        <f>VLOOKUP(C3224,Меню!A:E,4,0)</f>
        <v>Салат</v>
      </c>
      <c r="F3224">
        <f>VLOOKUP(C3224,Меню!A:E,5,0)</f>
        <v>250</v>
      </c>
    </row>
    <row r="3225" spans="1:6" ht="15.75" hidden="1" customHeight="1" x14ac:dyDescent="0.35">
      <c r="A3225" s="1">
        <v>3224</v>
      </c>
      <c r="B3225" s="1">
        <v>619</v>
      </c>
      <c r="C3225" s="1">
        <v>6</v>
      </c>
      <c r="D3225" t="str">
        <f>VLOOKUP(B3225,Заказы!A:C,3,0)</f>
        <v>2023-08-07 16:06:00</v>
      </c>
      <c r="E3225" t="str">
        <f>VLOOKUP(C3225,Меню!A:E,4,0)</f>
        <v>Завтрак</v>
      </c>
      <c r="F3225">
        <f>VLOOKUP(C3225,Меню!A:E,5,0)</f>
        <v>300</v>
      </c>
    </row>
    <row r="3226" spans="1:6" ht="15.75" hidden="1" customHeight="1" x14ac:dyDescent="0.35">
      <c r="A3226" s="1">
        <v>3225</v>
      </c>
      <c r="B3226" s="1">
        <v>619</v>
      </c>
      <c r="C3226" s="1">
        <v>16</v>
      </c>
      <c r="D3226" t="str">
        <f>VLOOKUP(B3226,Заказы!A:C,3,0)</f>
        <v>2023-08-07 16:06:00</v>
      </c>
      <c r="E3226" t="str">
        <f>VLOOKUP(C3226,Меню!A:E,4,0)</f>
        <v>Первое</v>
      </c>
      <c r="F3226">
        <f>VLOOKUP(C3226,Меню!A:E,5,0)</f>
        <v>250</v>
      </c>
    </row>
    <row r="3227" spans="1:6" ht="15.75" hidden="1" customHeight="1" x14ac:dyDescent="0.35">
      <c r="A3227" s="1">
        <v>3226</v>
      </c>
      <c r="B3227" s="1">
        <v>619</v>
      </c>
      <c r="C3227" s="1">
        <v>57</v>
      </c>
      <c r="D3227" t="str">
        <f>VLOOKUP(B3227,Заказы!A:C,3,0)</f>
        <v>2023-08-07 16:06:00</v>
      </c>
      <c r="E3227" t="str">
        <f>VLOOKUP(C3227,Меню!A:E,4,0)</f>
        <v>Суши</v>
      </c>
      <c r="F3227">
        <f>VLOOKUP(C3227,Меню!A:E,5,0)</f>
        <v>200</v>
      </c>
    </row>
    <row r="3228" spans="1:6" ht="15.75" hidden="1" customHeight="1" x14ac:dyDescent="0.35">
      <c r="A3228" s="1">
        <v>3227</v>
      </c>
      <c r="B3228" s="1">
        <v>620</v>
      </c>
      <c r="C3228" s="1">
        <v>23</v>
      </c>
      <c r="D3228" t="str">
        <f>VLOOKUP(B3228,Заказы!A:C,3,0)</f>
        <v>2023-08-07 16:17:00</v>
      </c>
      <c r="E3228" t="str">
        <f>VLOOKUP(C3228,Меню!A:E,4,0)</f>
        <v>Салат</v>
      </c>
      <c r="F3228">
        <f>VLOOKUP(C3228,Меню!A:E,5,0)</f>
        <v>250</v>
      </c>
    </row>
    <row r="3229" spans="1:6" ht="15.75" hidden="1" customHeight="1" x14ac:dyDescent="0.35">
      <c r="A3229" s="1">
        <v>3228</v>
      </c>
      <c r="B3229" s="1">
        <v>620</v>
      </c>
      <c r="C3229" s="1">
        <v>40</v>
      </c>
      <c r="D3229" t="str">
        <f>VLOOKUP(B3229,Заказы!A:C,3,0)</f>
        <v>2023-08-07 16:17:00</v>
      </c>
      <c r="E3229" t="str">
        <f>VLOOKUP(C3229,Меню!A:E,4,0)</f>
        <v>Десерт</v>
      </c>
      <c r="F3229">
        <f>VLOOKUP(C3229,Меню!A:E,5,0)</f>
        <v>150</v>
      </c>
    </row>
    <row r="3230" spans="1:6" ht="15.75" hidden="1" customHeight="1" x14ac:dyDescent="0.35">
      <c r="A3230" s="1">
        <v>3229</v>
      </c>
      <c r="B3230" s="1">
        <v>620</v>
      </c>
      <c r="C3230" s="1">
        <v>39</v>
      </c>
      <c r="D3230" t="str">
        <f>VLOOKUP(B3230,Заказы!A:C,3,0)</f>
        <v>2023-08-07 16:17:00</v>
      </c>
      <c r="E3230" t="str">
        <f>VLOOKUP(C3230,Меню!A:E,4,0)</f>
        <v>Десерт</v>
      </c>
      <c r="F3230">
        <f>VLOOKUP(C3230,Меню!A:E,5,0)</f>
        <v>150</v>
      </c>
    </row>
    <row r="3231" spans="1:6" ht="15.75" hidden="1" customHeight="1" x14ac:dyDescent="0.35">
      <c r="A3231" s="1">
        <v>3230</v>
      </c>
      <c r="B3231" s="1">
        <v>620</v>
      </c>
      <c r="C3231" s="1">
        <v>11</v>
      </c>
      <c r="D3231" t="str">
        <f>VLOOKUP(B3231,Заказы!A:C,3,0)</f>
        <v>2023-08-07 16:17:00</v>
      </c>
      <c r="E3231" t="str">
        <f>VLOOKUP(C3231,Меню!A:E,4,0)</f>
        <v>Первое</v>
      </c>
      <c r="F3231">
        <f>VLOOKUP(C3231,Меню!A:E,5,0)</f>
        <v>300</v>
      </c>
    </row>
    <row r="3232" spans="1:6" ht="15.75" hidden="1" customHeight="1" x14ac:dyDescent="0.35">
      <c r="A3232" s="1">
        <v>3231</v>
      </c>
      <c r="B3232" s="1">
        <v>621</v>
      </c>
      <c r="C3232" s="1">
        <v>28</v>
      </c>
      <c r="D3232" t="str">
        <f>VLOOKUP(B3232,Заказы!A:C,3,0)</f>
        <v>2023-08-07 20:28:00</v>
      </c>
      <c r="E3232" t="str">
        <f>VLOOKUP(C3232,Меню!A:E,4,0)</f>
        <v>Салат</v>
      </c>
      <c r="F3232">
        <f>VLOOKUP(C3232,Меню!A:E,5,0)</f>
        <v>250</v>
      </c>
    </row>
    <row r="3233" spans="1:6" ht="15.75" hidden="1" customHeight="1" x14ac:dyDescent="0.35">
      <c r="A3233" s="1">
        <v>3232</v>
      </c>
      <c r="B3233" s="1">
        <v>621</v>
      </c>
      <c r="C3233" s="1">
        <v>47</v>
      </c>
      <c r="D3233" t="str">
        <f>VLOOKUP(B3233,Заказы!A:C,3,0)</f>
        <v>2023-08-07 20:28:00</v>
      </c>
      <c r="E3233" t="str">
        <f>VLOOKUP(C3233,Меню!A:E,4,0)</f>
        <v>Суши</v>
      </c>
      <c r="F3233">
        <f>VLOOKUP(C3233,Меню!A:E,5,0)</f>
        <v>200</v>
      </c>
    </row>
    <row r="3234" spans="1:6" ht="15.75" hidden="1" customHeight="1" x14ac:dyDescent="0.35">
      <c r="A3234" s="1">
        <v>3233</v>
      </c>
      <c r="B3234" s="1">
        <v>621</v>
      </c>
      <c r="C3234" s="1">
        <v>23</v>
      </c>
      <c r="D3234" t="str">
        <f>VLOOKUP(B3234,Заказы!A:C,3,0)</f>
        <v>2023-08-07 20:28:00</v>
      </c>
      <c r="E3234" t="str">
        <f>VLOOKUP(C3234,Меню!A:E,4,0)</f>
        <v>Салат</v>
      </c>
      <c r="F3234">
        <f>VLOOKUP(C3234,Меню!A:E,5,0)</f>
        <v>250</v>
      </c>
    </row>
    <row r="3235" spans="1:6" ht="15.75" hidden="1" customHeight="1" x14ac:dyDescent="0.35">
      <c r="A3235" s="1">
        <v>3234</v>
      </c>
      <c r="B3235" s="1">
        <v>621</v>
      </c>
      <c r="C3235" s="1">
        <v>26</v>
      </c>
      <c r="D3235" t="str">
        <f>VLOOKUP(B3235,Заказы!A:C,3,0)</f>
        <v>2023-08-07 20:28:00</v>
      </c>
      <c r="E3235" t="str">
        <f>VLOOKUP(C3235,Меню!A:E,4,0)</f>
        <v>Салат</v>
      </c>
      <c r="F3235">
        <f>VLOOKUP(C3235,Меню!A:E,5,0)</f>
        <v>250</v>
      </c>
    </row>
    <row r="3236" spans="1:6" ht="15.75" hidden="1" customHeight="1" x14ac:dyDescent="0.35">
      <c r="A3236" s="1">
        <v>3235</v>
      </c>
      <c r="B3236" s="1">
        <v>621</v>
      </c>
      <c r="C3236" s="1">
        <v>54</v>
      </c>
      <c r="D3236" t="str">
        <f>VLOOKUP(B3236,Заказы!A:C,3,0)</f>
        <v>2023-08-07 20:28:00</v>
      </c>
      <c r="E3236" t="str">
        <f>VLOOKUP(C3236,Меню!A:E,4,0)</f>
        <v>Суши</v>
      </c>
      <c r="F3236">
        <f>VLOOKUP(C3236,Меню!A:E,5,0)</f>
        <v>100</v>
      </c>
    </row>
    <row r="3237" spans="1:6" ht="15.75" hidden="1" customHeight="1" x14ac:dyDescent="0.35">
      <c r="A3237" s="1">
        <v>3236</v>
      </c>
      <c r="B3237" s="1">
        <v>622</v>
      </c>
      <c r="C3237" s="1">
        <v>42</v>
      </c>
      <c r="D3237" t="str">
        <f>VLOOKUP(B3237,Заказы!A:C,3,0)</f>
        <v>2023-08-08 15:00:00</v>
      </c>
      <c r="E3237" t="str">
        <f>VLOOKUP(C3237,Меню!A:E,4,0)</f>
        <v>Суши</v>
      </c>
      <c r="F3237">
        <f>VLOOKUP(C3237,Меню!A:E,5,0)</f>
        <v>250</v>
      </c>
    </row>
    <row r="3238" spans="1:6" ht="15.75" hidden="1" customHeight="1" x14ac:dyDescent="0.35">
      <c r="A3238" s="1">
        <v>3237</v>
      </c>
      <c r="B3238" s="1">
        <v>622</v>
      </c>
      <c r="C3238" s="1">
        <v>2</v>
      </c>
      <c r="D3238" t="str">
        <f>VLOOKUP(B3238,Заказы!A:C,3,0)</f>
        <v>2023-08-08 15:00:00</v>
      </c>
      <c r="E3238" t="str">
        <f>VLOOKUP(C3238,Меню!A:E,4,0)</f>
        <v>Завтрак</v>
      </c>
      <c r="F3238">
        <f>VLOOKUP(C3238,Меню!A:E,5,0)</f>
        <v>250</v>
      </c>
    </row>
    <row r="3239" spans="1:6" ht="15.75" hidden="1" customHeight="1" x14ac:dyDescent="0.35">
      <c r="A3239" s="1">
        <v>3238</v>
      </c>
      <c r="B3239" s="1">
        <v>622</v>
      </c>
      <c r="C3239" s="1">
        <v>32</v>
      </c>
      <c r="D3239" t="str">
        <f>VLOOKUP(B3239,Заказы!A:C,3,0)</f>
        <v>2023-08-08 15:00:00</v>
      </c>
      <c r="E3239" t="str">
        <f>VLOOKUP(C3239,Меню!A:E,4,0)</f>
        <v>Десерт</v>
      </c>
      <c r="F3239">
        <f>VLOOKUP(C3239,Меню!A:E,5,0)</f>
        <v>150</v>
      </c>
    </row>
    <row r="3240" spans="1:6" ht="15.75" hidden="1" customHeight="1" x14ac:dyDescent="0.35">
      <c r="A3240" s="1">
        <v>3239</v>
      </c>
      <c r="B3240" s="1">
        <v>623</v>
      </c>
      <c r="C3240" s="1">
        <v>55</v>
      </c>
      <c r="D3240" t="str">
        <f>VLOOKUP(B3240,Заказы!A:C,3,0)</f>
        <v>2023-08-08 15:16:00</v>
      </c>
      <c r="E3240" t="str">
        <f>VLOOKUP(C3240,Меню!A:E,4,0)</f>
        <v>Суши</v>
      </c>
      <c r="F3240">
        <f>VLOOKUP(C3240,Меню!A:E,5,0)</f>
        <v>100</v>
      </c>
    </row>
    <row r="3241" spans="1:6" ht="15.75" hidden="1" customHeight="1" x14ac:dyDescent="0.35">
      <c r="A3241" s="1">
        <v>3240</v>
      </c>
      <c r="B3241" s="1">
        <v>623</v>
      </c>
      <c r="C3241" s="1">
        <v>42</v>
      </c>
      <c r="D3241" t="str">
        <f>VLOOKUP(B3241,Заказы!A:C,3,0)</f>
        <v>2023-08-08 15:16:00</v>
      </c>
      <c r="E3241" t="str">
        <f>VLOOKUP(C3241,Меню!A:E,4,0)</f>
        <v>Суши</v>
      </c>
      <c r="F3241">
        <f>VLOOKUP(C3241,Меню!A:E,5,0)</f>
        <v>250</v>
      </c>
    </row>
    <row r="3242" spans="1:6" ht="15.75" hidden="1" customHeight="1" x14ac:dyDescent="0.35">
      <c r="A3242" s="1">
        <v>3241</v>
      </c>
      <c r="B3242" s="1">
        <v>623</v>
      </c>
      <c r="C3242" s="1">
        <v>15</v>
      </c>
      <c r="D3242" t="str">
        <f>VLOOKUP(B3242,Заказы!A:C,3,0)</f>
        <v>2023-08-08 15:16:00</v>
      </c>
      <c r="E3242" t="str">
        <f>VLOOKUP(C3242,Меню!A:E,4,0)</f>
        <v>Первое</v>
      </c>
      <c r="F3242">
        <f>VLOOKUP(C3242,Меню!A:E,5,0)</f>
        <v>250</v>
      </c>
    </row>
    <row r="3243" spans="1:6" ht="15.75" hidden="1" customHeight="1" x14ac:dyDescent="0.35">
      <c r="A3243" s="1">
        <v>3242</v>
      </c>
      <c r="B3243" s="1">
        <v>623</v>
      </c>
      <c r="C3243" s="1">
        <v>7</v>
      </c>
      <c r="D3243" t="str">
        <f>VLOOKUP(B3243,Заказы!A:C,3,0)</f>
        <v>2023-08-08 15:16:00</v>
      </c>
      <c r="E3243" t="str">
        <f>VLOOKUP(C3243,Меню!A:E,4,0)</f>
        <v>Завтрак</v>
      </c>
      <c r="F3243">
        <f>VLOOKUP(C3243,Меню!A:E,5,0)</f>
        <v>200</v>
      </c>
    </row>
    <row r="3244" spans="1:6" ht="15.75" hidden="1" customHeight="1" x14ac:dyDescent="0.35">
      <c r="A3244" s="1">
        <v>3243</v>
      </c>
      <c r="B3244" s="1">
        <v>623</v>
      </c>
      <c r="C3244" s="1">
        <v>5</v>
      </c>
      <c r="D3244" t="str">
        <f>VLOOKUP(B3244,Заказы!A:C,3,0)</f>
        <v>2023-08-08 15:16:00</v>
      </c>
      <c r="E3244" t="str">
        <f>VLOOKUP(C3244,Меню!A:E,4,0)</f>
        <v>Завтрак</v>
      </c>
      <c r="F3244">
        <f>VLOOKUP(C3244,Меню!A:E,5,0)</f>
        <v>220</v>
      </c>
    </row>
    <row r="3245" spans="1:6" ht="15.75" hidden="1" customHeight="1" x14ac:dyDescent="0.35">
      <c r="A3245" s="1">
        <v>3244</v>
      </c>
      <c r="B3245" s="1">
        <v>623</v>
      </c>
      <c r="C3245" s="1">
        <v>59</v>
      </c>
      <c r="D3245" t="str">
        <f>VLOOKUP(B3245,Заказы!A:C,3,0)</f>
        <v>2023-08-08 15:16:00</v>
      </c>
      <c r="E3245" t="str">
        <f>VLOOKUP(C3245,Меню!A:E,4,0)</f>
        <v>Суши</v>
      </c>
      <c r="F3245">
        <f>VLOOKUP(C3245,Меню!A:E,5,0)</f>
        <v>300</v>
      </c>
    </row>
    <row r="3246" spans="1:6" ht="15.75" hidden="1" customHeight="1" x14ac:dyDescent="0.35">
      <c r="A3246" s="1">
        <v>3245</v>
      </c>
      <c r="B3246" s="1">
        <v>623</v>
      </c>
      <c r="C3246" s="1">
        <v>51</v>
      </c>
      <c r="D3246" t="str">
        <f>VLOOKUP(B3246,Заказы!A:C,3,0)</f>
        <v>2023-08-08 15:16:00</v>
      </c>
      <c r="E3246" t="str">
        <f>VLOOKUP(C3246,Меню!A:E,4,0)</f>
        <v>Суши</v>
      </c>
      <c r="F3246">
        <f>VLOOKUP(C3246,Меню!A:E,5,0)</f>
        <v>100</v>
      </c>
    </row>
    <row r="3247" spans="1:6" ht="15.75" hidden="1" customHeight="1" x14ac:dyDescent="0.35">
      <c r="A3247" s="1">
        <v>3246</v>
      </c>
      <c r="B3247" s="1">
        <v>623</v>
      </c>
      <c r="C3247" s="1">
        <v>29</v>
      </c>
      <c r="D3247" t="str">
        <f>VLOOKUP(B3247,Заказы!A:C,3,0)</f>
        <v>2023-08-08 15:16:00</v>
      </c>
      <c r="E3247" t="str">
        <f>VLOOKUP(C3247,Меню!A:E,4,0)</f>
        <v>Салат</v>
      </c>
      <c r="F3247">
        <f>VLOOKUP(C3247,Меню!A:E,5,0)</f>
        <v>250</v>
      </c>
    </row>
    <row r="3248" spans="1:6" ht="15.75" hidden="1" customHeight="1" x14ac:dyDescent="0.35">
      <c r="A3248" s="1">
        <v>3247</v>
      </c>
      <c r="B3248" s="1">
        <v>623</v>
      </c>
      <c r="C3248" s="1">
        <v>5</v>
      </c>
      <c r="D3248" t="str">
        <f>VLOOKUP(B3248,Заказы!A:C,3,0)</f>
        <v>2023-08-08 15:16:00</v>
      </c>
      <c r="E3248" t="str">
        <f>VLOOKUP(C3248,Меню!A:E,4,0)</f>
        <v>Завтрак</v>
      </c>
      <c r="F3248">
        <f>VLOOKUP(C3248,Меню!A:E,5,0)</f>
        <v>220</v>
      </c>
    </row>
    <row r="3249" spans="1:6" ht="15.75" hidden="1" customHeight="1" x14ac:dyDescent="0.35">
      <c r="A3249" s="1">
        <v>3248</v>
      </c>
      <c r="B3249" s="1">
        <v>623</v>
      </c>
      <c r="C3249" s="1">
        <v>13</v>
      </c>
      <c r="D3249" t="str">
        <f>VLOOKUP(B3249,Заказы!A:C,3,0)</f>
        <v>2023-08-08 15:16:00</v>
      </c>
      <c r="E3249" t="str">
        <f>VLOOKUP(C3249,Меню!A:E,4,0)</f>
        <v>Первое</v>
      </c>
      <c r="F3249">
        <f>VLOOKUP(C3249,Меню!A:E,5,0)</f>
        <v>280</v>
      </c>
    </row>
    <row r="3250" spans="1:6" ht="15.75" hidden="1" customHeight="1" x14ac:dyDescent="0.35">
      <c r="A3250" s="1">
        <v>3249</v>
      </c>
      <c r="B3250" s="1">
        <v>623</v>
      </c>
      <c r="C3250" s="1">
        <v>25</v>
      </c>
      <c r="D3250" t="str">
        <f>VLOOKUP(B3250,Заказы!A:C,3,0)</f>
        <v>2023-08-08 15:16:00</v>
      </c>
      <c r="E3250" t="str">
        <f>VLOOKUP(C3250,Меню!A:E,4,0)</f>
        <v>Салат</v>
      </c>
      <c r="F3250">
        <f>VLOOKUP(C3250,Меню!A:E,5,0)</f>
        <v>250</v>
      </c>
    </row>
    <row r="3251" spans="1:6" ht="15.75" hidden="1" customHeight="1" x14ac:dyDescent="0.35">
      <c r="A3251" s="1">
        <v>3250</v>
      </c>
      <c r="B3251" s="1">
        <v>623</v>
      </c>
      <c r="C3251" s="1">
        <v>40</v>
      </c>
      <c r="D3251" t="str">
        <f>VLOOKUP(B3251,Заказы!A:C,3,0)</f>
        <v>2023-08-08 15:16:00</v>
      </c>
      <c r="E3251" t="str">
        <f>VLOOKUP(C3251,Меню!A:E,4,0)</f>
        <v>Десерт</v>
      </c>
      <c r="F3251">
        <f>VLOOKUP(C3251,Меню!A:E,5,0)</f>
        <v>150</v>
      </c>
    </row>
    <row r="3252" spans="1:6" ht="15.75" hidden="1" customHeight="1" x14ac:dyDescent="0.35">
      <c r="A3252" s="1">
        <v>3251</v>
      </c>
      <c r="B3252" s="1">
        <v>623</v>
      </c>
      <c r="C3252" s="1">
        <v>49</v>
      </c>
      <c r="D3252" t="str">
        <f>VLOOKUP(B3252,Заказы!A:C,3,0)</f>
        <v>2023-08-08 15:16:00</v>
      </c>
      <c r="E3252" t="str">
        <f>VLOOKUP(C3252,Меню!A:E,4,0)</f>
        <v>Суши</v>
      </c>
      <c r="F3252">
        <f>VLOOKUP(C3252,Меню!A:E,5,0)</f>
        <v>200</v>
      </c>
    </row>
    <row r="3253" spans="1:6" ht="15.75" hidden="1" customHeight="1" x14ac:dyDescent="0.35">
      <c r="A3253" s="1">
        <v>3252</v>
      </c>
      <c r="B3253" s="1">
        <v>624</v>
      </c>
      <c r="C3253" s="1">
        <v>42</v>
      </c>
      <c r="D3253" t="str">
        <f>VLOOKUP(B3253,Заказы!A:C,3,0)</f>
        <v>2023-08-08 15:39:00</v>
      </c>
      <c r="E3253" t="str">
        <f>VLOOKUP(C3253,Меню!A:E,4,0)</f>
        <v>Суши</v>
      </c>
      <c r="F3253">
        <f>VLOOKUP(C3253,Меню!A:E,5,0)</f>
        <v>250</v>
      </c>
    </row>
    <row r="3254" spans="1:6" ht="15.75" hidden="1" customHeight="1" x14ac:dyDescent="0.35">
      <c r="A3254" s="1">
        <v>3253</v>
      </c>
      <c r="B3254" s="1">
        <v>624</v>
      </c>
      <c r="C3254" s="1">
        <v>60</v>
      </c>
      <c r="D3254" t="str">
        <f>VLOOKUP(B3254,Заказы!A:C,3,0)</f>
        <v>2023-08-08 15:39:00</v>
      </c>
      <c r="E3254" t="str">
        <f>VLOOKUP(C3254,Меню!A:E,4,0)</f>
        <v>Суши</v>
      </c>
      <c r="F3254">
        <f>VLOOKUP(C3254,Меню!A:E,5,0)</f>
        <v>250</v>
      </c>
    </row>
    <row r="3255" spans="1:6" ht="15.75" hidden="1" customHeight="1" x14ac:dyDescent="0.35">
      <c r="A3255" s="1">
        <v>3254</v>
      </c>
      <c r="B3255" s="1">
        <v>624</v>
      </c>
      <c r="C3255" s="1">
        <v>52</v>
      </c>
      <c r="D3255" t="str">
        <f>VLOOKUP(B3255,Заказы!A:C,3,0)</f>
        <v>2023-08-08 15:39:00</v>
      </c>
      <c r="E3255" t="str">
        <f>VLOOKUP(C3255,Меню!A:E,4,0)</f>
        <v>Суши</v>
      </c>
      <c r="F3255">
        <f>VLOOKUP(C3255,Меню!A:E,5,0)</f>
        <v>100</v>
      </c>
    </row>
    <row r="3256" spans="1:6" ht="15.75" hidden="1" customHeight="1" x14ac:dyDescent="0.35">
      <c r="A3256" s="1">
        <v>3255</v>
      </c>
      <c r="B3256" s="1">
        <v>624</v>
      </c>
      <c r="C3256" s="1">
        <v>13</v>
      </c>
      <c r="D3256" t="str">
        <f>VLOOKUP(B3256,Заказы!A:C,3,0)</f>
        <v>2023-08-08 15:39:00</v>
      </c>
      <c r="E3256" t="str">
        <f>VLOOKUP(C3256,Меню!A:E,4,0)</f>
        <v>Первое</v>
      </c>
      <c r="F3256">
        <f>VLOOKUP(C3256,Меню!A:E,5,0)</f>
        <v>280</v>
      </c>
    </row>
    <row r="3257" spans="1:6" ht="15.75" hidden="1" customHeight="1" x14ac:dyDescent="0.35">
      <c r="A3257" s="1">
        <v>3256</v>
      </c>
      <c r="B3257" s="1">
        <v>624</v>
      </c>
      <c r="C3257" s="1">
        <v>7</v>
      </c>
      <c r="D3257" t="str">
        <f>VLOOKUP(B3257,Заказы!A:C,3,0)</f>
        <v>2023-08-08 15:39:00</v>
      </c>
      <c r="E3257" t="str">
        <f>VLOOKUP(C3257,Меню!A:E,4,0)</f>
        <v>Завтрак</v>
      </c>
      <c r="F3257">
        <f>VLOOKUP(C3257,Меню!A:E,5,0)</f>
        <v>200</v>
      </c>
    </row>
    <row r="3258" spans="1:6" ht="15.75" hidden="1" customHeight="1" x14ac:dyDescent="0.35">
      <c r="A3258" s="1">
        <v>3257</v>
      </c>
      <c r="B3258" s="1">
        <v>624</v>
      </c>
      <c r="C3258" s="1">
        <v>30</v>
      </c>
      <c r="D3258" t="str">
        <f>VLOOKUP(B3258,Заказы!A:C,3,0)</f>
        <v>2023-08-08 15:39:00</v>
      </c>
      <c r="E3258" t="str">
        <f>VLOOKUP(C3258,Меню!A:E,4,0)</f>
        <v>Салат</v>
      </c>
      <c r="F3258">
        <f>VLOOKUP(C3258,Меню!A:E,5,0)</f>
        <v>250</v>
      </c>
    </row>
    <row r="3259" spans="1:6" ht="15.75" hidden="1" customHeight="1" x14ac:dyDescent="0.35">
      <c r="A3259" s="1">
        <v>3258</v>
      </c>
      <c r="B3259" s="1">
        <v>624</v>
      </c>
      <c r="C3259" s="1">
        <v>42</v>
      </c>
      <c r="D3259" t="str">
        <f>VLOOKUP(B3259,Заказы!A:C,3,0)</f>
        <v>2023-08-08 15:39:00</v>
      </c>
      <c r="E3259" t="str">
        <f>VLOOKUP(C3259,Меню!A:E,4,0)</f>
        <v>Суши</v>
      </c>
      <c r="F3259">
        <f>VLOOKUP(C3259,Меню!A:E,5,0)</f>
        <v>250</v>
      </c>
    </row>
    <row r="3260" spans="1:6" ht="15.75" hidden="1" customHeight="1" x14ac:dyDescent="0.35">
      <c r="A3260" s="1">
        <v>3259</v>
      </c>
      <c r="B3260" s="1">
        <v>624</v>
      </c>
      <c r="C3260" s="1">
        <v>8</v>
      </c>
      <c r="D3260" t="str">
        <f>VLOOKUP(B3260,Заказы!A:C,3,0)</f>
        <v>2023-08-08 15:39:00</v>
      </c>
      <c r="E3260" t="str">
        <f>VLOOKUP(C3260,Меню!A:E,4,0)</f>
        <v>Завтрак</v>
      </c>
      <c r="F3260">
        <f>VLOOKUP(C3260,Меню!A:E,5,0)</f>
        <v>180</v>
      </c>
    </row>
    <row r="3261" spans="1:6" ht="15.75" hidden="1" customHeight="1" x14ac:dyDescent="0.35">
      <c r="A3261" s="1">
        <v>3260</v>
      </c>
      <c r="B3261" s="1">
        <v>624</v>
      </c>
      <c r="C3261" s="1">
        <v>23</v>
      </c>
      <c r="D3261" t="str">
        <f>VLOOKUP(B3261,Заказы!A:C,3,0)</f>
        <v>2023-08-08 15:39:00</v>
      </c>
      <c r="E3261" t="str">
        <f>VLOOKUP(C3261,Меню!A:E,4,0)</f>
        <v>Салат</v>
      </c>
      <c r="F3261">
        <f>VLOOKUP(C3261,Меню!A:E,5,0)</f>
        <v>250</v>
      </c>
    </row>
    <row r="3262" spans="1:6" ht="15.75" hidden="1" customHeight="1" x14ac:dyDescent="0.35">
      <c r="A3262" s="1">
        <v>3261</v>
      </c>
      <c r="B3262" s="1">
        <v>624</v>
      </c>
      <c r="C3262" s="1">
        <v>3</v>
      </c>
      <c r="D3262" t="str">
        <f>VLOOKUP(B3262,Заказы!A:C,3,0)</f>
        <v>2023-08-08 15:39:00</v>
      </c>
      <c r="E3262" t="str">
        <f>VLOOKUP(C3262,Меню!A:E,4,0)</f>
        <v>Завтрак</v>
      </c>
      <c r="F3262">
        <f>VLOOKUP(C3262,Меню!A:E,5,0)</f>
        <v>150</v>
      </c>
    </row>
    <row r="3263" spans="1:6" ht="15.75" hidden="1" customHeight="1" x14ac:dyDescent="0.35">
      <c r="A3263" s="1">
        <v>3262</v>
      </c>
      <c r="B3263" s="1">
        <v>624</v>
      </c>
      <c r="C3263" s="1">
        <v>8</v>
      </c>
      <c r="D3263" t="str">
        <f>VLOOKUP(B3263,Заказы!A:C,3,0)</f>
        <v>2023-08-08 15:39:00</v>
      </c>
      <c r="E3263" t="str">
        <f>VLOOKUP(C3263,Меню!A:E,4,0)</f>
        <v>Завтрак</v>
      </c>
      <c r="F3263">
        <f>VLOOKUP(C3263,Меню!A:E,5,0)</f>
        <v>180</v>
      </c>
    </row>
    <row r="3264" spans="1:6" ht="15.75" hidden="1" customHeight="1" x14ac:dyDescent="0.35">
      <c r="A3264" s="1">
        <v>3263</v>
      </c>
      <c r="B3264" s="1">
        <v>624</v>
      </c>
      <c r="C3264" s="1">
        <v>53</v>
      </c>
      <c r="D3264" t="str">
        <f>VLOOKUP(B3264,Заказы!A:C,3,0)</f>
        <v>2023-08-08 15:39:00</v>
      </c>
      <c r="E3264" t="str">
        <f>VLOOKUP(C3264,Меню!A:E,4,0)</f>
        <v>Суши</v>
      </c>
      <c r="F3264">
        <f>VLOOKUP(C3264,Меню!A:E,5,0)</f>
        <v>100</v>
      </c>
    </row>
    <row r="3265" spans="1:6" ht="15.75" hidden="1" customHeight="1" x14ac:dyDescent="0.35">
      <c r="A3265" s="1">
        <v>3264</v>
      </c>
      <c r="B3265" s="1">
        <v>624</v>
      </c>
      <c r="C3265" s="1">
        <v>3</v>
      </c>
      <c r="D3265" t="str">
        <f>VLOOKUP(B3265,Заказы!A:C,3,0)</f>
        <v>2023-08-08 15:39:00</v>
      </c>
      <c r="E3265" t="str">
        <f>VLOOKUP(C3265,Меню!A:E,4,0)</f>
        <v>Завтрак</v>
      </c>
      <c r="F3265">
        <f>VLOOKUP(C3265,Меню!A:E,5,0)</f>
        <v>150</v>
      </c>
    </row>
    <row r="3266" spans="1:6" ht="15.75" hidden="1" customHeight="1" x14ac:dyDescent="0.35">
      <c r="A3266" s="1">
        <v>3265</v>
      </c>
      <c r="B3266" s="1">
        <v>625</v>
      </c>
      <c r="C3266" s="1">
        <v>58</v>
      </c>
      <c r="D3266" t="str">
        <f>VLOOKUP(B3266,Заказы!A:C,3,0)</f>
        <v>2023-08-09 16:00:00</v>
      </c>
      <c r="E3266" t="str">
        <f>VLOOKUP(C3266,Меню!A:E,4,0)</f>
        <v>Суши</v>
      </c>
      <c r="F3266">
        <f>VLOOKUP(C3266,Меню!A:E,5,0)</f>
        <v>200</v>
      </c>
    </row>
    <row r="3267" spans="1:6" ht="15.75" hidden="1" customHeight="1" x14ac:dyDescent="0.35">
      <c r="A3267" s="1">
        <v>3266</v>
      </c>
      <c r="B3267" s="1">
        <v>625</v>
      </c>
      <c r="C3267" s="1">
        <v>33</v>
      </c>
      <c r="D3267" t="str">
        <f>VLOOKUP(B3267,Заказы!A:C,3,0)</f>
        <v>2023-08-09 16:00:00</v>
      </c>
      <c r="E3267" t="str">
        <f>VLOOKUP(C3267,Меню!A:E,4,0)</f>
        <v>Десерт</v>
      </c>
      <c r="F3267">
        <f>VLOOKUP(C3267,Меню!A:E,5,0)</f>
        <v>150</v>
      </c>
    </row>
    <row r="3268" spans="1:6" ht="15.75" hidden="1" customHeight="1" x14ac:dyDescent="0.35">
      <c r="A3268" s="1">
        <v>3267</v>
      </c>
      <c r="B3268" s="1">
        <v>625</v>
      </c>
      <c r="C3268" s="1">
        <v>35</v>
      </c>
      <c r="D3268" t="str">
        <f>VLOOKUP(B3268,Заказы!A:C,3,0)</f>
        <v>2023-08-09 16:00:00</v>
      </c>
      <c r="E3268" t="str">
        <f>VLOOKUP(C3268,Меню!A:E,4,0)</f>
        <v>Десерт</v>
      </c>
      <c r="F3268">
        <f>VLOOKUP(C3268,Меню!A:E,5,0)</f>
        <v>150</v>
      </c>
    </row>
    <row r="3269" spans="1:6" ht="15.75" hidden="1" customHeight="1" x14ac:dyDescent="0.35">
      <c r="A3269" s="1">
        <v>3268</v>
      </c>
      <c r="B3269" s="1">
        <v>625</v>
      </c>
      <c r="C3269" s="1">
        <v>32</v>
      </c>
      <c r="D3269" t="str">
        <f>VLOOKUP(B3269,Заказы!A:C,3,0)</f>
        <v>2023-08-09 16:00:00</v>
      </c>
      <c r="E3269" t="str">
        <f>VLOOKUP(C3269,Меню!A:E,4,0)</f>
        <v>Десерт</v>
      </c>
      <c r="F3269">
        <f>VLOOKUP(C3269,Меню!A:E,5,0)</f>
        <v>150</v>
      </c>
    </row>
    <row r="3270" spans="1:6" ht="15.75" hidden="1" customHeight="1" x14ac:dyDescent="0.35">
      <c r="A3270" s="1">
        <v>3269</v>
      </c>
      <c r="B3270" s="1">
        <v>626</v>
      </c>
      <c r="C3270" s="1">
        <v>45</v>
      </c>
      <c r="D3270" t="str">
        <f>VLOOKUP(B3270,Заказы!A:C,3,0)</f>
        <v>2023-08-09 17:44:00</v>
      </c>
      <c r="E3270" t="str">
        <f>VLOOKUP(C3270,Меню!A:E,4,0)</f>
        <v>Суши</v>
      </c>
      <c r="F3270">
        <f>VLOOKUP(C3270,Меню!A:E,5,0)</f>
        <v>200</v>
      </c>
    </row>
    <row r="3271" spans="1:6" ht="15.75" hidden="1" customHeight="1" x14ac:dyDescent="0.35">
      <c r="A3271" s="1">
        <v>3270</v>
      </c>
      <c r="B3271" s="1">
        <v>626</v>
      </c>
      <c r="C3271" s="1">
        <v>16</v>
      </c>
      <c r="D3271" t="str">
        <f>VLOOKUP(B3271,Заказы!A:C,3,0)</f>
        <v>2023-08-09 17:44:00</v>
      </c>
      <c r="E3271" t="str">
        <f>VLOOKUP(C3271,Меню!A:E,4,0)</f>
        <v>Первое</v>
      </c>
      <c r="F3271">
        <f>VLOOKUP(C3271,Меню!A:E,5,0)</f>
        <v>250</v>
      </c>
    </row>
    <row r="3272" spans="1:6" ht="15.75" hidden="1" customHeight="1" x14ac:dyDescent="0.35">
      <c r="A3272" s="1">
        <v>3271</v>
      </c>
      <c r="B3272" s="1">
        <v>626</v>
      </c>
      <c r="C3272" s="1">
        <v>43</v>
      </c>
      <c r="D3272" t="str">
        <f>VLOOKUP(B3272,Заказы!A:C,3,0)</f>
        <v>2023-08-09 17:44:00</v>
      </c>
      <c r="E3272" t="str">
        <f>VLOOKUP(C3272,Меню!A:E,4,0)</f>
        <v>Суши</v>
      </c>
      <c r="F3272">
        <f>VLOOKUP(C3272,Меню!A:E,5,0)</f>
        <v>250</v>
      </c>
    </row>
    <row r="3273" spans="1:6" ht="15.75" hidden="1" customHeight="1" x14ac:dyDescent="0.35">
      <c r="A3273" s="1">
        <v>3272</v>
      </c>
      <c r="B3273" s="1">
        <v>626</v>
      </c>
      <c r="C3273" s="1">
        <v>59</v>
      </c>
      <c r="D3273" t="str">
        <f>VLOOKUP(B3273,Заказы!A:C,3,0)</f>
        <v>2023-08-09 17:44:00</v>
      </c>
      <c r="E3273" t="str">
        <f>VLOOKUP(C3273,Меню!A:E,4,0)</f>
        <v>Суши</v>
      </c>
      <c r="F3273">
        <f>VLOOKUP(C3273,Меню!A:E,5,0)</f>
        <v>300</v>
      </c>
    </row>
    <row r="3274" spans="1:6" ht="15.75" hidden="1" customHeight="1" x14ac:dyDescent="0.35">
      <c r="A3274" s="1">
        <v>3273</v>
      </c>
      <c r="B3274" s="1">
        <v>626</v>
      </c>
      <c r="C3274" s="1">
        <v>3</v>
      </c>
      <c r="D3274" t="str">
        <f>VLOOKUP(B3274,Заказы!A:C,3,0)</f>
        <v>2023-08-09 17:44:00</v>
      </c>
      <c r="E3274" t="str">
        <f>VLOOKUP(C3274,Меню!A:E,4,0)</f>
        <v>Завтрак</v>
      </c>
      <c r="F3274">
        <f>VLOOKUP(C3274,Меню!A:E,5,0)</f>
        <v>150</v>
      </c>
    </row>
    <row r="3275" spans="1:6" ht="15.75" hidden="1" customHeight="1" x14ac:dyDescent="0.35">
      <c r="A3275" s="1">
        <v>3274</v>
      </c>
      <c r="B3275" s="1">
        <v>626</v>
      </c>
      <c r="C3275" s="1">
        <v>14</v>
      </c>
      <c r="D3275" t="str">
        <f>VLOOKUP(B3275,Заказы!A:C,3,0)</f>
        <v>2023-08-09 17:44:00</v>
      </c>
      <c r="E3275" t="str">
        <f>VLOOKUP(C3275,Меню!A:E,4,0)</f>
        <v>Первое</v>
      </c>
      <c r="F3275">
        <f>VLOOKUP(C3275,Меню!A:E,5,0)</f>
        <v>350</v>
      </c>
    </row>
    <row r="3276" spans="1:6" ht="15.75" hidden="1" customHeight="1" x14ac:dyDescent="0.35">
      <c r="A3276" s="1">
        <v>3275</v>
      </c>
      <c r="B3276" s="1">
        <v>626</v>
      </c>
      <c r="C3276" s="1">
        <v>3</v>
      </c>
      <c r="D3276" t="str">
        <f>VLOOKUP(B3276,Заказы!A:C,3,0)</f>
        <v>2023-08-09 17:44:00</v>
      </c>
      <c r="E3276" t="str">
        <f>VLOOKUP(C3276,Меню!A:E,4,0)</f>
        <v>Завтрак</v>
      </c>
      <c r="F3276">
        <f>VLOOKUP(C3276,Меню!A:E,5,0)</f>
        <v>150</v>
      </c>
    </row>
    <row r="3277" spans="1:6" ht="15.75" hidden="1" customHeight="1" x14ac:dyDescent="0.35">
      <c r="A3277" s="1">
        <v>3276</v>
      </c>
      <c r="B3277" s="1">
        <v>627</v>
      </c>
      <c r="C3277" s="1">
        <v>17</v>
      </c>
      <c r="D3277" t="str">
        <f>VLOOKUP(B3277,Заказы!A:C,3,0)</f>
        <v>2023-08-09 18:03:00</v>
      </c>
      <c r="E3277" t="str">
        <f>VLOOKUP(C3277,Меню!A:E,4,0)</f>
        <v>Первое</v>
      </c>
      <c r="F3277">
        <f>VLOOKUP(C3277,Меню!A:E,5,0)</f>
        <v>250</v>
      </c>
    </row>
    <row r="3278" spans="1:6" ht="15.75" hidden="1" customHeight="1" x14ac:dyDescent="0.35">
      <c r="A3278" s="1">
        <v>3277</v>
      </c>
      <c r="B3278" s="1">
        <v>627</v>
      </c>
      <c r="C3278" s="1">
        <v>7</v>
      </c>
      <c r="D3278" t="str">
        <f>VLOOKUP(B3278,Заказы!A:C,3,0)</f>
        <v>2023-08-09 18:03:00</v>
      </c>
      <c r="E3278" t="str">
        <f>VLOOKUP(C3278,Меню!A:E,4,0)</f>
        <v>Завтрак</v>
      </c>
      <c r="F3278">
        <f>VLOOKUP(C3278,Меню!A:E,5,0)</f>
        <v>200</v>
      </c>
    </row>
    <row r="3279" spans="1:6" ht="15.75" hidden="1" customHeight="1" x14ac:dyDescent="0.35">
      <c r="A3279" s="1">
        <v>3278</v>
      </c>
      <c r="B3279" s="1">
        <v>627</v>
      </c>
      <c r="C3279" s="1">
        <v>30</v>
      </c>
      <c r="D3279" t="str">
        <f>VLOOKUP(B3279,Заказы!A:C,3,0)</f>
        <v>2023-08-09 18:03:00</v>
      </c>
      <c r="E3279" t="str">
        <f>VLOOKUP(C3279,Меню!A:E,4,0)</f>
        <v>Салат</v>
      </c>
      <c r="F3279">
        <f>VLOOKUP(C3279,Меню!A:E,5,0)</f>
        <v>250</v>
      </c>
    </row>
    <row r="3280" spans="1:6" ht="15.75" hidden="1" customHeight="1" x14ac:dyDescent="0.35">
      <c r="A3280" s="1">
        <v>3279</v>
      </c>
      <c r="B3280" s="1">
        <v>627</v>
      </c>
      <c r="C3280" s="1">
        <v>12</v>
      </c>
      <c r="D3280" t="str">
        <f>VLOOKUP(B3280,Заказы!A:C,3,0)</f>
        <v>2023-08-09 18:03:00</v>
      </c>
      <c r="E3280" t="str">
        <f>VLOOKUP(C3280,Меню!A:E,4,0)</f>
        <v>Первое</v>
      </c>
      <c r="F3280">
        <f>VLOOKUP(C3280,Меню!A:E,5,0)</f>
        <v>300</v>
      </c>
    </row>
    <row r="3281" spans="1:6" ht="15.75" hidden="1" customHeight="1" x14ac:dyDescent="0.35">
      <c r="A3281" s="1">
        <v>3280</v>
      </c>
      <c r="B3281" s="1">
        <v>627</v>
      </c>
      <c r="C3281" s="1">
        <v>27</v>
      </c>
      <c r="D3281" t="str">
        <f>VLOOKUP(B3281,Заказы!A:C,3,0)</f>
        <v>2023-08-09 18:03:00</v>
      </c>
      <c r="E3281" t="str">
        <f>VLOOKUP(C3281,Меню!A:E,4,0)</f>
        <v>Салат</v>
      </c>
      <c r="F3281">
        <f>VLOOKUP(C3281,Меню!A:E,5,0)</f>
        <v>250</v>
      </c>
    </row>
    <row r="3282" spans="1:6" ht="15.75" hidden="1" customHeight="1" x14ac:dyDescent="0.35">
      <c r="A3282" s="1">
        <v>3281</v>
      </c>
      <c r="B3282" s="1">
        <v>627</v>
      </c>
      <c r="C3282" s="1">
        <v>50</v>
      </c>
      <c r="D3282" t="str">
        <f>VLOOKUP(B3282,Заказы!A:C,3,0)</f>
        <v>2023-08-09 18:03:00</v>
      </c>
      <c r="E3282" t="str">
        <f>VLOOKUP(C3282,Меню!A:E,4,0)</f>
        <v>Суши</v>
      </c>
      <c r="F3282">
        <f>VLOOKUP(C3282,Меню!A:E,5,0)</f>
        <v>200</v>
      </c>
    </row>
    <row r="3283" spans="1:6" ht="15.75" hidden="1" customHeight="1" x14ac:dyDescent="0.35">
      <c r="A3283" s="1">
        <v>3282</v>
      </c>
      <c r="B3283" s="1">
        <v>627</v>
      </c>
      <c r="C3283" s="1">
        <v>45</v>
      </c>
      <c r="D3283" t="str">
        <f>VLOOKUP(B3283,Заказы!A:C,3,0)</f>
        <v>2023-08-09 18:03:00</v>
      </c>
      <c r="E3283" t="str">
        <f>VLOOKUP(C3283,Меню!A:E,4,0)</f>
        <v>Суши</v>
      </c>
      <c r="F3283">
        <f>VLOOKUP(C3283,Меню!A:E,5,0)</f>
        <v>200</v>
      </c>
    </row>
    <row r="3284" spans="1:6" ht="15.75" hidden="1" customHeight="1" x14ac:dyDescent="0.35">
      <c r="A3284" s="1">
        <v>3283</v>
      </c>
      <c r="B3284" s="1">
        <v>627</v>
      </c>
      <c r="C3284" s="1">
        <v>18</v>
      </c>
      <c r="D3284" t="str">
        <f>VLOOKUP(B3284,Заказы!A:C,3,0)</f>
        <v>2023-08-09 18:03:00</v>
      </c>
      <c r="E3284" t="str">
        <f>VLOOKUP(C3284,Меню!A:E,4,0)</f>
        <v>Первое</v>
      </c>
      <c r="F3284">
        <f>VLOOKUP(C3284,Меню!A:E,5,0)</f>
        <v>300</v>
      </c>
    </row>
    <row r="3285" spans="1:6" ht="15.75" hidden="1" customHeight="1" x14ac:dyDescent="0.35">
      <c r="A3285" s="1">
        <v>3284</v>
      </c>
      <c r="B3285" s="1">
        <v>627</v>
      </c>
      <c r="C3285" s="1">
        <v>43</v>
      </c>
      <c r="D3285" t="str">
        <f>VLOOKUP(B3285,Заказы!A:C,3,0)</f>
        <v>2023-08-09 18:03:00</v>
      </c>
      <c r="E3285" t="str">
        <f>VLOOKUP(C3285,Меню!A:E,4,0)</f>
        <v>Суши</v>
      </c>
      <c r="F3285">
        <f>VLOOKUP(C3285,Меню!A:E,5,0)</f>
        <v>250</v>
      </c>
    </row>
    <row r="3286" spans="1:6" ht="15.75" hidden="1" customHeight="1" x14ac:dyDescent="0.35">
      <c r="A3286" s="1">
        <v>3285</v>
      </c>
      <c r="B3286" s="1">
        <v>627</v>
      </c>
      <c r="C3286" s="1">
        <v>7</v>
      </c>
      <c r="D3286" t="str">
        <f>VLOOKUP(B3286,Заказы!A:C,3,0)</f>
        <v>2023-08-09 18:03:00</v>
      </c>
      <c r="E3286" t="str">
        <f>VLOOKUP(C3286,Меню!A:E,4,0)</f>
        <v>Завтрак</v>
      </c>
      <c r="F3286">
        <f>VLOOKUP(C3286,Меню!A:E,5,0)</f>
        <v>200</v>
      </c>
    </row>
    <row r="3287" spans="1:6" ht="15.75" hidden="1" customHeight="1" x14ac:dyDescent="0.35">
      <c r="A3287" s="1">
        <v>3286</v>
      </c>
      <c r="B3287" s="1">
        <v>628</v>
      </c>
      <c r="C3287" s="1">
        <v>42</v>
      </c>
      <c r="D3287" t="str">
        <f>VLOOKUP(B3287,Заказы!A:C,3,0)</f>
        <v>2023-08-09 18:42:00</v>
      </c>
      <c r="E3287" t="str">
        <f>VLOOKUP(C3287,Меню!A:E,4,0)</f>
        <v>Суши</v>
      </c>
      <c r="F3287">
        <f>VLOOKUP(C3287,Меню!A:E,5,0)</f>
        <v>250</v>
      </c>
    </row>
    <row r="3288" spans="1:6" ht="15.75" hidden="1" customHeight="1" x14ac:dyDescent="0.35">
      <c r="A3288" s="1">
        <v>3287</v>
      </c>
      <c r="B3288" s="1">
        <v>628</v>
      </c>
      <c r="C3288" s="1">
        <v>28</v>
      </c>
      <c r="D3288" t="str">
        <f>VLOOKUP(B3288,Заказы!A:C,3,0)</f>
        <v>2023-08-09 18:42:00</v>
      </c>
      <c r="E3288" t="str">
        <f>VLOOKUP(C3288,Меню!A:E,4,0)</f>
        <v>Салат</v>
      </c>
      <c r="F3288">
        <f>VLOOKUP(C3288,Меню!A:E,5,0)</f>
        <v>250</v>
      </c>
    </row>
    <row r="3289" spans="1:6" ht="15.75" hidden="1" customHeight="1" x14ac:dyDescent="0.35">
      <c r="A3289" s="1">
        <v>3288</v>
      </c>
      <c r="B3289" s="1">
        <v>628</v>
      </c>
      <c r="C3289" s="1">
        <v>42</v>
      </c>
      <c r="D3289" t="str">
        <f>VLOOKUP(B3289,Заказы!A:C,3,0)</f>
        <v>2023-08-09 18:42:00</v>
      </c>
      <c r="E3289" t="str">
        <f>VLOOKUP(C3289,Меню!A:E,4,0)</f>
        <v>Суши</v>
      </c>
      <c r="F3289">
        <f>VLOOKUP(C3289,Меню!A:E,5,0)</f>
        <v>250</v>
      </c>
    </row>
    <row r="3290" spans="1:6" ht="15.75" hidden="1" customHeight="1" x14ac:dyDescent="0.35">
      <c r="A3290" s="1">
        <v>3289</v>
      </c>
      <c r="B3290" s="1">
        <v>628</v>
      </c>
      <c r="C3290" s="1">
        <v>60</v>
      </c>
      <c r="D3290" t="str">
        <f>VLOOKUP(B3290,Заказы!A:C,3,0)</f>
        <v>2023-08-09 18:42:00</v>
      </c>
      <c r="E3290" t="str">
        <f>VLOOKUP(C3290,Меню!A:E,4,0)</f>
        <v>Суши</v>
      </c>
      <c r="F3290">
        <f>VLOOKUP(C3290,Меню!A:E,5,0)</f>
        <v>250</v>
      </c>
    </row>
    <row r="3291" spans="1:6" ht="15.75" hidden="1" customHeight="1" x14ac:dyDescent="0.35">
      <c r="A3291" s="1">
        <v>3290</v>
      </c>
      <c r="B3291" s="1">
        <v>628</v>
      </c>
      <c r="C3291" s="1">
        <v>57</v>
      </c>
      <c r="D3291" t="str">
        <f>VLOOKUP(B3291,Заказы!A:C,3,0)</f>
        <v>2023-08-09 18:42:00</v>
      </c>
      <c r="E3291" t="str">
        <f>VLOOKUP(C3291,Меню!A:E,4,0)</f>
        <v>Суши</v>
      </c>
      <c r="F3291">
        <f>VLOOKUP(C3291,Меню!A:E,5,0)</f>
        <v>200</v>
      </c>
    </row>
    <row r="3292" spans="1:6" ht="15.75" hidden="1" customHeight="1" x14ac:dyDescent="0.35">
      <c r="A3292" s="1">
        <v>3291</v>
      </c>
      <c r="B3292" s="1">
        <v>628</v>
      </c>
      <c r="C3292" s="1">
        <v>34</v>
      </c>
      <c r="D3292" t="str">
        <f>VLOOKUP(B3292,Заказы!A:C,3,0)</f>
        <v>2023-08-09 18:42:00</v>
      </c>
      <c r="E3292" t="str">
        <f>VLOOKUP(C3292,Меню!A:E,4,0)</f>
        <v>Десерт</v>
      </c>
      <c r="F3292">
        <f>VLOOKUP(C3292,Меню!A:E,5,0)</f>
        <v>150</v>
      </c>
    </row>
    <row r="3293" spans="1:6" ht="15.75" hidden="1" customHeight="1" x14ac:dyDescent="0.35">
      <c r="A3293" s="1">
        <v>3292</v>
      </c>
      <c r="B3293" s="1">
        <v>629</v>
      </c>
      <c r="C3293" s="1">
        <v>8</v>
      </c>
      <c r="D3293" t="str">
        <f>VLOOKUP(B3293,Заказы!A:C,3,0)</f>
        <v>2023-08-09 20:49:00</v>
      </c>
      <c r="E3293" t="str">
        <f>VLOOKUP(C3293,Меню!A:E,4,0)</f>
        <v>Завтрак</v>
      </c>
      <c r="F3293">
        <f>VLOOKUP(C3293,Меню!A:E,5,0)</f>
        <v>180</v>
      </c>
    </row>
    <row r="3294" spans="1:6" ht="15.75" hidden="1" customHeight="1" x14ac:dyDescent="0.35">
      <c r="A3294" s="1">
        <v>3293</v>
      </c>
      <c r="B3294" s="1">
        <v>629</v>
      </c>
      <c r="C3294" s="1">
        <v>23</v>
      </c>
      <c r="D3294" t="str">
        <f>VLOOKUP(B3294,Заказы!A:C,3,0)</f>
        <v>2023-08-09 20:49:00</v>
      </c>
      <c r="E3294" t="str">
        <f>VLOOKUP(C3294,Меню!A:E,4,0)</f>
        <v>Салат</v>
      </c>
      <c r="F3294">
        <f>VLOOKUP(C3294,Меню!A:E,5,0)</f>
        <v>250</v>
      </c>
    </row>
    <row r="3295" spans="1:6" ht="15.75" hidden="1" customHeight="1" x14ac:dyDescent="0.35">
      <c r="A3295" s="1">
        <v>3294</v>
      </c>
      <c r="B3295" s="1">
        <v>629</v>
      </c>
      <c r="C3295" s="1">
        <v>52</v>
      </c>
      <c r="D3295" t="str">
        <f>VLOOKUP(B3295,Заказы!A:C,3,0)</f>
        <v>2023-08-09 20:49:00</v>
      </c>
      <c r="E3295" t="str">
        <f>VLOOKUP(C3295,Меню!A:E,4,0)</f>
        <v>Суши</v>
      </c>
      <c r="F3295">
        <f>VLOOKUP(C3295,Меню!A:E,5,0)</f>
        <v>100</v>
      </c>
    </row>
    <row r="3296" spans="1:6" ht="15.75" hidden="1" customHeight="1" x14ac:dyDescent="0.35">
      <c r="A3296" s="1">
        <v>3295</v>
      </c>
      <c r="B3296" s="1">
        <v>629</v>
      </c>
      <c r="C3296" s="1">
        <v>50</v>
      </c>
      <c r="D3296" t="str">
        <f>VLOOKUP(B3296,Заказы!A:C,3,0)</f>
        <v>2023-08-09 20:49:00</v>
      </c>
      <c r="E3296" t="str">
        <f>VLOOKUP(C3296,Меню!A:E,4,0)</f>
        <v>Суши</v>
      </c>
      <c r="F3296">
        <f>VLOOKUP(C3296,Меню!A:E,5,0)</f>
        <v>200</v>
      </c>
    </row>
    <row r="3297" spans="1:6" ht="15.75" hidden="1" customHeight="1" x14ac:dyDescent="0.35">
      <c r="A3297" s="1">
        <v>3296</v>
      </c>
      <c r="B3297" s="1">
        <v>629</v>
      </c>
      <c r="C3297" s="1">
        <v>47</v>
      </c>
      <c r="D3297" t="str">
        <f>VLOOKUP(B3297,Заказы!A:C,3,0)</f>
        <v>2023-08-09 20:49:00</v>
      </c>
      <c r="E3297" t="str">
        <f>VLOOKUP(C3297,Меню!A:E,4,0)</f>
        <v>Суши</v>
      </c>
      <c r="F3297">
        <f>VLOOKUP(C3297,Меню!A:E,5,0)</f>
        <v>200</v>
      </c>
    </row>
    <row r="3298" spans="1:6" ht="15.75" hidden="1" customHeight="1" x14ac:dyDescent="0.35">
      <c r="A3298" s="1">
        <v>3297</v>
      </c>
      <c r="B3298" s="1">
        <v>630</v>
      </c>
      <c r="C3298" s="1">
        <v>9</v>
      </c>
      <c r="D3298" t="str">
        <f>VLOOKUP(B3298,Заказы!A:C,3,0)</f>
        <v>2023-08-10 15:47:00</v>
      </c>
      <c r="E3298" t="str">
        <f>VLOOKUP(C3298,Меню!A:E,4,0)</f>
        <v>Завтрак</v>
      </c>
      <c r="F3298">
        <f>VLOOKUP(C3298,Меню!A:E,5,0)</f>
        <v>220</v>
      </c>
    </row>
    <row r="3299" spans="1:6" ht="15.75" hidden="1" customHeight="1" x14ac:dyDescent="0.35">
      <c r="A3299" s="1">
        <v>3298</v>
      </c>
      <c r="B3299" s="1">
        <v>630</v>
      </c>
      <c r="C3299" s="1">
        <v>22</v>
      </c>
      <c r="D3299" t="str">
        <f>VLOOKUP(B3299,Заказы!A:C,3,0)</f>
        <v>2023-08-10 15:47:00</v>
      </c>
      <c r="E3299" t="str">
        <f>VLOOKUP(C3299,Меню!A:E,4,0)</f>
        <v>Салат</v>
      </c>
      <c r="F3299">
        <f>VLOOKUP(C3299,Меню!A:E,5,0)</f>
        <v>250</v>
      </c>
    </row>
    <row r="3300" spans="1:6" ht="15.75" hidden="1" customHeight="1" x14ac:dyDescent="0.35">
      <c r="A3300" s="1">
        <v>3299</v>
      </c>
      <c r="B3300" s="1">
        <v>630</v>
      </c>
      <c r="C3300" s="1">
        <v>2</v>
      </c>
      <c r="D3300" t="str">
        <f>VLOOKUP(B3300,Заказы!A:C,3,0)</f>
        <v>2023-08-10 15:47:00</v>
      </c>
      <c r="E3300" t="str">
        <f>VLOOKUP(C3300,Меню!A:E,4,0)</f>
        <v>Завтрак</v>
      </c>
      <c r="F3300">
        <f>VLOOKUP(C3300,Меню!A:E,5,0)</f>
        <v>250</v>
      </c>
    </row>
    <row r="3301" spans="1:6" ht="15.75" hidden="1" customHeight="1" x14ac:dyDescent="0.35">
      <c r="A3301" s="1">
        <v>3300</v>
      </c>
      <c r="B3301" s="1">
        <v>630</v>
      </c>
      <c r="C3301" s="1">
        <v>31</v>
      </c>
      <c r="D3301" t="str">
        <f>VLOOKUP(B3301,Заказы!A:C,3,0)</f>
        <v>2023-08-10 15:47:00</v>
      </c>
      <c r="E3301" t="str">
        <f>VLOOKUP(C3301,Меню!A:E,4,0)</f>
        <v>Десерт</v>
      </c>
      <c r="F3301">
        <f>VLOOKUP(C3301,Меню!A:E,5,0)</f>
        <v>150</v>
      </c>
    </row>
    <row r="3302" spans="1:6" ht="15.75" hidden="1" customHeight="1" x14ac:dyDescent="0.35">
      <c r="A3302" s="1">
        <v>3301</v>
      </c>
      <c r="B3302" s="1">
        <v>630</v>
      </c>
      <c r="C3302" s="1">
        <v>10</v>
      </c>
      <c r="D3302" t="str">
        <f>VLOOKUP(B3302,Заказы!A:C,3,0)</f>
        <v>2023-08-10 15:47:00</v>
      </c>
      <c r="E3302" t="str">
        <f>VLOOKUP(C3302,Меню!A:E,4,0)</f>
        <v>Завтрак</v>
      </c>
      <c r="F3302">
        <f>VLOOKUP(C3302,Меню!A:E,5,0)</f>
        <v>200</v>
      </c>
    </row>
    <row r="3303" spans="1:6" ht="15.75" hidden="1" customHeight="1" x14ac:dyDescent="0.35">
      <c r="A3303" s="1">
        <v>3302</v>
      </c>
      <c r="B3303" s="1">
        <v>630</v>
      </c>
      <c r="C3303" s="1">
        <v>43</v>
      </c>
      <c r="D3303" t="str">
        <f>VLOOKUP(B3303,Заказы!A:C,3,0)</f>
        <v>2023-08-10 15:47:00</v>
      </c>
      <c r="E3303" t="str">
        <f>VLOOKUP(C3303,Меню!A:E,4,0)</f>
        <v>Суши</v>
      </c>
      <c r="F3303">
        <f>VLOOKUP(C3303,Меню!A:E,5,0)</f>
        <v>250</v>
      </c>
    </row>
    <row r="3304" spans="1:6" ht="15.75" hidden="1" customHeight="1" x14ac:dyDescent="0.35">
      <c r="A3304" s="1">
        <v>3303</v>
      </c>
      <c r="B3304" s="1">
        <v>630</v>
      </c>
      <c r="C3304" s="1">
        <v>42</v>
      </c>
      <c r="D3304" t="str">
        <f>VLOOKUP(B3304,Заказы!A:C,3,0)</f>
        <v>2023-08-10 15:47:00</v>
      </c>
      <c r="E3304" t="str">
        <f>VLOOKUP(C3304,Меню!A:E,4,0)</f>
        <v>Суши</v>
      </c>
      <c r="F3304">
        <f>VLOOKUP(C3304,Меню!A:E,5,0)</f>
        <v>250</v>
      </c>
    </row>
    <row r="3305" spans="1:6" ht="15.75" hidden="1" customHeight="1" x14ac:dyDescent="0.35">
      <c r="A3305" s="1">
        <v>3304</v>
      </c>
      <c r="B3305" s="1">
        <v>631</v>
      </c>
      <c r="C3305" s="1">
        <v>44</v>
      </c>
      <c r="D3305" t="str">
        <f>VLOOKUP(B3305,Заказы!A:C,3,0)</f>
        <v>2023-08-10 17:31:00</v>
      </c>
      <c r="E3305" t="str">
        <f>VLOOKUP(C3305,Меню!A:E,4,0)</f>
        <v>Суши</v>
      </c>
      <c r="F3305">
        <f>VLOOKUP(C3305,Меню!A:E,5,0)</f>
        <v>250</v>
      </c>
    </row>
    <row r="3306" spans="1:6" ht="15.75" hidden="1" customHeight="1" x14ac:dyDescent="0.35">
      <c r="A3306" s="1">
        <v>3305</v>
      </c>
      <c r="B3306" s="1">
        <v>631</v>
      </c>
      <c r="C3306" s="1">
        <v>41</v>
      </c>
      <c r="D3306" t="str">
        <f>VLOOKUP(B3306,Заказы!A:C,3,0)</f>
        <v>2023-08-10 17:31:00</v>
      </c>
      <c r="E3306" t="str">
        <f>VLOOKUP(C3306,Меню!A:E,4,0)</f>
        <v>Суши</v>
      </c>
      <c r="F3306">
        <f>VLOOKUP(C3306,Меню!A:E,5,0)</f>
        <v>220</v>
      </c>
    </row>
    <row r="3307" spans="1:6" ht="15.75" hidden="1" customHeight="1" x14ac:dyDescent="0.35">
      <c r="A3307" s="1">
        <v>3306</v>
      </c>
      <c r="B3307" s="1">
        <v>631</v>
      </c>
      <c r="C3307" s="1">
        <v>50</v>
      </c>
      <c r="D3307" t="str">
        <f>VLOOKUP(B3307,Заказы!A:C,3,0)</f>
        <v>2023-08-10 17:31:00</v>
      </c>
      <c r="E3307" t="str">
        <f>VLOOKUP(C3307,Меню!A:E,4,0)</f>
        <v>Суши</v>
      </c>
      <c r="F3307">
        <f>VLOOKUP(C3307,Меню!A:E,5,0)</f>
        <v>200</v>
      </c>
    </row>
    <row r="3308" spans="1:6" ht="15.75" hidden="1" customHeight="1" x14ac:dyDescent="0.35">
      <c r="A3308" s="1">
        <v>3307</v>
      </c>
      <c r="B3308" s="1">
        <v>632</v>
      </c>
      <c r="C3308" s="1">
        <v>31</v>
      </c>
      <c r="D3308" t="str">
        <f>VLOOKUP(B3308,Заказы!A:C,3,0)</f>
        <v>2023-08-10 20:11:00</v>
      </c>
      <c r="E3308" t="str">
        <f>VLOOKUP(C3308,Меню!A:E,4,0)</f>
        <v>Десерт</v>
      </c>
      <c r="F3308">
        <f>VLOOKUP(C3308,Меню!A:E,5,0)</f>
        <v>150</v>
      </c>
    </row>
    <row r="3309" spans="1:6" ht="15.75" hidden="1" customHeight="1" x14ac:dyDescent="0.35">
      <c r="A3309" s="1">
        <v>3308</v>
      </c>
      <c r="B3309" s="1">
        <v>632</v>
      </c>
      <c r="C3309" s="1">
        <v>6</v>
      </c>
      <c r="D3309" t="str">
        <f>VLOOKUP(B3309,Заказы!A:C,3,0)</f>
        <v>2023-08-10 20:11:00</v>
      </c>
      <c r="E3309" t="str">
        <f>VLOOKUP(C3309,Меню!A:E,4,0)</f>
        <v>Завтрак</v>
      </c>
      <c r="F3309">
        <f>VLOOKUP(C3309,Меню!A:E,5,0)</f>
        <v>300</v>
      </c>
    </row>
    <row r="3310" spans="1:6" ht="15.75" hidden="1" customHeight="1" x14ac:dyDescent="0.35">
      <c r="A3310" s="1">
        <v>3309</v>
      </c>
      <c r="B3310" s="1">
        <v>632</v>
      </c>
      <c r="C3310" s="1">
        <v>32</v>
      </c>
      <c r="D3310" t="str">
        <f>VLOOKUP(B3310,Заказы!A:C,3,0)</f>
        <v>2023-08-10 20:11:00</v>
      </c>
      <c r="E3310" t="str">
        <f>VLOOKUP(C3310,Меню!A:E,4,0)</f>
        <v>Десерт</v>
      </c>
      <c r="F3310">
        <f>VLOOKUP(C3310,Меню!A:E,5,0)</f>
        <v>150</v>
      </c>
    </row>
    <row r="3311" spans="1:6" ht="15.75" hidden="1" customHeight="1" x14ac:dyDescent="0.35">
      <c r="A3311" s="1">
        <v>3310</v>
      </c>
      <c r="B3311" s="1">
        <v>632</v>
      </c>
      <c r="C3311" s="1">
        <v>56</v>
      </c>
      <c r="D3311" t="str">
        <f>VLOOKUP(B3311,Заказы!A:C,3,0)</f>
        <v>2023-08-10 20:11:00</v>
      </c>
      <c r="E3311" t="str">
        <f>VLOOKUP(C3311,Меню!A:E,4,0)</f>
        <v>Суши</v>
      </c>
      <c r="F3311">
        <f>VLOOKUP(C3311,Меню!A:E,5,0)</f>
        <v>200</v>
      </c>
    </row>
    <row r="3312" spans="1:6" ht="15.75" hidden="1" customHeight="1" x14ac:dyDescent="0.35">
      <c r="A3312" s="1">
        <v>3311</v>
      </c>
      <c r="B3312" s="1">
        <v>632</v>
      </c>
      <c r="C3312" s="1">
        <v>47</v>
      </c>
      <c r="D3312" t="str">
        <f>VLOOKUP(B3312,Заказы!A:C,3,0)</f>
        <v>2023-08-10 20:11:00</v>
      </c>
      <c r="E3312" t="str">
        <f>VLOOKUP(C3312,Меню!A:E,4,0)</f>
        <v>Суши</v>
      </c>
      <c r="F3312">
        <f>VLOOKUP(C3312,Меню!A:E,5,0)</f>
        <v>200</v>
      </c>
    </row>
    <row r="3313" spans="1:6" ht="15.75" hidden="1" customHeight="1" x14ac:dyDescent="0.35">
      <c r="A3313" s="1">
        <v>3312</v>
      </c>
      <c r="B3313" s="1">
        <v>632</v>
      </c>
      <c r="C3313" s="1">
        <v>52</v>
      </c>
      <c r="D3313" t="str">
        <f>VLOOKUP(B3313,Заказы!A:C,3,0)</f>
        <v>2023-08-10 20:11:00</v>
      </c>
      <c r="E3313" t="str">
        <f>VLOOKUP(C3313,Меню!A:E,4,0)</f>
        <v>Суши</v>
      </c>
      <c r="F3313">
        <f>VLOOKUP(C3313,Меню!A:E,5,0)</f>
        <v>100</v>
      </c>
    </row>
    <row r="3314" spans="1:6" ht="15.75" hidden="1" customHeight="1" x14ac:dyDescent="0.35">
      <c r="A3314" s="1">
        <v>3313</v>
      </c>
      <c r="B3314" s="1">
        <v>632</v>
      </c>
      <c r="C3314" s="1">
        <v>34</v>
      </c>
      <c r="D3314" t="str">
        <f>VLOOKUP(B3314,Заказы!A:C,3,0)</f>
        <v>2023-08-10 20:11:00</v>
      </c>
      <c r="E3314" t="str">
        <f>VLOOKUP(C3314,Меню!A:E,4,0)</f>
        <v>Десерт</v>
      </c>
      <c r="F3314">
        <f>VLOOKUP(C3314,Меню!A:E,5,0)</f>
        <v>150</v>
      </c>
    </row>
    <row r="3315" spans="1:6" ht="15.75" hidden="1" customHeight="1" x14ac:dyDescent="0.35">
      <c r="A3315" s="1">
        <v>3314</v>
      </c>
      <c r="B3315" s="1">
        <v>633</v>
      </c>
      <c r="C3315" s="1">
        <v>32</v>
      </c>
      <c r="D3315" t="str">
        <f>VLOOKUP(B3315,Заказы!A:C,3,0)</f>
        <v>2023-08-10 22:18:00</v>
      </c>
      <c r="E3315" t="str">
        <f>VLOOKUP(C3315,Меню!A:E,4,0)</f>
        <v>Десерт</v>
      </c>
      <c r="F3315">
        <f>VLOOKUP(C3315,Меню!A:E,5,0)</f>
        <v>150</v>
      </c>
    </row>
    <row r="3316" spans="1:6" ht="15.75" hidden="1" customHeight="1" x14ac:dyDescent="0.35">
      <c r="A3316" s="1">
        <v>3315</v>
      </c>
      <c r="B3316" s="1">
        <v>633</v>
      </c>
      <c r="C3316" s="1">
        <v>13</v>
      </c>
      <c r="D3316" t="str">
        <f>VLOOKUP(B3316,Заказы!A:C,3,0)</f>
        <v>2023-08-10 22:18:00</v>
      </c>
      <c r="E3316" t="str">
        <f>VLOOKUP(C3316,Меню!A:E,4,0)</f>
        <v>Первое</v>
      </c>
      <c r="F3316">
        <f>VLOOKUP(C3316,Меню!A:E,5,0)</f>
        <v>280</v>
      </c>
    </row>
    <row r="3317" spans="1:6" ht="15.75" hidden="1" customHeight="1" x14ac:dyDescent="0.35">
      <c r="A3317" s="1">
        <v>3316</v>
      </c>
      <c r="B3317" s="1">
        <v>633</v>
      </c>
      <c r="C3317" s="1">
        <v>56</v>
      </c>
      <c r="D3317" t="str">
        <f>VLOOKUP(B3317,Заказы!A:C,3,0)</f>
        <v>2023-08-10 22:18:00</v>
      </c>
      <c r="E3317" t="str">
        <f>VLOOKUP(C3317,Меню!A:E,4,0)</f>
        <v>Суши</v>
      </c>
      <c r="F3317">
        <f>VLOOKUP(C3317,Меню!A:E,5,0)</f>
        <v>200</v>
      </c>
    </row>
    <row r="3318" spans="1:6" ht="15.75" hidden="1" customHeight="1" x14ac:dyDescent="0.35">
      <c r="A3318" s="1">
        <v>3317</v>
      </c>
      <c r="B3318" s="1">
        <v>633</v>
      </c>
      <c r="C3318" s="1">
        <v>18</v>
      </c>
      <c r="D3318" t="str">
        <f>VLOOKUP(B3318,Заказы!A:C,3,0)</f>
        <v>2023-08-10 22:18:00</v>
      </c>
      <c r="E3318" t="str">
        <f>VLOOKUP(C3318,Меню!A:E,4,0)</f>
        <v>Первое</v>
      </c>
      <c r="F3318">
        <f>VLOOKUP(C3318,Меню!A:E,5,0)</f>
        <v>300</v>
      </c>
    </row>
    <row r="3319" spans="1:6" ht="15.75" hidden="1" customHeight="1" x14ac:dyDescent="0.35">
      <c r="A3319" s="1">
        <v>3318</v>
      </c>
      <c r="B3319" s="1">
        <v>633</v>
      </c>
      <c r="C3319" s="1">
        <v>27</v>
      </c>
      <c r="D3319" t="str">
        <f>VLOOKUP(B3319,Заказы!A:C,3,0)</f>
        <v>2023-08-10 22:18:00</v>
      </c>
      <c r="E3319" t="str">
        <f>VLOOKUP(C3319,Меню!A:E,4,0)</f>
        <v>Салат</v>
      </c>
      <c r="F3319">
        <f>VLOOKUP(C3319,Меню!A:E,5,0)</f>
        <v>250</v>
      </c>
    </row>
    <row r="3320" spans="1:6" ht="15.75" hidden="1" customHeight="1" x14ac:dyDescent="0.35">
      <c r="A3320" s="1">
        <v>3319</v>
      </c>
      <c r="B3320" s="1">
        <v>633</v>
      </c>
      <c r="C3320" s="1">
        <v>56</v>
      </c>
      <c r="D3320" t="str">
        <f>VLOOKUP(B3320,Заказы!A:C,3,0)</f>
        <v>2023-08-10 22:18:00</v>
      </c>
      <c r="E3320" t="str">
        <f>VLOOKUP(C3320,Меню!A:E,4,0)</f>
        <v>Суши</v>
      </c>
      <c r="F3320">
        <f>VLOOKUP(C3320,Меню!A:E,5,0)</f>
        <v>200</v>
      </c>
    </row>
    <row r="3321" spans="1:6" ht="15.75" hidden="1" customHeight="1" x14ac:dyDescent="0.35">
      <c r="A3321" s="1">
        <v>3320</v>
      </c>
      <c r="B3321" s="1">
        <v>634</v>
      </c>
      <c r="C3321" s="1">
        <v>6</v>
      </c>
      <c r="D3321" t="str">
        <f>VLOOKUP(B3321,Заказы!A:C,3,0)</f>
        <v>2023-08-11 17:51:00</v>
      </c>
      <c r="E3321" t="str">
        <f>VLOOKUP(C3321,Меню!A:E,4,0)</f>
        <v>Завтрак</v>
      </c>
      <c r="F3321">
        <f>VLOOKUP(C3321,Меню!A:E,5,0)</f>
        <v>300</v>
      </c>
    </row>
    <row r="3322" spans="1:6" ht="15.75" hidden="1" customHeight="1" x14ac:dyDescent="0.35">
      <c r="A3322" s="1">
        <v>3321</v>
      </c>
      <c r="B3322" s="1">
        <v>634</v>
      </c>
      <c r="C3322" s="1">
        <v>13</v>
      </c>
      <c r="D3322" t="str">
        <f>VLOOKUP(B3322,Заказы!A:C,3,0)</f>
        <v>2023-08-11 17:51:00</v>
      </c>
      <c r="E3322" t="str">
        <f>VLOOKUP(C3322,Меню!A:E,4,0)</f>
        <v>Первое</v>
      </c>
      <c r="F3322">
        <f>VLOOKUP(C3322,Меню!A:E,5,0)</f>
        <v>280</v>
      </c>
    </row>
    <row r="3323" spans="1:6" ht="15.75" hidden="1" customHeight="1" x14ac:dyDescent="0.35">
      <c r="A3323" s="1">
        <v>3322</v>
      </c>
      <c r="B3323" s="1">
        <v>634</v>
      </c>
      <c r="C3323" s="1">
        <v>11</v>
      </c>
      <c r="D3323" t="str">
        <f>VLOOKUP(B3323,Заказы!A:C,3,0)</f>
        <v>2023-08-11 17:51:00</v>
      </c>
      <c r="E3323" t="str">
        <f>VLOOKUP(C3323,Меню!A:E,4,0)</f>
        <v>Первое</v>
      </c>
      <c r="F3323">
        <f>VLOOKUP(C3323,Меню!A:E,5,0)</f>
        <v>300</v>
      </c>
    </row>
    <row r="3324" spans="1:6" ht="15.75" hidden="1" customHeight="1" x14ac:dyDescent="0.35">
      <c r="A3324" s="1">
        <v>3323</v>
      </c>
      <c r="B3324" s="1">
        <v>634</v>
      </c>
      <c r="C3324" s="1">
        <v>37</v>
      </c>
      <c r="D3324" t="str">
        <f>VLOOKUP(B3324,Заказы!A:C,3,0)</f>
        <v>2023-08-11 17:51:00</v>
      </c>
      <c r="E3324" t="str">
        <f>VLOOKUP(C3324,Меню!A:E,4,0)</f>
        <v>Десерт</v>
      </c>
      <c r="F3324">
        <f>VLOOKUP(C3324,Меню!A:E,5,0)</f>
        <v>100</v>
      </c>
    </row>
    <row r="3325" spans="1:6" ht="15.75" hidden="1" customHeight="1" x14ac:dyDescent="0.35">
      <c r="A3325" s="1">
        <v>3324</v>
      </c>
      <c r="B3325" s="1">
        <v>634</v>
      </c>
      <c r="C3325" s="1">
        <v>22</v>
      </c>
      <c r="D3325" t="str">
        <f>VLOOKUP(B3325,Заказы!A:C,3,0)</f>
        <v>2023-08-11 17:51:00</v>
      </c>
      <c r="E3325" t="str">
        <f>VLOOKUP(C3325,Меню!A:E,4,0)</f>
        <v>Салат</v>
      </c>
      <c r="F3325">
        <f>VLOOKUP(C3325,Меню!A:E,5,0)</f>
        <v>250</v>
      </c>
    </row>
    <row r="3326" spans="1:6" ht="15.75" hidden="1" customHeight="1" x14ac:dyDescent="0.35">
      <c r="A3326" s="1">
        <v>3325</v>
      </c>
      <c r="B3326" s="1">
        <v>634</v>
      </c>
      <c r="C3326" s="1">
        <v>58</v>
      </c>
      <c r="D3326" t="str">
        <f>VLOOKUP(B3326,Заказы!A:C,3,0)</f>
        <v>2023-08-11 17:51:00</v>
      </c>
      <c r="E3326" t="str">
        <f>VLOOKUP(C3326,Меню!A:E,4,0)</f>
        <v>Суши</v>
      </c>
      <c r="F3326">
        <f>VLOOKUP(C3326,Меню!A:E,5,0)</f>
        <v>200</v>
      </c>
    </row>
    <row r="3327" spans="1:6" ht="15.75" hidden="1" customHeight="1" x14ac:dyDescent="0.35">
      <c r="A3327" s="1">
        <v>3326</v>
      </c>
      <c r="B3327" s="1">
        <v>634</v>
      </c>
      <c r="C3327" s="1">
        <v>2</v>
      </c>
      <c r="D3327" t="str">
        <f>VLOOKUP(B3327,Заказы!A:C,3,0)</f>
        <v>2023-08-11 17:51:00</v>
      </c>
      <c r="E3327" t="str">
        <f>VLOOKUP(C3327,Меню!A:E,4,0)</f>
        <v>Завтрак</v>
      </c>
      <c r="F3327">
        <f>VLOOKUP(C3327,Меню!A:E,5,0)</f>
        <v>250</v>
      </c>
    </row>
    <row r="3328" spans="1:6" ht="15.75" hidden="1" customHeight="1" x14ac:dyDescent="0.35">
      <c r="A3328" s="1">
        <v>3327</v>
      </c>
      <c r="B3328" s="1">
        <v>634</v>
      </c>
      <c r="C3328" s="1">
        <v>50</v>
      </c>
      <c r="D3328" t="str">
        <f>VLOOKUP(B3328,Заказы!A:C,3,0)</f>
        <v>2023-08-11 17:51:00</v>
      </c>
      <c r="E3328" t="str">
        <f>VLOOKUP(C3328,Меню!A:E,4,0)</f>
        <v>Суши</v>
      </c>
      <c r="F3328">
        <f>VLOOKUP(C3328,Меню!A:E,5,0)</f>
        <v>200</v>
      </c>
    </row>
    <row r="3329" spans="1:6" ht="15.75" hidden="1" customHeight="1" x14ac:dyDescent="0.35">
      <c r="A3329" s="1">
        <v>3328</v>
      </c>
      <c r="B3329" s="1">
        <v>634</v>
      </c>
      <c r="C3329" s="1">
        <v>2</v>
      </c>
      <c r="D3329" t="str">
        <f>VLOOKUP(B3329,Заказы!A:C,3,0)</f>
        <v>2023-08-11 17:51:00</v>
      </c>
      <c r="E3329" t="str">
        <f>VLOOKUP(C3329,Меню!A:E,4,0)</f>
        <v>Завтрак</v>
      </c>
      <c r="F3329">
        <f>VLOOKUP(C3329,Меню!A:E,5,0)</f>
        <v>250</v>
      </c>
    </row>
    <row r="3330" spans="1:6" ht="15.75" hidden="1" customHeight="1" x14ac:dyDescent="0.35">
      <c r="A3330" s="1">
        <v>3329</v>
      </c>
      <c r="B3330" s="1">
        <v>635</v>
      </c>
      <c r="C3330" s="1">
        <v>20</v>
      </c>
      <c r="D3330" t="str">
        <f>VLOOKUP(B3330,Заказы!A:C,3,0)</f>
        <v>2023-08-11 18:31:00</v>
      </c>
      <c r="E3330" t="str">
        <f>VLOOKUP(C3330,Меню!A:E,4,0)</f>
        <v>Первое</v>
      </c>
      <c r="F3330">
        <f>VLOOKUP(C3330,Меню!A:E,5,0)</f>
        <v>250</v>
      </c>
    </row>
    <row r="3331" spans="1:6" ht="15.75" hidden="1" customHeight="1" x14ac:dyDescent="0.35">
      <c r="A3331" s="1">
        <v>3330</v>
      </c>
      <c r="B3331" s="1">
        <v>635</v>
      </c>
      <c r="C3331" s="1">
        <v>3</v>
      </c>
      <c r="D3331" t="str">
        <f>VLOOKUP(B3331,Заказы!A:C,3,0)</f>
        <v>2023-08-11 18:31:00</v>
      </c>
      <c r="E3331" t="str">
        <f>VLOOKUP(C3331,Меню!A:E,4,0)</f>
        <v>Завтрак</v>
      </c>
      <c r="F3331">
        <f>VLOOKUP(C3331,Меню!A:E,5,0)</f>
        <v>150</v>
      </c>
    </row>
    <row r="3332" spans="1:6" ht="15.75" hidden="1" customHeight="1" x14ac:dyDescent="0.35">
      <c r="A3332" s="1">
        <v>3331</v>
      </c>
      <c r="B3332" s="1">
        <v>635</v>
      </c>
      <c r="C3332" s="1">
        <v>24</v>
      </c>
      <c r="D3332" t="str">
        <f>VLOOKUP(B3332,Заказы!A:C,3,0)</f>
        <v>2023-08-11 18:31:00</v>
      </c>
      <c r="E3332" t="str">
        <f>VLOOKUP(C3332,Меню!A:E,4,0)</f>
        <v>Салат</v>
      </c>
      <c r="F3332">
        <f>VLOOKUP(C3332,Меню!A:E,5,0)</f>
        <v>250</v>
      </c>
    </row>
    <row r="3333" spans="1:6" ht="15.75" hidden="1" customHeight="1" x14ac:dyDescent="0.35">
      <c r="A3333" s="1">
        <v>3332</v>
      </c>
      <c r="B3333" s="1">
        <v>635</v>
      </c>
      <c r="C3333" s="1">
        <v>14</v>
      </c>
      <c r="D3333" t="str">
        <f>VLOOKUP(B3333,Заказы!A:C,3,0)</f>
        <v>2023-08-11 18:31:00</v>
      </c>
      <c r="E3333" t="str">
        <f>VLOOKUP(C3333,Меню!A:E,4,0)</f>
        <v>Первое</v>
      </c>
      <c r="F3333">
        <f>VLOOKUP(C3333,Меню!A:E,5,0)</f>
        <v>350</v>
      </c>
    </row>
    <row r="3334" spans="1:6" ht="15.75" hidden="1" customHeight="1" x14ac:dyDescent="0.35">
      <c r="A3334" s="1">
        <v>3333</v>
      </c>
      <c r="B3334" s="1">
        <v>636</v>
      </c>
      <c r="C3334" s="1">
        <v>12</v>
      </c>
      <c r="D3334" t="str">
        <f>VLOOKUP(B3334,Заказы!A:C,3,0)</f>
        <v>2023-08-11 22:06:00</v>
      </c>
      <c r="E3334" t="str">
        <f>VLOOKUP(C3334,Меню!A:E,4,0)</f>
        <v>Первое</v>
      </c>
      <c r="F3334">
        <f>VLOOKUP(C3334,Меню!A:E,5,0)</f>
        <v>300</v>
      </c>
    </row>
    <row r="3335" spans="1:6" ht="15.75" hidden="1" customHeight="1" x14ac:dyDescent="0.35">
      <c r="A3335" s="1">
        <v>3334</v>
      </c>
      <c r="B3335" s="1">
        <v>636</v>
      </c>
      <c r="C3335" s="1">
        <v>2</v>
      </c>
      <c r="D3335" t="str">
        <f>VLOOKUP(B3335,Заказы!A:C,3,0)</f>
        <v>2023-08-11 22:06:00</v>
      </c>
      <c r="E3335" t="str">
        <f>VLOOKUP(C3335,Меню!A:E,4,0)</f>
        <v>Завтрак</v>
      </c>
      <c r="F3335">
        <f>VLOOKUP(C3335,Меню!A:E,5,0)</f>
        <v>250</v>
      </c>
    </row>
    <row r="3336" spans="1:6" ht="15.75" hidden="1" customHeight="1" x14ac:dyDescent="0.35">
      <c r="A3336" s="1">
        <v>3335</v>
      </c>
      <c r="B3336" s="1">
        <v>636</v>
      </c>
      <c r="C3336" s="1">
        <v>36</v>
      </c>
      <c r="D3336" t="str">
        <f>VLOOKUP(B3336,Заказы!A:C,3,0)</f>
        <v>2023-08-11 22:06:00</v>
      </c>
      <c r="E3336" t="str">
        <f>VLOOKUP(C3336,Меню!A:E,4,0)</f>
        <v>Десерт</v>
      </c>
      <c r="F3336">
        <f>VLOOKUP(C3336,Меню!A:E,5,0)</f>
        <v>150</v>
      </c>
    </row>
    <row r="3337" spans="1:6" ht="15.75" hidden="1" customHeight="1" x14ac:dyDescent="0.35">
      <c r="A3337" s="1">
        <v>3336</v>
      </c>
      <c r="B3337" s="1">
        <v>636</v>
      </c>
      <c r="C3337" s="1">
        <v>2</v>
      </c>
      <c r="D3337" t="str">
        <f>VLOOKUP(B3337,Заказы!A:C,3,0)</f>
        <v>2023-08-11 22:06:00</v>
      </c>
      <c r="E3337" t="str">
        <f>VLOOKUP(C3337,Меню!A:E,4,0)</f>
        <v>Завтрак</v>
      </c>
      <c r="F3337">
        <f>VLOOKUP(C3337,Меню!A:E,5,0)</f>
        <v>250</v>
      </c>
    </row>
    <row r="3338" spans="1:6" ht="15.75" hidden="1" customHeight="1" x14ac:dyDescent="0.35">
      <c r="A3338" s="1">
        <v>3337</v>
      </c>
      <c r="B3338" s="1">
        <v>637</v>
      </c>
      <c r="C3338" s="1">
        <v>25</v>
      </c>
      <c r="D3338" t="str">
        <f>VLOOKUP(B3338,Заказы!A:C,3,0)</f>
        <v>2023-08-11 22:19:00</v>
      </c>
      <c r="E3338" t="str">
        <f>VLOOKUP(C3338,Меню!A:E,4,0)</f>
        <v>Салат</v>
      </c>
      <c r="F3338">
        <f>VLOOKUP(C3338,Меню!A:E,5,0)</f>
        <v>250</v>
      </c>
    </row>
    <row r="3339" spans="1:6" ht="15.75" hidden="1" customHeight="1" x14ac:dyDescent="0.35">
      <c r="A3339" s="1">
        <v>3338</v>
      </c>
      <c r="B3339" s="1">
        <v>637</v>
      </c>
      <c r="C3339" s="1">
        <v>1</v>
      </c>
      <c r="D3339" t="str">
        <f>VLOOKUP(B3339,Заказы!A:C,3,0)</f>
        <v>2023-08-11 22:19:00</v>
      </c>
      <c r="E3339" t="str">
        <f>VLOOKUP(C3339,Меню!A:E,4,0)</f>
        <v>Завтрак</v>
      </c>
      <c r="F3339">
        <f>VLOOKUP(C3339,Меню!A:E,5,0)</f>
        <v>200</v>
      </c>
    </row>
    <row r="3340" spans="1:6" ht="15.75" hidden="1" customHeight="1" x14ac:dyDescent="0.35">
      <c r="A3340" s="1">
        <v>3339</v>
      </c>
      <c r="B3340" s="1">
        <v>637</v>
      </c>
      <c r="C3340" s="1">
        <v>13</v>
      </c>
      <c r="D3340" t="str">
        <f>VLOOKUP(B3340,Заказы!A:C,3,0)</f>
        <v>2023-08-11 22:19:00</v>
      </c>
      <c r="E3340" t="str">
        <f>VLOOKUP(C3340,Меню!A:E,4,0)</f>
        <v>Первое</v>
      </c>
      <c r="F3340">
        <f>VLOOKUP(C3340,Меню!A:E,5,0)</f>
        <v>280</v>
      </c>
    </row>
    <row r="3341" spans="1:6" ht="15.75" hidden="1" customHeight="1" x14ac:dyDescent="0.35">
      <c r="A3341" s="1">
        <v>3340</v>
      </c>
      <c r="B3341" s="1">
        <v>637</v>
      </c>
      <c r="C3341" s="1">
        <v>41</v>
      </c>
      <c r="D3341" t="str">
        <f>VLOOKUP(B3341,Заказы!A:C,3,0)</f>
        <v>2023-08-11 22:19:00</v>
      </c>
      <c r="E3341" t="str">
        <f>VLOOKUP(C3341,Меню!A:E,4,0)</f>
        <v>Суши</v>
      </c>
      <c r="F3341">
        <f>VLOOKUP(C3341,Меню!A:E,5,0)</f>
        <v>220</v>
      </c>
    </row>
    <row r="3342" spans="1:6" ht="15.75" hidden="1" customHeight="1" x14ac:dyDescent="0.35">
      <c r="A3342" s="1">
        <v>3341</v>
      </c>
      <c r="B3342" s="1">
        <v>638</v>
      </c>
      <c r="C3342" s="1">
        <v>38</v>
      </c>
      <c r="D3342" t="str">
        <f>VLOOKUP(B3342,Заказы!A:C,3,0)</f>
        <v>2023-08-11 22:30:00</v>
      </c>
      <c r="E3342" t="str">
        <f>VLOOKUP(C3342,Меню!A:E,4,0)</f>
        <v>Десерт</v>
      </c>
      <c r="F3342">
        <f>VLOOKUP(C3342,Меню!A:E,5,0)</f>
        <v>150</v>
      </c>
    </row>
    <row r="3343" spans="1:6" ht="15.75" hidden="1" customHeight="1" x14ac:dyDescent="0.35">
      <c r="A3343" s="1">
        <v>3342</v>
      </c>
      <c r="B3343" s="1">
        <v>638</v>
      </c>
      <c r="C3343" s="1">
        <v>32</v>
      </c>
      <c r="D3343" t="str">
        <f>VLOOKUP(B3343,Заказы!A:C,3,0)</f>
        <v>2023-08-11 22:30:00</v>
      </c>
      <c r="E3343" t="str">
        <f>VLOOKUP(C3343,Меню!A:E,4,0)</f>
        <v>Десерт</v>
      </c>
      <c r="F3343">
        <f>VLOOKUP(C3343,Меню!A:E,5,0)</f>
        <v>150</v>
      </c>
    </row>
    <row r="3344" spans="1:6" ht="15.75" hidden="1" customHeight="1" x14ac:dyDescent="0.35">
      <c r="A3344" s="1">
        <v>3343</v>
      </c>
      <c r="B3344" s="1">
        <v>638</v>
      </c>
      <c r="C3344" s="1">
        <v>22</v>
      </c>
      <c r="D3344" t="str">
        <f>VLOOKUP(B3344,Заказы!A:C,3,0)</f>
        <v>2023-08-11 22:30:00</v>
      </c>
      <c r="E3344" t="str">
        <f>VLOOKUP(C3344,Меню!A:E,4,0)</f>
        <v>Салат</v>
      </c>
      <c r="F3344">
        <f>VLOOKUP(C3344,Меню!A:E,5,0)</f>
        <v>250</v>
      </c>
    </row>
    <row r="3345" spans="1:6" ht="15.75" hidden="1" customHeight="1" x14ac:dyDescent="0.35">
      <c r="A3345" s="1">
        <v>3344</v>
      </c>
      <c r="B3345" s="1">
        <v>638</v>
      </c>
      <c r="C3345" s="1">
        <v>45</v>
      </c>
      <c r="D3345" t="str">
        <f>VLOOKUP(B3345,Заказы!A:C,3,0)</f>
        <v>2023-08-11 22:30:00</v>
      </c>
      <c r="E3345" t="str">
        <f>VLOOKUP(C3345,Меню!A:E,4,0)</f>
        <v>Суши</v>
      </c>
      <c r="F3345">
        <f>VLOOKUP(C3345,Меню!A:E,5,0)</f>
        <v>200</v>
      </c>
    </row>
    <row r="3346" spans="1:6" ht="15.75" hidden="1" customHeight="1" x14ac:dyDescent="0.35">
      <c r="A3346" s="1">
        <v>3345</v>
      </c>
      <c r="B3346" s="1">
        <v>639</v>
      </c>
      <c r="C3346" s="1">
        <v>24</v>
      </c>
      <c r="D3346" t="str">
        <f>VLOOKUP(B3346,Заказы!A:C,3,0)</f>
        <v>2023-08-11 22:53:00</v>
      </c>
      <c r="E3346" t="str">
        <f>VLOOKUP(C3346,Меню!A:E,4,0)</f>
        <v>Салат</v>
      </c>
      <c r="F3346">
        <f>VLOOKUP(C3346,Меню!A:E,5,0)</f>
        <v>250</v>
      </c>
    </row>
    <row r="3347" spans="1:6" ht="15.75" hidden="1" customHeight="1" x14ac:dyDescent="0.35">
      <c r="A3347" s="1">
        <v>3346</v>
      </c>
      <c r="B3347" s="1">
        <v>639</v>
      </c>
      <c r="C3347" s="1">
        <v>52</v>
      </c>
      <c r="D3347" t="str">
        <f>VLOOKUP(B3347,Заказы!A:C,3,0)</f>
        <v>2023-08-11 22:53:00</v>
      </c>
      <c r="E3347" t="str">
        <f>VLOOKUP(C3347,Меню!A:E,4,0)</f>
        <v>Суши</v>
      </c>
      <c r="F3347">
        <f>VLOOKUP(C3347,Меню!A:E,5,0)</f>
        <v>100</v>
      </c>
    </row>
    <row r="3348" spans="1:6" ht="15.75" hidden="1" customHeight="1" x14ac:dyDescent="0.35">
      <c r="A3348" s="1">
        <v>3347</v>
      </c>
      <c r="B3348" s="1">
        <v>639</v>
      </c>
      <c r="C3348" s="1">
        <v>49</v>
      </c>
      <c r="D3348" t="str">
        <f>VLOOKUP(B3348,Заказы!A:C,3,0)</f>
        <v>2023-08-11 22:53:00</v>
      </c>
      <c r="E3348" t="str">
        <f>VLOOKUP(C3348,Меню!A:E,4,0)</f>
        <v>Суши</v>
      </c>
      <c r="F3348">
        <f>VLOOKUP(C3348,Меню!A:E,5,0)</f>
        <v>200</v>
      </c>
    </row>
    <row r="3349" spans="1:6" ht="15.75" hidden="1" customHeight="1" x14ac:dyDescent="0.35">
      <c r="A3349" s="1">
        <v>3348</v>
      </c>
      <c r="B3349" s="1">
        <v>639</v>
      </c>
      <c r="C3349" s="1">
        <v>47</v>
      </c>
      <c r="D3349" t="str">
        <f>VLOOKUP(B3349,Заказы!A:C,3,0)</f>
        <v>2023-08-11 22:53:00</v>
      </c>
      <c r="E3349" t="str">
        <f>VLOOKUP(C3349,Меню!A:E,4,0)</f>
        <v>Суши</v>
      </c>
      <c r="F3349">
        <f>VLOOKUP(C3349,Меню!A:E,5,0)</f>
        <v>200</v>
      </c>
    </row>
    <row r="3350" spans="1:6" ht="15.75" hidden="1" customHeight="1" x14ac:dyDescent="0.35">
      <c r="A3350" s="1">
        <v>3349</v>
      </c>
      <c r="B3350" s="1">
        <v>639</v>
      </c>
      <c r="C3350" s="1">
        <v>46</v>
      </c>
      <c r="D3350" t="str">
        <f>VLOOKUP(B3350,Заказы!A:C,3,0)</f>
        <v>2023-08-11 22:53:00</v>
      </c>
      <c r="E3350" t="str">
        <f>VLOOKUP(C3350,Меню!A:E,4,0)</f>
        <v>Суши</v>
      </c>
      <c r="F3350">
        <f>VLOOKUP(C3350,Меню!A:E,5,0)</f>
        <v>200</v>
      </c>
    </row>
    <row r="3351" spans="1:6" ht="15.75" hidden="1" customHeight="1" x14ac:dyDescent="0.35">
      <c r="A3351" s="1">
        <v>3350</v>
      </c>
      <c r="B3351" s="1">
        <v>639</v>
      </c>
      <c r="C3351" s="1">
        <v>58</v>
      </c>
      <c r="D3351" t="str">
        <f>VLOOKUP(B3351,Заказы!A:C,3,0)</f>
        <v>2023-08-11 22:53:00</v>
      </c>
      <c r="E3351" t="str">
        <f>VLOOKUP(C3351,Меню!A:E,4,0)</f>
        <v>Суши</v>
      </c>
      <c r="F3351">
        <f>VLOOKUP(C3351,Меню!A:E,5,0)</f>
        <v>200</v>
      </c>
    </row>
    <row r="3352" spans="1:6" ht="15.75" hidden="1" customHeight="1" x14ac:dyDescent="0.35">
      <c r="A3352" s="1">
        <v>3351</v>
      </c>
      <c r="B3352" s="1">
        <v>639</v>
      </c>
      <c r="C3352" s="1">
        <v>50</v>
      </c>
      <c r="D3352" t="str">
        <f>VLOOKUP(B3352,Заказы!A:C,3,0)</f>
        <v>2023-08-11 22:53:00</v>
      </c>
      <c r="E3352" t="str">
        <f>VLOOKUP(C3352,Меню!A:E,4,0)</f>
        <v>Суши</v>
      </c>
      <c r="F3352">
        <f>VLOOKUP(C3352,Меню!A:E,5,0)</f>
        <v>200</v>
      </c>
    </row>
    <row r="3353" spans="1:6" ht="15.75" hidden="1" customHeight="1" x14ac:dyDescent="0.35">
      <c r="A3353" s="1">
        <v>3352</v>
      </c>
      <c r="B3353" s="1">
        <v>639</v>
      </c>
      <c r="C3353" s="1">
        <v>10</v>
      </c>
      <c r="D3353" t="str">
        <f>VLOOKUP(B3353,Заказы!A:C,3,0)</f>
        <v>2023-08-11 22:53:00</v>
      </c>
      <c r="E3353" t="str">
        <f>VLOOKUP(C3353,Меню!A:E,4,0)</f>
        <v>Завтрак</v>
      </c>
      <c r="F3353">
        <f>VLOOKUP(C3353,Меню!A:E,5,0)</f>
        <v>200</v>
      </c>
    </row>
    <row r="3354" spans="1:6" ht="15.75" hidden="1" customHeight="1" x14ac:dyDescent="0.35">
      <c r="A3354" s="1">
        <v>3353</v>
      </c>
      <c r="B3354" s="1">
        <v>640</v>
      </c>
      <c r="C3354" s="1">
        <v>53</v>
      </c>
      <c r="D3354" t="str">
        <f>VLOOKUP(B3354,Заказы!A:C,3,0)</f>
        <v>2023-08-12 17:39:00</v>
      </c>
      <c r="E3354" t="str">
        <f>VLOOKUP(C3354,Меню!A:E,4,0)</f>
        <v>Суши</v>
      </c>
      <c r="F3354">
        <f>VLOOKUP(C3354,Меню!A:E,5,0)</f>
        <v>100</v>
      </c>
    </row>
    <row r="3355" spans="1:6" ht="15.75" hidden="1" customHeight="1" x14ac:dyDescent="0.35">
      <c r="A3355" s="1">
        <v>3354</v>
      </c>
      <c r="B3355" s="1">
        <v>640</v>
      </c>
      <c r="C3355" s="1">
        <v>2</v>
      </c>
      <c r="D3355" t="str">
        <f>VLOOKUP(B3355,Заказы!A:C,3,0)</f>
        <v>2023-08-12 17:39:00</v>
      </c>
      <c r="E3355" t="str">
        <f>VLOOKUP(C3355,Меню!A:E,4,0)</f>
        <v>Завтрак</v>
      </c>
      <c r="F3355">
        <f>VLOOKUP(C3355,Меню!A:E,5,0)</f>
        <v>250</v>
      </c>
    </row>
    <row r="3356" spans="1:6" ht="15.75" hidden="1" customHeight="1" x14ac:dyDescent="0.35">
      <c r="A3356" s="1">
        <v>3355</v>
      </c>
      <c r="B3356" s="1">
        <v>640</v>
      </c>
      <c r="C3356" s="1">
        <v>2</v>
      </c>
      <c r="D3356" t="str">
        <f>VLOOKUP(B3356,Заказы!A:C,3,0)</f>
        <v>2023-08-12 17:39:00</v>
      </c>
      <c r="E3356" t="str">
        <f>VLOOKUP(C3356,Меню!A:E,4,0)</f>
        <v>Завтрак</v>
      </c>
      <c r="F3356">
        <f>VLOOKUP(C3356,Меню!A:E,5,0)</f>
        <v>250</v>
      </c>
    </row>
    <row r="3357" spans="1:6" ht="15.75" hidden="1" customHeight="1" x14ac:dyDescent="0.35">
      <c r="A3357" s="1">
        <v>3356</v>
      </c>
      <c r="B3357" s="1">
        <v>640</v>
      </c>
      <c r="C3357" s="1">
        <v>37</v>
      </c>
      <c r="D3357" t="str">
        <f>VLOOKUP(B3357,Заказы!A:C,3,0)</f>
        <v>2023-08-12 17:39:00</v>
      </c>
      <c r="E3357" t="str">
        <f>VLOOKUP(C3357,Меню!A:E,4,0)</f>
        <v>Десерт</v>
      </c>
      <c r="F3357">
        <f>VLOOKUP(C3357,Меню!A:E,5,0)</f>
        <v>100</v>
      </c>
    </row>
    <row r="3358" spans="1:6" ht="15.75" hidden="1" customHeight="1" x14ac:dyDescent="0.35">
      <c r="A3358" s="1">
        <v>3357</v>
      </c>
      <c r="B3358" s="1">
        <v>640</v>
      </c>
      <c r="C3358" s="1">
        <v>4</v>
      </c>
      <c r="D3358" t="str">
        <f>VLOOKUP(B3358,Заказы!A:C,3,0)</f>
        <v>2023-08-12 17:39:00</v>
      </c>
      <c r="E3358" t="str">
        <f>VLOOKUP(C3358,Меню!A:E,4,0)</f>
        <v>Завтрак</v>
      </c>
      <c r="F3358">
        <f>VLOOKUP(C3358,Меню!A:E,5,0)</f>
        <v>180</v>
      </c>
    </row>
    <row r="3359" spans="1:6" ht="15.75" hidden="1" customHeight="1" x14ac:dyDescent="0.35">
      <c r="A3359" s="1">
        <v>3358</v>
      </c>
      <c r="B3359" s="1">
        <v>641</v>
      </c>
      <c r="C3359" s="1">
        <v>1</v>
      </c>
      <c r="D3359" t="str">
        <f>VLOOKUP(B3359,Заказы!A:C,3,0)</f>
        <v>2023-08-13 16:10:00</v>
      </c>
      <c r="E3359" t="str">
        <f>VLOOKUP(C3359,Меню!A:E,4,0)</f>
        <v>Завтрак</v>
      </c>
      <c r="F3359">
        <f>VLOOKUP(C3359,Меню!A:E,5,0)</f>
        <v>200</v>
      </c>
    </row>
    <row r="3360" spans="1:6" ht="15.75" hidden="1" customHeight="1" x14ac:dyDescent="0.35">
      <c r="A3360" s="1">
        <v>3359</v>
      </c>
      <c r="B3360" s="1">
        <v>641</v>
      </c>
      <c r="C3360" s="1">
        <v>57</v>
      </c>
      <c r="D3360" t="str">
        <f>VLOOKUP(B3360,Заказы!A:C,3,0)</f>
        <v>2023-08-13 16:10:00</v>
      </c>
      <c r="E3360" t="str">
        <f>VLOOKUP(C3360,Меню!A:E,4,0)</f>
        <v>Суши</v>
      </c>
      <c r="F3360">
        <f>VLOOKUP(C3360,Меню!A:E,5,0)</f>
        <v>200</v>
      </c>
    </row>
    <row r="3361" spans="1:6" ht="15.75" hidden="1" customHeight="1" x14ac:dyDescent="0.35">
      <c r="A3361" s="1">
        <v>3360</v>
      </c>
      <c r="B3361" s="1">
        <v>641</v>
      </c>
      <c r="C3361" s="1">
        <v>49</v>
      </c>
      <c r="D3361" t="str">
        <f>VLOOKUP(B3361,Заказы!A:C,3,0)</f>
        <v>2023-08-13 16:10:00</v>
      </c>
      <c r="E3361" t="str">
        <f>VLOOKUP(C3361,Меню!A:E,4,0)</f>
        <v>Суши</v>
      </c>
      <c r="F3361">
        <f>VLOOKUP(C3361,Меню!A:E,5,0)</f>
        <v>200</v>
      </c>
    </row>
    <row r="3362" spans="1:6" ht="15.75" hidden="1" customHeight="1" x14ac:dyDescent="0.35">
      <c r="A3362" s="1">
        <v>3361</v>
      </c>
      <c r="B3362" s="1">
        <v>641</v>
      </c>
      <c r="C3362" s="1">
        <v>55</v>
      </c>
      <c r="D3362" t="str">
        <f>VLOOKUP(B3362,Заказы!A:C,3,0)</f>
        <v>2023-08-13 16:10:00</v>
      </c>
      <c r="E3362" t="str">
        <f>VLOOKUP(C3362,Меню!A:E,4,0)</f>
        <v>Суши</v>
      </c>
      <c r="F3362">
        <f>VLOOKUP(C3362,Меню!A:E,5,0)</f>
        <v>100</v>
      </c>
    </row>
    <row r="3363" spans="1:6" ht="15.75" hidden="1" customHeight="1" x14ac:dyDescent="0.35">
      <c r="A3363" s="1">
        <v>3362</v>
      </c>
      <c r="B3363" s="1">
        <v>641</v>
      </c>
      <c r="C3363" s="1">
        <v>46</v>
      </c>
      <c r="D3363" t="str">
        <f>VLOOKUP(B3363,Заказы!A:C,3,0)</f>
        <v>2023-08-13 16:10:00</v>
      </c>
      <c r="E3363" t="str">
        <f>VLOOKUP(C3363,Меню!A:E,4,0)</f>
        <v>Суши</v>
      </c>
      <c r="F3363">
        <f>VLOOKUP(C3363,Меню!A:E,5,0)</f>
        <v>200</v>
      </c>
    </row>
    <row r="3364" spans="1:6" ht="15.75" hidden="1" customHeight="1" x14ac:dyDescent="0.35">
      <c r="A3364" s="1">
        <v>3363</v>
      </c>
      <c r="B3364" s="1">
        <v>641</v>
      </c>
      <c r="C3364" s="1">
        <v>26</v>
      </c>
      <c r="D3364" t="str">
        <f>VLOOKUP(B3364,Заказы!A:C,3,0)</f>
        <v>2023-08-13 16:10:00</v>
      </c>
      <c r="E3364" t="str">
        <f>VLOOKUP(C3364,Меню!A:E,4,0)</f>
        <v>Салат</v>
      </c>
      <c r="F3364">
        <f>VLOOKUP(C3364,Меню!A:E,5,0)</f>
        <v>250</v>
      </c>
    </row>
    <row r="3365" spans="1:6" ht="15.75" hidden="1" customHeight="1" x14ac:dyDescent="0.35">
      <c r="A3365" s="1">
        <v>3364</v>
      </c>
      <c r="B3365" s="1">
        <v>641</v>
      </c>
      <c r="C3365" s="1">
        <v>39</v>
      </c>
      <c r="D3365" t="str">
        <f>VLOOKUP(B3365,Заказы!A:C,3,0)</f>
        <v>2023-08-13 16:10:00</v>
      </c>
      <c r="E3365" t="str">
        <f>VLOOKUP(C3365,Меню!A:E,4,0)</f>
        <v>Десерт</v>
      </c>
      <c r="F3365">
        <f>VLOOKUP(C3365,Меню!A:E,5,0)</f>
        <v>150</v>
      </c>
    </row>
    <row r="3366" spans="1:6" ht="15.75" hidden="1" customHeight="1" x14ac:dyDescent="0.35">
      <c r="A3366" s="1">
        <v>3365</v>
      </c>
      <c r="B3366" s="1">
        <v>641</v>
      </c>
      <c r="C3366" s="1">
        <v>57</v>
      </c>
      <c r="D3366" t="str">
        <f>VLOOKUP(B3366,Заказы!A:C,3,0)</f>
        <v>2023-08-13 16:10:00</v>
      </c>
      <c r="E3366" t="str">
        <f>VLOOKUP(C3366,Меню!A:E,4,0)</f>
        <v>Суши</v>
      </c>
      <c r="F3366">
        <f>VLOOKUP(C3366,Меню!A:E,5,0)</f>
        <v>200</v>
      </c>
    </row>
    <row r="3367" spans="1:6" ht="15.75" hidden="1" customHeight="1" x14ac:dyDescent="0.35">
      <c r="A3367" s="1">
        <v>3366</v>
      </c>
      <c r="B3367" s="1">
        <v>641</v>
      </c>
      <c r="C3367" s="1">
        <v>51</v>
      </c>
      <c r="D3367" t="str">
        <f>VLOOKUP(B3367,Заказы!A:C,3,0)</f>
        <v>2023-08-13 16:10:00</v>
      </c>
      <c r="E3367" t="str">
        <f>VLOOKUP(C3367,Меню!A:E,4,0)</f>
        <v>Суши</v>
      </c>
      <c r="F3367">
        <f>VLOOKUP(C3367,Меню!A:E,5,0)</f>
        <v>100</v>
      </c>
    </row>
    <row r="3368" spans="1:6" ht="15.75" hidden="1" customHeight="1" x14ac:dyDescent="0.35">
      <c r="A3368" s="1">
        <v>3367</v>
      </c>
      <c r="B3368" s="1">
        <v>642</v>
      </c>
      <c r="C3368" s="1">
        <v>27</v>
      </c>
      <c r="D3368" t="str">
        <f>VLOOKUP(B3368,Заказы!A:C,3,0)</f>
        <v>2023-08-13 16:41:00</v>
      </c>
      <c r="E3368" t="str">
        <f>VLOOKUP(C3368,Меню!A:E,4,0)</f>
        <v>Салат</v>
      </c>
      <c r="F3368">
        <f>VLOOKUP(C3368,Меню!A:E,5,0)</f>
        <v>250</v>
      </c>
    </row>
    <row r="3369" spans="1:6" ht="15.75" hidden="1" customHeight="1" x14ac:dyDescent="0.35">
      <c r="A3369" s="1">
        <v>3368</v>
      </c>
      <c r="B3369" s="1">
        <v>642</v>
      </c>
      <c r="C3369" s="1">
        <v>15</v>
      </c>
      <c r="D3369" t="str">
        <f>VLOOKUP(B3369,Заказы!A:C,3,0)</f>
        <v>2023-08-13 16:41:00</v>
      </c>
      <c r="E3369" t="str">
        <f>VLOOKUP(C3369,Меню!A:E,4,0)</f>
        <v>Первое</v>
      </c>
      <c r="F3369">
        <f>VLOOKUP(C3369,Меню!A:E,5,0)</f>
        <v>250</v>
      </c>
    </row>
    <row r="3370" spans="1:6" ht="15.75" hidden="1" customHeight="1" x14ac:dyDescent="0.35">
      <c r="A3370" s="1">
        <v>3369</v>
      </c>
      <c r="B3370" s="1">
        <v>642</v>
      </c>
      <c r="C3370" s="1">
        <v>26</v>
      </c>
      <c r="D3370" t="str">
        <f>VLOOKUP(B3370,Заказы!A:C,3,0)</f>
        <v>2023-08-13 16:41:00</v>
      </c>
      <c r="E3370" t="str">
        <f>VLOOKUP(C3370,Меню!A:E,4,0)</f>
        <v>Салат</v>
      </c>
      <c r="F3370">
        <f>VLOOKUP(C3370,Меню!A:E,5,0)</f>
        <v>250</v>
      </c>
    </row>
    <row r="3371" spans="1:6" ht="15.75" hidden="1" customHeight="1" x14ac:dyDescent="0.35">
      <c r="A3371" s="1">
        <v>3370</v>
      </c>
      <c r="B3371" s="1">
        <v>642</v>
      </c>
      <c r="C3371" s="1">
        <v>22</v>
      </c>
      <c r="D3371" t="str">
        <f>VLOOKUP(B3371,Заказы!A:C,3,0)</f>
        <v>2023-08-13 16:41:00</v>
      </c>
      <c r="E3371" t="str">
        <f>VLOOKUP(C3371,Меню!A:E,4,0)</f>
        <v>Салат</v>
      </c>
      <c r="F3371">
        <f>VLOOKUP(C3371,Меню!A:E,5,0)</f>
        <v>250</v>
      </c>
    </row>
    <row r="3372" spans="1:6" ht="15.75" hidden="1" customHeight="1" x14ac:dyDescent="0.35">
      <c r="A3372" s="1">
        <v>3371</v>
      </c>
      <c r="B3372" s="1">
        <v>642</v>
      </c>
      <c r="C3372" s="1">
        <v>17</v>
      </c>
      <c r="D3372" t="str">
        <f>VLOOKUP(B3372,Заказы!A:C,3,0)</f>
        <v>2023-08-13 16:41:00</v>
      </c>
      <c r="E3372" t="str">
        <f>VLOOKUP(C3372,Меню!A:E,4,0)</f>
        <v>Первое</v>
      </c>
      <c r="F3372">
        <f>VLOOKUP(C3372,Меню!A:E,5,0)</f>
        <v>250</v>
      </c>
    </row>
    <row r="3373" spans="1:6" ht="15.75" hidden="1" customHeight="1" x14ac:dyDescent="0.35">
      <c r="A3373" s="1">
        <v>3372</v>
      </c>
      <c r="B3373" s="1">
        <v>642</v>
      </c>
      <c r="C3373" s="1">
        <v>24</v>
      </c>
      <c r="D3373" t="str">
        <f>VLOOKUP(B3373,Заказы!A:C,3,0)</f>
        <v>2023-08-13 16:41:00</v>
      </c>
      <c r="E3373" t="str">
        <f>VLOOKUP(C3373,Меню!A:E,4,0)</f>
        <v>Салат</v>
      </c>
      <c r="F3373">
        <f>VLOOKUP(C3373,Меню!A:E,5,0)</f>
        <v>250</v>
      </c>
    </row>
    <row r="3374" spans="1:6" ht="15.75" hidden="1" customHeight="1" x14ac:dyDescent="0.35">
      <c r="A3374" s="1">
        <v>3373</v>
      </c>
      <c r="B3374" s="1">
        <v>642</v>
      </c>
      <c r="C3374" s="1">
        <v>59</v>
      </c>
      <c r="D3374" t="str">
        <f>VLOOKUP(B3374,Заказы!A:C,3,0)</f>
        <v>2023-08-13 16:41:00</v>
      </c>
      <c r="E3374" t="str">
        <f>VLOOKUP(C3374,Меню!A:E,4,0)</f>
        <v>Суши</v>
      </c>
      <c r="F3374">
        <f>VLOOKUP(C3374,Меню!A:E,5,0)</f>
        <v>300</v>
      </c>
    </row>
    <row r="3375" spans="1:6" ht="15.75" hidden="1" customHeight="1" x14ac:dyDescent="0.35">
      <c r="A3375" s="1">
        <v>3374</v>
      </c>
      <c r="B3375" s="1">
        <v>643</v>
      </c>
      <c r="C3375" s="1">
        <v>40</v>
      </c>
      <c r="D3375" t="str">
        <f>VLOOKUP(B3375,Заказы!A:C,3,0)</f>
        <v>2023-08-13 18:07:00</v>
      </c>
      <c r="E3375" t="str">
        <f>VLOOKUP(C3375,Меню!A:E,4,0)</f>
        <v>Десерт</v>
      </c>
      <c r="F3375">
        <f>VLOOKUP(C3375,Меню!A:E,5,0)</f>
        <v>150</v>
      </c>
    </row>
    <row r="3376" spans="1:6" ht="15.75" hidden="1" customHeight="1" x14ac:dyDescent="0.35">
      <c r="A3376" s="1">
        <v>3375</v>
      </c>
      <c r="B3376" s="1">
        <v>644</v>
      </c>
      <c r="C3376" s="1">
        <v>39</v>
      </c>
      <c r="D3376" t="str">
        <f>VLOOKUP(B3376,Заказы!A:C,3,0)</f>
        <v>2023-08-13 18:27:00</v>
      </c>
      <c r="E3376" t="str">
        <f>VLOOKUP(C3376,Меню!A:E,4,0)</f>
        <v>Десерт</v>
      </c>
      <c r="F3376">
        <f>VLOOKUP(C3376,Меню!A:E,5,0)</f>
        <v>150</v>
      </c>
    </row>
    <row r="3377" spans="1:6" ht="15.75" hidden="1" customHeight="1" x14ac:dyDescent="0.35">
      <c r="A3377" s="1">
        <v>3376</v>
      </c>
      <c r="B3377" s="1">
        <v>644</v>
      </c>
      <c r="C3377" s="1">
        <v>7</v>
      </c>
      <c r="D3377" t="str">
        <f>VLOOKUP(B3377,Заказы!A:C,3,0)</f>
        <v>2023-08-13 18:27:00</v>
      </c>
      <c r="E3377" t="str">
        <f>VLOOKUP(C3377,Меню!A:E,4,0)</f>
        <v>Завтрак</v>
      </c>
      <c r="F3377">
        <f>VLOOKUP(C3377,Меню!A:E,5,0)</f>
        <v>200</v>
      </c>
    </row>
    <row r="3378" spans="1:6" ht="15.75" hidden="1" customHeight="1" x14ac:dyDescent="0.35">
      <c r="A3378" s="1">
        <v>3377</v>
      </c>
      <c r="B3378" s="1">
        <v>644</v>
      </c>
      <c r="C3378" s="1">
        <v>8</v>
      </c>
      <c r="D3378" t="str">
        <f>VLOOKUP(B3378,Заказы!A:C,3,0)</f>
        <v>2023-08-13 18:27:00</v>
      </c>
      <c r="E3378" t="str">
        <f>VLOOKUP(C3378,Меню!A:E,4,0)</f>
        <v>Завтрак</v>
      </c>
      <c r="F3378">
        <f>VLOOKUP(C3378,Меню!A:E,5,0)</f>
        <v>180</v>
      </c>
    </row>
    <row r="3379" spans="1:6" ht="15.75" hidden="1" customHeight="1" x14ac:dyDescent="0.35">
      <c r="A3379" s="1">
        <v>3378</v>
      </c>
      <c r="B3379" s="1">
        <v>644</v>
      </c>
      <c r="C3379" s="1">
        <v>34</v>
      </c>
      <c r="D3379" t="str">
        <f>VLOOKUP(B3379,Заказы!A:C,3,0)</f>
        <v>2023-08-13 18:27:00</v>
      </c>
      <c r="E3379" t="str">
        <f>VLOOKUP(C3379,Меню!A:E,4,0)</f>
        <v>Десерт</v>
      </c>
      <c r="F3379">
        <f>VLOOKUP(C3379,Меню!A:E,5,0)</f>
        <v>150</v>
      </c>
    </row>
    <row r="3380" spans="1:6" ht="15.75" hidden="1" customHeight="1" x14ac:dyDescent="0.35">
      <c r="A3380" s="1">
        <v>3379</v>
      </c>
      <c r="B3380" s="1">
        <v>644</v>
      </c>
      <c r="C3380" s="1">
        <v>38</v>
      </c>
      <c r="D3380" t="str">
        <f>VLOOKUP(B3380,Заказы!A:C,3,0)</f>
        <v>2023-08-13 18:27:00</v>
      </c>
      <c r="E3380" t="str">
        <f>VLOOKUP(C3380,Меню!A:E,4,0)</f>
        <v>Десерт</v>
      </c>
      <c r="F3380">
        <f>VLOOKUP(C3380,Меню!A:E,5,0)</f>
        <v>150</v>
      </c>
    </row>
    <row r="3381" spans="1:6" ht="15.75" hidden="1" customHeight="1" x14ac:dyDescent="0.35">
      <c r="A3381" s="1">
        <v>3380</v>
      </c>
      <c r="B3381" s="1">
        <v>645</v>
      </c>
      <c r="C3381" s="1">
        <v>8</v>
      </c>
      <c r="D3381" t="str">
        <f>VLOOKUP(B3381,Заказы!A:C,3,0)</f>
        <v>2023-08-13 18:30:00</v>
      </c>
      <c r="E3381" t="str">
        <f>VLOOKUP(C3381,Меню!A:E,4,0)</f>
        <v>Завтрак</v>
      </c>
      <c r="F3381">
        <f>VLOOKUP(C3381,Меню!A:E,5,0)</f>
        <v>180</v>
      </c>
    </row>
    <row r="3382" spans="1:6" ht="15.75" hidden="1" customHeight="1" x14ac:dyDescent="0.35">
      <c r="A3382" s="1">
        <v>3381</v>
      </c>
      <c r="B3382" s="1">
        <v>646</v>
      </c>
      <c r="C3382" s="1">
        <v>23</v>
      </c>
      <c r="D3382" t="str">
        <f>VLOOKUP(B3382,Заказы!A:C,3,0)</f>
        <v>2023-08-13 22:16:00</v>
      </c>
      <c r="E3382" t="str">
        <f>VLOOKUP(C3382,Меню!A:E,4,0)</f>
        <v>Салат</v>
      </c>
      <c r="F3382">
        <f>VLOOKUP(C3382,Меню!A:E,5,0)</f>
        <v>250</v>
      </c>
    </row>
    <row r="3383" spans="1:6" ht="15.75" hidden="1" customHeight="1" x14ac:dyDescent="0.35">
      <c r="A3383" s="1">
        <v>3382</v>
      </c>
      <c r="B3383" s="1">
        <v>646</v>
      </c>
      <c r="C3383" s="1">
        <v>23</v>
      </c>
      <c r="D3383" t="str">
        <f>VLOOKUP(B3383,Заказы!A:C,3,0)</f>
        <v>2023-08-13 22:16:00</v>
      </c>
      <c r="E3383" t="str">
        <f>VLOOKUP(C3383,Меню!A:E,4,0)</f>
        <v>Салат</v>
      </c>
      <c r="F3383">
        <f>VLOOKUP(C3383,Меню!A:E,5,0)</f>
        <v>250</v>
      </c>
    </row>
    <row r="3384" spans="1:6" ht="15.75" hidden="1" customHeight="1" x14ac:dyDescent="0.35">
      <c r="A3384" s="1">
        <v>3383</v>
      </c>
      <c r="B3384" s="1">
        <v>646</v>
      </c>
      <c r="C3384" s="1">
        <v>55</v>
      </c>
      <c r="D3384" t="str">
        <f>VLOOKUP(B3384,Заказы!A:C,3,0)</f>
        <v>2023-08-13 22:16:00</v>
      </c>
      <c r="E3384" t="str">
        <f>VLOOKUP(C3384,Меню!A:E,4,0)</f>
        <v>Суши</v>
      </c>
      <c r="F3384">
        <f>VLOOKUP(C3384,Меню!A:E,5,0)</f>
        <v>100</v>
      </c>
    </row>
    <row r="3385" spans="1:6" ht="15.75" hidden="1" customHeight="1" x14ac:dyDescent="0.35">
      <c r="A3385" s="1">
        <v>3384</v>
      </c>
      <c r="B3385" s="1">
        <v>646</v>
      </c>
      <c r="C3385" s="1">
        <v>2</v>
      </c>
      <c r="D3385" t="str">
        <f>VLOOKUP(B3385,Заказы!A:C,3,0)</f>
        <v>2023-08-13 22:16:00</v>
      </c>
      <c r="E3385" t="str">
        <f>VLOOKUP(C3385,Меню!A:E,4,0)</f>
        <v>Завтрак</v>
      </c>
      <c r="F3385">
        <f>VLOOKUP(C3385,Меню!A:E,5,0)</f>
        <v>250</v>
      </c>
    </row>
    <row r="3386" spans="1:6" ht="15.75" hidden="1" customHeight="1" x14ac:dyDescent="0.35">
      <c r="A3386" s="1">
        <v>3385</v>
      </c>
      <c r="B3386" s="1">
        <v>647</v>
      </c>
      <c r="C3386" s="1">
        <v>41</v>
      </c>
      <c r="D3386" t="str">
        <f>VLOOKUP(B3386,Заказы!A:C,3,0)</f>
        <v>2023-08-14 15:33:00</v>
      </c>
      <c r="E3386" t="str">
        <f>VLOOKUP(C3386,Меню!A:E,4,0)</f>
        <v>Суши</v>
      </c>
      <c r="F3386">
        <f>VLOOKUP(C3386,Меню!A:E,5,0)</f>
        <v>220</v>
      </c>
    </row>
    <row r="3387" spans="1:6" ht="15.75" hidden="1" customHeight="1" x14ac:dyDescent="0.35">
      <c r="A3387" s="1">
        <v>3386</v>
      </c>
      <c r="B3387" s="1">
        <v>647</v>
      </c>
      <c r="C3387" s="1">
        <v>37</v>
      </c>
      <c r="D3387" t="str">
        <f>VLOOKUP(B3387,Заказы!A:C,3,0)</f>
        <v>2023-08-14 15:33:00</v>
      </c>
      <c r="E3387" t="str">
        <f>VLOOKUP(C3387,Меню!A:E,4,0)</f>
        <v>Десерт</v>
      </c>
      <c r="F3387">
        <f>VLOOKUP(C3387,Меню!A:E,5,0)</f>
        <v>100</v>
      </c>
    </row>
    <row r="3388" spans="1:6" ht="15.75" hidden="1" customHeight="1" x14ac:dyDescent="0.35">
      <c r="A3388" s="1">
        <v>3387</v>
      </c>
      <c r="B3388" s="1">
        <v>647</v>
      </c>
      <c r="C3388" s="1">
        <v>51</v>
      </c>
      <c r="D3388" t="str">
        <f>VLOOKUP(B3388,Заказы!A:C,3,0)</f>
        <v>2023-08-14 15:33:00</v>
      </c>
      <c r="E3388" t="str">
        <f>VLOOKUP(C3388,Меню!A:E,4,0)</f>
        <v>Суши</v>
      </c>
      <c r="F3388">
        <f>VLOOKUP(C3388,Меню!A:E,5,0)</f>
        <v>100</v>
      </c>
    </row>
    <row r="3389" spans="1:6" ht="15.75" hidden="1" customHeight="1" x14ac:dyDescent="0.35">
      <c r="A3389" s="1">
        <v>3388</v>
      </c>
      <c r="B3389" s="1">
        <v>648</v>
      </c>
      <c r="C3389" s="1">
        <v>46</v>
      </c>
      <c r="D3389" t="str">
        <f>VLOOKUP(B3389,Заказы!A:C,3,0)</f>
        <v>2023-08-14 16:22:00</v>
      </c>
      <c r="E3389" t="str">
        <f>VLOOKUP(C3389,Меню!A:E,4,0)</f>
        <v>Суши</v>
      </c>
      <c r="F3389">
        <f>VLOOKUP(C3389,Меню!A:E,5,0)</f>
        <v>200</v>
      </c>
    </row>
    <row r="3390" spans="1:6" ht="15.75" hidden="1" customHeight="1" x14ac:dyDescent="0.35">
      <c r="A3390" s="1">
        <v>3389</v>
      </c>
      <c r="B3390" s="1">
        <v>648</v>
      </c>
      <c r="C3390" s="1">
        <v>54</v>
      </c>
      <c r="D3390" t="str">
        <f>VLOOKUP(B3390,Заказы!A:C,3,0)</f>
        <v>2023-08-14 16:22:00</v>
      </c>
      <c r="E3390" t="str">
        <f>VLOOKUP(C3390,Меню!A:E,4,0)</f>
        <v>Суши</v>
      </c>
      <c r="F3390">
        <f>VLOOKUP(C3390,Меню!A:E,5,0)</f>
        <v>100</v>
      </c>
    </row>
    <row r="3391" spans="1:6" ht="15.75" hidden="1" customHeight="1" x14ac:dyDescent="0.35">
      <c r="A3391" s="1">
        <v>3390</v>
      </c>
      <c r="B3391" s="1">
        <v>648</v>
      </c>
      <c r="C3391" s="1">
        <v>20</v>
      </c>
      <c r="D3391" t="str">
        <f>VLOOKUP(B3391,Заказы!A:C,3,0)</f>
        <v>2023-08-14 16:22:00</v>
      </c>
      <c r="E3391" t="str">
        <f>VLOOKUP(C3391,Меню!A:E,4,0)</f>
        <v>Первое</v>
      </c>
      <c r="F3391">
        <f>VLOOKUP(C3391,Меню!A:E,5,0)</f>
        <v>250</v>
      </c>
    </row>
    <row r="3392" spans="1:6" ht="15.75" hidden="1" customHeight="1" x14ac:dyDescent="0.35">
      <c r="A3392" s="1">
        <v>3391</v>
      </c>
      <c r="B3392" s="1">
        <v>648</v>
      </c>
      <c r="C3392" s="1">
        <v>37</v>
      </c>
      <c r="D3392" t="str">
        <f>VLOOKUP(B3392,Заказы!A:C,3,0)</f>
        <v>2023-08-14 16:22:00</v>
      </c>
      <c r="E3392" t="str">
        <f>VLOOKUP(C3392,Меню!A:E,4,0)</f>
        <v>Десерт</v>
      </c>
      <c r="F3392">
        <f>VLOOKUP(C3392,Меню!A:E,5,0)</f>
        <v>100</v>
      </c>
    </row>
    <row r="3393" spans="1:6" ht="15.75" hidden="1" customHeight="1" x14ac:dyDescent="0.35">
      <c r="A3393" s="1">
        <v>3392</v>
      </c>
      <c r="B3393" s="1">
        <v>648</v>
      </c>
      <c r="C3393" s="1">
        <v>32</v>
      </c>
      <c r="D3393" t="str">
        <f>VLOOKUP(B3393,Заказы!A:C,3,0)</f>
        <v>2023-08-14 16:22:00</v>
      </c>
      <c r="E3393" t="str">
        <f>VLOOKUP(C3393,Меню!A:E,4,0)</f>
        <v>Десерт</v>
      </c>
      <c r="F3393">
        <f>VLOOKUP(C3393,Меню!A:E,5,0)</f>
        <v>150</v>
      </c>
    </row>
    <row r="3394" spans="1:6" ht="15.75" hidden="1" customHeight="1" x14ac:dyDescent="0.35">
      <c r="A3394" s="1">
        <v>3393</v>
      </c>
      <c r="B3394" s="1">
        <v>648</v>
      </c>
      <c r="C3394" s="1">
        <v>11</v>
      </c>
      <c r="D3394" t="str">
        <f>VLOOKUP(B3394,Заказы!A:C,3,0)</f>
        <v>2023-08-14 16:22:00</v>
      </c>
      <c r="E3394" t="str">
        <f>VLOOKUP(C3394,Меню!A:E,4,0)</f>
        <v>Первое</v>
      </c>
      <c r="F3394">
        <f>VLOOKUP(C3394,Меню!A:E,5,0)</f>
        <v>300</v>
      </c>
    </row>
    <row r="3395" spans="1:6" ht="15.75" hidden="1" customHeight="1" x14ac:dyDescent="0.35">
      <c r="A3395" s="1">
        <v>3394</v>
      </c>
      <c r="B3395" s="1">
        <v>649</v>
      </c>
      <c r="C3395" s="1">
        <v>1</v>
      </c>
      <c r="D3395" t="str">
        <f>VLOOKUP(B3395,Заказы!A:C,3,0)</f>
        <v>2023-08-14 17:37:00</v>
      </c>
      <c r="E3395" t="str">
        <f>VLOOKUP(C3395,Меню!A:E,4,0)</f>
        <v>Завтрак</v>
      </c>
      <c r="F3395">
        <f>VLOOKUP(C3395,Меню!A:E,5,0)</f>
        <v>200</v>
      </c>
    </row>
    <row r="3396" spans="1:6" ht="15.75" hidden="1" customHeight="1" x14ac:dyDescent="0.35">
      <c r="A3396" s="1">
        <v>3395</v>
      </c>
      <c r="B3396" s="1">
        <v>649</v>
      </c>
      <c r="C3396" s="1">
        <v>5</v>
      </c>
      <c r="D3396" t="str">
        <f>VLOOKUP(B3396,Заказы!A:C,3,0)</f>
        <v>2023-08-14 17:37:00</v>
      </c>
      <c r="E3396" t="str">
        <f>VLOOKUP(C3396,Меню!A:E,4,0)</f>
        <v>Завтрак</v>
      </c>
      <c r="F3396">
        <f>VLOOKUP(C3396,Меню!A:E,5,0)</f>
        <v>220</v>
      </c>
    </row>
    <row r="3397" spans="1:6" ht="15.75" hidden="1" customHeight="1" x14ac:dyDescent="0.35">
      <c r="A3397" s="1">
        <v>3396</v>
      </c>
      <c r="B3397" s="1">
        <v>649</v>
      </c>
      <c r="C3397" s="1">
        <v>8</v>
      </c>
      <c r="D3397" t="str">
        <f>VLOOKUP(B3397,Заказы!A:C,3,0)</f>
        <v>2023-08-14 17:37:00</v>
      </c>
      <c r="E3397" t="str">
        <f>VLOOKUP(C3397,Меню!A:E,4,0)</f>
        <v>Завтрак</v>
      </c>
      <c r="F3397">
        <f>VLOOKUP(C3397,Меню!A:E,5,0)</f>
        <v>180</v>
      </c>
    </row>
    <row r="3398" spans="1:6" ht="15.75" hidden="1" customHeight="1" x14ac:dyDescent="0.35">
      <c r="A3398" s="1">
        <v>3397</v>
      </c>
      <c r="B3398" s="1">
        <v>649</v>
      </c>
      <c r="C3398" s="1">
        <v>42</v>
      </c>
      <c r="D3398" t="str">
        <f>VLOOKUP(B3398,Заказы!A:C,3,0)</f>
        <v>2023-08-14 17:37:00</v>
      </c>
      <c r="E3398" t="str">
        <f>VLOOKUP(C3398,Меню!A:E,4,0)</f>
        <v>Суши</v>
      </c>
      <c r="F3398">
        <f>VLOOKUP(C3398,Меню!A:E,5,0)</f>
        <v>250</v>
      </c>
    </row>
    <row r="3399" spans="1:6" ht="15.75" hidden="1" customHeight="1" x14ac:dyDescent="0.35">
      <c r="A3399" s="1">
        <v>3398</v>
      </c>
      <c r="B3399" s="1">
        <v>650</v>
      </c>
      <c r="C3399" s="1">
        <v>6</v>
      </c>
      <c r="D3399" t="str">
        <f>VLOOKUP(B3399,Заказы!A:C,3,0)</f>
        <v>2023-08-16 18:26:00</v>
      </c>
      <c r="E3399" t="str">
        <f>VLOOKUP(C3399,Меню!A:E,4,0)</f>
        <v>Завтрак</v>
      </c>
      <c r="F3399">
        <f>VLOOKUP(C3399,Меню!A:E,5,0)</f>
        <v>300</v>
      </c>
    </row>
    <row r="3400" spans="1:6" ht="15.75" hidden="1" customHeight="1" x14ac:dyDescent="0.35">
      <c r="A3400" s="1">
        <v>3399</v>
      </c>
      <c r="B3400" s="1">
        <v>650</v>
      </c>
      <c r="C3400" s="1">
        <v>57</v>
      </c>
      <c r="D3400" t="str">
        <f>VLOOKUP(B3400,Заказы!A:C,3,0)</f>
        <v>2023-08-16 18:26:00</v>
      </c>
      <c r="E3400" t="str">
        <f>VLOOKUP(C3400,Меню!A:E,4,0)</f>
        <v>Суши</v>
      </c>
      <c r="F3400">
        <f>VLOOKUP(C3400,Меню!A:E,5,0)</f>
        <v>200</v>
      </c>
    </row>
    <row r="3401" spans="1:6" ht="15.75" hidden="1" customHeight="1" x14ac:dyDescent="0.35">
      <c r="A3401" s="1">
        <v>3400</v>
      </c>
      <c r="B3401" s="1">
        <v>650</v>
      </c>
      <c r="C3401" s="1">
        <v>37</v>
      </c>
      <c r="D3401" t="str">
        <f>VLOOKUP(B3401,Заказы!A:C,3,0)</f>
        <v>2023-08-16 18:26:00</v>
      </c>
      <c r="E3401" t="str">
        <f>VLOOKUP(C3401,Меню!A:E,4,0)</f>
        <v>Десерт</v>
      </c>
      <c r="F3401">
        <f>VLOOKUP(C3401,Меню!A:E,5,0)</f>
        <v>100</v>
      </c>
    </row>
    <row r="3402" spans="1:6" ht="15.75" hidden="1" customHeight="1" x14ac:dyDescent="0.35">
      <c r="A3402" s="1">
        <v>3401</v>
      </c>
      <c r="B3402" s="1">
        <v>650</v>
      </c>
      <c r="C3402" s="1">
        <v>49</v>
      </c>
      <c r="D3402" t="str">
        <f>VLOOKUP(B3402,Заказы!A:C,3,0)</f>
        <v>2023-08-16 18:26:00</v>
      </c>
      <c r="E3402" t="str">
        <f>VLOOKUP(C3402,Меню!A:E,4,0)</f>
        <v>Суши</v>
      </c>
      <c r="F3402">
        <f>VLOOKUP(C3402,Меню!A:E,5,0)</f>
        <v>200</v>
      </c>
    </row>
    <row r="3403" spans="1:6" ht="15.75" hidden="1" customHeight="1" x14ac:dyDescent="0.35">
      <c r="A3403" s="1">
        <v>3402</v>
      </c>
      <c r="B3403" s="1">
        <v>650</v>
      </c>
      <c r="C3403" s="1">
        <v>37</v>
      </c>
      <c r="D3403" t="str">
        <f>VLOOKUP(B3403,Заказы!A:C,3,0)</f>
        <v>2023-08-16 18:26:00</v>
      </c>
      <c r="E3403" t="str">
        <f>VLOOKUP(C3403,Меню!A:E,4,0)</f>
        <v>Десерт</v>
      </c>
      <c r="F3403">
        <f>VLOOKUP(C3403,Меню!A:E,5,0)</f>
        <v>100</v>
      </c>
    </row>
    <row r="3404" spans="1:6" ht="15.75" hidden="1" customHeight="1" x14ac:dyDescent="0.35">
      <c r="A3404" s="1">
        <v>3403</v>
      </c>
      <c r="B3404" s="1">
        <v>650</v>
      </c>
      <c r="C3404" s="1">
        <v>59</v>
      </c>
      <c r="D3404" t="str">
        <f>VLOOKUP(B3404,Заказы!A:C,3,0)</f>
        <v>2023-08-16 18:26:00</v>
      </c>
      <c r="E3404" t="str">
        <f>VLOOKUP(C3404,Меню!A:E,4,0)</f>
        <v>Суши</v>
      </c>
      <c r="F3404">
        <f>VLOOKUP(C3404,Меню!A:E,5,0)</f>
        <v>300</v>
      </c>
    </row>
    <row r="3405" spans="1:6" ht="15.75" hidden="1" customHeight="1" x14ac:dyDescent="0.35">
      <c r="A3405" s="1">
        <v>3404</v>
      </c>
      <c r="B3405" s="1">
        <v>650</v>
      </c>
      <c r="C3405" s="1">
        <v>12</v>
      </c>
      <c r="D3405" t="str">
        <f>VLOOKUP(B3405,Заказы!A:C,3,0)</f>
        <v>2023-08-16 18:26:00</v>
      </c>
      <c r="E3405" t="str">
        <f>VLOOKUP(C3405,Меню!A:E,4,0)</f>
        <v>Первое</v>
      </c>
      <c r="F3405">
        <f>VLOOKUP(C3405,Меню!A:E,5,0)</f>
        <v>300</v>
      </c>
    </row>
    <row r="3406" spans="1:6" ht="15.75" hidden="1" customHeight="1" x14ac:dyDescent="0.35">
      <c r="A3406" s="1">
        <v>3405</v>
      </c>
      <c r="B3406" s="1">
        <v>650</v>
      </c>
      <c r="C3406" s="1">
        <v>35</v>
      </c>
      <c r="D3406" t="str">
        <f>VLOOKUP(B3406,Заказы!A:C,3,0)</f>
        <v>2023-08-16 18:26:00</v>
      </c>
      <c r="E3406" t="str">
        <f>VLOOKUP(C3406,Меню!A:E,4,0)</f>
        <v>Десерт</v>
      </c>
      <c r="F3406">
        <f>VLOOKUP(C3406,Меню!A:E,5,0)</f>
        <v>150</v>
      </c>
    </row>
    <row r="3407" spans="1:6" ht="15.75" hidden="1" customHeight="1" x14ac:dyDescent="0.35">
      <c r="A3407" s="1">
        <v>3406</v>
      </c>
      <c r="B3407" s="1">
        <v>651</v>
      </c>
      <c r="C3407" s="1">
        <v>13</v>
      </c>
      <c r="D3407" t="str">
        <f>VLOOKUP(B3407,Заказы!A:C,3,0)</f>
        <v>2023-08-16 19:15:00</v>
      </c>
      <c r="E3407" t="str">
        <f>VLOOKUP(C3407,Меню!A:E,4,0)</f>
        <v>Первое</v>
      </c>
      <c r="F3407">
        <f>VLOOKUP(C3407,Меню!A:E,5,0)</f>
        <v>280</v>
      </c>
    </row>
    <row r="3408" spans="1:6" ht="15.75" hidden="1" customHeight="1" x14ac:dyDescent="0.35">
      <c r="A3408" s="1">
        <v>3407</v>
      </c>
      <c r="B3408" s="1">
        <v>651</v>
      </c>
      <c r="C3408" s="1">
        <v>11</v>
      </c>
      <c r="D3408" t="str">
        <f>VLOOKUP(B3408,Заказы!A:C,3,0)</f>
        <v>2023-08-16 19:15:00</v>
      </c>
      <c r="E3408" t="str">
        <f>VLOOKUP(C3408,Меню!A:E,4,0)</f>
        <v>Первое</v>
      </c>
      <c r="F3408">
        <f>VLOOKUP(C3408,Меню!A:E,5,0)</f>
        <v>300</v>
      </c>
    </row>
    <row r="3409" spans="1:6" ht="15.75" hidden="1" customHeight="1" x14ac:dyDescent="0.35">
      <c r="A3409" s="1">
        <v>3408</v>
      </c>
      <c r="B3409" s="1">
        <v>651</v>
      </c>
      <c r="C3409" s="1">
        <v>11</v>
      </c>
      <c r="D3409" t="str">
        <f>VLOOKUP(B3409,Заказы!A:C,3,0)</f>
        <v>2023-08-16 19:15:00</v>
      </c>
      <c r="E3409" t="str">
        <f>VLOOKUP(C3409,Меню!A:E,4,0)</f>
        <v>Первое</v>
      </c>
      <c r="F3409">
        <f>VLOOKUP(C3409,Меню!A:E,5,0)</f>
        <v>300</v>
      </c>
    </row>
    <row r="3410" spans="1:6" ht="15.75" hidden="1" customHeight="1" x14ac:dyDescent="0.35">
      <c r="A3410" s="1">
        <v>3409</v>
      </c>
      <c r="B3410" s="1">
        <v>651</v>
      </c>
      <c r="C3410" s="1">
        <v>51</v>
      </c>
      <c r="D3410" t="str">
        <f>VLOOKUP(B3410,Заказы!A:C,3,0)</f>
        <v>2023-08-16 19:15:00</v>
      </c>
      <c r="E3410" t="str">
        <f>VLOOKUP(C3410,Меню!A:E,4,0)</f>
        <v>Суши</v>
      </c>
      <c r="F3410">
        <f>VLOOKUP(C3410,Меню!A:E,5,0)</f>
        <v>100</v>
      </c>
    </row>
    <row r="3411" spans="1:6" ht="15.75" hidden="1" customHeight="1" x14ac:dyDescent="0.35">
      <c r="A3411" s="1">
        <v>3410</v>
      </c>
      <c r="B3411" s="1">
        <v>651</v>
      </c>
      <c r="C3411" s="1">
        <v>57</v>
      </c>
      <c r="D3411" t="str">
        <f>VLOOKUP(B3411,Заказы!A:C,3,0)</f>
        <v>2023-08-16 19:15:00</v>
      </c>
      <c r="E3411" t="str">
        <f>VLOOKUP(C3411,Меню!A:E,4,0)</f>
        <v>Суши</v>
      </c>
      <c r="F3411">
        <f>VLOOKUP(C3411,Меню!A:E,5,0)</f>
        <v>200</v>
      </c>
    </row>
    <row r="3412" spans="1:6" ht="15.75" hidden="1" customHeight="1" x14ac:dyDescent="0.35">
      <c r="A3412" s="1">
        <v>3411</v>
      </c>
      <c r="B3412" s="1">
        <v>651</v>
      </c>
      <c r="C3412" s="1">
        <v>38</v>
      </c>
      <c r="D3412" t="str">
        <f>VLOOKUP(B3412,Заказы!A:C,3,0)</f>
        <v>2023-08-16 19:15:00</v>
      </c>
      <c r="E3412" t="str">
        <f>VLOOKUP(C3412,Меню!A:E,4,0)</f>
        <v>Десерт</v>
      </c>
      <c r="F3412">
        <f>VLOOKUP(C3412,Меню!A:E,5,0)</f>
        <v>150</v>
      </c>
    </row>
    <row r="3413" spans="1:6" ht="15.75" hidden="1" customHeight="1" x14ac:dyDescent="0.35">
      <c r="A3413" s="1">
        <v>3412</v>
      </c>
      <c r="B3413" s="1">
        <v>651</v>
      </c>
      <c r="C3413" s="1">
        <v>42</v>
      </c>
      <c r="D3413" t="str">
        <f>VLOOKUP(B3413,Заказы!A:C,3,0)</f>
        <v>2023-08-16 19:15:00</v>
      </c>
      <c r="E3413" t="str">
        <f>VLOOKUP(C3413,Меню!A:E,4,0)</f>
        <v>Суши</v>
      </c>
      <c r="F3413">
        <f>VLOOKUP(C3413,Меню!A:E,5,0)</f>
        <v>250</v>
      </c>
    </row>
    <row r="3414" spans="1:6" ht="15.75" hidden="1" customHeight="1" x14ac:dyDescent="0.35">
      <c r="A3414" s="1">
        <v>3413</v>
      </c>
      <c r="B3414" s="1">
        <v>652</v>
      </c>
      <c r="C3414" s="1">
        <v>44</v>
      </c>
      <c r="D3414" t="str">
        <f>VLOOKUP(B3414,Заказы!A:C,3,0)</f>
        <v>2023-08-16 19:23:00</v>
      </c>
      <c r="E3414" t="str">
        <f>VLOOKUP(C3414,Меню!A:E,4,0)</f>
        <v>Суши</v>
      </c>
      <c r="F3414">
        <f>VLOOKUP(C3414,Меню!A:E,5,0)</f>
        <v>250</v>
      </c>
    </row>
    <row r="3415" spans="1:6" ht="15.75" hidden="1" customHeight="1" x14ac:dyDescent="0.35">
      <c r="A3415" s="1">
        <v>3414</v>
      </c>
      <c r="B3415" s="1">
        <v>652</v>
      </c>
      <c r="C3415" s="1">
        <v>37</v>
      </c>
      <c r="D3415" t="str">
        <f>VLOOKUP(B3415,Заказы!A:C,3,0)</f>
        <v>2023-08-16 19:23:00</v>
      </c>
      <c r="E3415" t="str">
        <f>VLOOKUP(C3415,Меню!A:E,4,0)</f>
        <v>Десерт</v>
      </c>
      <c r="F3415">
        <f>VLOOKUP(C3415,Меню!A:E,5,0)</f>
        <v>100</v>
      </c>
    </row>
    <row r="3416" spans="1:6" ht="15.75" hidden="1" customHeight="1" x14ac:dyDescent="0.35">
      <c r="A3416" s="1">
        <v>3415</v>
      </c>
      <c r="B3416" s="1">
        <v>652</v>
      </c>
      <c r="C3416" s="1">
        <v>34</v>
      </c>
      <c r="D3416" t="str">
        <f>VLOOKUP(B3416,Заказы!A:C,3,0)</f>
        <v>2023-08-16 19:23:00</v>
      </c>
      <c r="E3416" t="str">
        <f>VLOOKUP(C3416,Меню!A:E,4,0)</f>
        <v>Десерт</v>
      </c>
      <c r="F3416">
        <f>VLOOKUP(C3416,Меню!A:E,5,0)</f>
        <v>150</v>
      </c>
    </row>
    <row r="3417" spans="1:6" ht="15.75" hidden="1" customHeight="1" x14ac:dyDescent="0.35">
      <c r="A3417" s="1">
        <v>3416</v>
      </c>
      <c r="B3417" s="1">
        <v>652</v>
      </c>
      <c r="C3417" s="1">
        <v>30</v>
      </c>
      <c r="D3417" t="str">
        <f>VLOOKUP(B3417,Заказы!A:C,3,0)</f>
        <v>2023-08-16 19:23:00</v>
      </c>
      <c r="E3417" t="str">
        <f>VLOOKUP(C3417,Меню!A:E,4,0)</f>
        <v>Салат</v>
      </c>
      <c r="F3417">
        <f>VLOOKUP(C3417,Меню!A:E,5,0)</f>
        <v>250</v>
      </c>
    </row>
    <row r="3418" spans="1:6" ht="15.75" hidden="1" customHeight="1" x14ac:dyDescent="0.35">
      <c r="A3418" s="1">
        <v>3417</v>
      </c>
      <c r="B3418" s="1">
        <v>653</v>
      </c>
      <c r="C3418" s="1">
        <v>36</v>
      </c>
      <c r="D3418" t="str">
        <f>VLOOKUP(B3418,Заказы!A:C,3,0)</f>
        <v>2023-08-16 21:08:00</v>
      </c>
      <c r="E3418" t="str">
        <f>VLOOKUP(C3418,Меню!A:E,4,0)</f>
        <v>Десерт</v>
      </c>
      <c r="F3418">
        <f>VLOOKUP(C3418,Меню!A:E,5,0)</f>
        <v>150</v>
      </c>
    </row>
    <row r="3419" spans="1:6" ht="15.75" hidden="1" customHeight="1" x14ac:dyDescent="0.35">
      <c r="A3419" s="1">
        <v>3418</v>
      </c>
      <c r="B3419" s="1">
        <v>653</v>
      </c>
      <c r="C3419" s="1">
        <v>37</v>
      </c>
      <c r="D3419" t="str">
        <f>VLOOKUP(B3419,Заказы!A:C,3,0)</f>
        <v>2023-08-16 21:08:00</v>
      </c>
      <c r="E3419" t="str">
        <f>VLOOKUP(C3419,Меню!A:E,4,0)</f>
        <v>Десерт</v>
      </c>
      <c r="F3419">
        <f>VLOOKUP(C3419,Меню!A:E,5,0)</f>
        <v>100</v>
      </c>
    </row>
    <row r="3420" spans="1:6" ht="15.75" hidden="1" customHeight="1" x14ac:dyDescent="0.35">
      <c r="A3420" s="1">
        <v>3419</v>
      </c>
      <c r="B3420" s="1">
        <v>653</v>
      </c>
      <c r="C3420" s="1">
        <v>29</v>
      </c>
      <c r="D3420" t="str">
        <f>VLOOKUP(B3420,Заказы!A:C,3,0)</f>
        <v>2023-08-16 21:08:00</v>
      </c>
      <c r="E3420" t="str">
        <f>VLOOKUP(C3420,Меню!A:E,4,0)</f>
        <v>Салат</v>
      </c>
      <c r="F3420">
        <f>VLOOKUP(C3420,Меню!A:E,5,0)</f>
        <v>250</v>
      </c>
    </row>
    <row r="3421" spans="1:6" ht="15.75" hidden="1" customHeight="1" x14ac:dyDescent="0.35">
      <c r="A3421" s="1">
        <v>3420</v>
      </c>
      <c r="B3421" s="1">
        <v>653</v>
      </c>
      <c r="C3421" s="1">
        <v>25</v>
      </c>
      <c r="D3421" t="str">
        <f>VLOOKUP(B3421,Заказы!A:C,3,0)</f>
        <v>2023-08-16 21:08:00</v>
      </c>
      <c r="E3421" t="str">
        <f>VLOOKUP(C3421,Меню!A:E,4,0)</f>
        <v>Салат</v>
      </c>
      <c r="F3421">
        <f>VLOOKUP(C3421,Меню!A:E,5,0)</f>
        <v>250</v>
      </c>
    </row>
    <row r="3422" spans="1:6" ht="15.75" hidden="1" customHeight="1" x14ac:dyDescent="0.35">
      <c r="A3422" s="1">
        <v>3421</v>
      </c>
      <c r="B3422" s="1">
        <v>653</v>
      </c>
      <c r="C3422" s="1">
        <v>60</v>
      </c>
      <c r="D3422" t="str">
        <f>VLOOKUP(B3422,Заказы!A:C,3,0)</f>
        <v>2023-08-16 21:08:00</v>
      </c>
      <c r="E3422" t="str">
        <f>VLOOKUP(C3422,Меню!A:E,4,0)</f>
        <v>Суши</v>
      </c>
      <c r="F3422">
        <f>VLOOKUP(C3422,Меню!A:E,5,0)</f>
        <v>250</v>
      </c>
    </row>
    <row r="3423" spans="1:6" ht="15.75" hidden="1" customHeight="1" x14ac:dyDescent="0.35">
      <c r="A3423" s="1">
        <v>3422</v>
      </c>
      <c r="B3423" s="1">
        <v>653</v>
      </c>
      <c r="C3423" s="1">
        <v>19</v>
      </c>
      <c r="D3423" t="str">
        <f>VLOOKUP(B3423,Заказы!A:C,3,0)</f>
        <v>2023-08-16 21:08:00</v>
      </c>
      <c r="E3423" t="str">
        <f>VLOOKUP(C3423,Меню!A:E,4,0)</f>
        <v>Первое</v>
      </c>
      <c r="F3423">
        <f>VLOOKUP(C3423,Меню!A:E,5,0)</f>
        <v>300</v>
      </c>
    </row>
    <row r="3424" spans="1:6" ht="15.75" hidden="1" customHeight="1" x14ac:dyDescent="0.35">
      <c r="A3424" s="1">
        <v>3423</v>
      </c>
      <c r="B3424" s="1">
        <v>653</v>
      </c>
      <c r="C3424" s="1">
        <v>44</v>
      </c>
      <c r="D3424" t="str">
        <f>VLOOKUP(B3424,Заказы!A:C,3,0)</f>
        <v>2023-08-16 21:08:00</v>
      </c>
      <c r="E3424" t="str">
        <f>VLOOKUP(C3424,Меню!A:E,4,0)</f>
        <v>Суши</v>
      </c>
      <c r="F3424">
        <f>VLOOKUP(C3424,Меню!A:E,5,0)</f>
        <v>250</v>
      </c>
    </row>
    <row r="3425" spans="1:6" ht="15.75" hidden="1" customHeight="1" x14ac:dyDescent="0.35">
      <c r="A3425" s="1">
        <v>3424</v>
      </c>
      <c r="B3425" s="1">
        <v>654</v>
      </c>
      <c r="C3425" s="1">
        <v>38</v>
      </c>
      <c r="D3425" t="str">
        <f>VLOOKUP(B3425,Заказы!A:C,3,0)</f>
        <v>2023-08-16 21:29:00</v>
      </c>
      <c r="E3425" t="str">
        <f>VLOOKUP(C3425,Меню!A:E,4,0)</f>
        <v>Десерт</v>
      </c>
      <c r="F3425">
        <f>VLOOKUP(C3425,Меню!A:E,5,0)</f>
        <v>150</v>
      </c>
    </row>
    <row r="3426" spans="1:6" ht="15.75" hidden="1" customHeight="1" x14ac:dyDescent="0.35">
      <c r="A3426" s="1">
        <v>3425</v>
      </c>
      <c r="B3426" s="1">
        <v>654</v>
      </c>
      <c r="C3426" s="1">
        <v>45</v>
      </c>
      <c r="D3426" t="str">
        <f>VLOOKUP(B3426,Заказы!A:C,3,0)</f>
        <v>2023-08-16 21:29:00</v>
      </c>
      <c r="E3426" t="str">
        <f>VLOOKUP(C3426,Меню!A:E,4,0)</f>
        <v>Суши</v>
      </c>
      <c r="F3426">
        <f>VLOOKUP(C3426,Меню!A:E,5,0)</f>
        <v>200</v>
      </c>
    </row>
    <row r="3427" spans="1:6" ht="15.75" hidden="1" customHeight="1" x14ac:dyDescent="0.35">
      <c r="A3427" s="1">
        <v>3426</v>
      </c>
      <c r="B3427" s="1">
        <v>654</v>
      </c>
      <c r="C3427" s="1">
        <v>60</v>
      </c>
      <c r="D3427" t="str">
        <f>VLOOKUP(B3427,Заказы!A:C,3,0)</f>
        <v>2023-08-16 21:29:00</v>
      </c>
      <c r="E3427" t="str">
        <f>VLOOKUP(C3427,Меню!A:E,4,0)</f>
        <v>Суши</v>
      </c>
      <c r="F3427">
        <f>VLOOKUP(C3427,Меню!A:E,5,0)</f>
        <v>250</v>
      </c>
    </row>
    <row r="3428" spans="1:6" ht="15.75" hidden="1" customHeight="1" x14ac:dyDescent="0.35">
      <c r="A3428" s="1">
        <v>3427</v>
      </c>
      <c r="B3428" s="1">
        <v>654</v>
      </c>
      <c r="C3428" s="1">
        <v>18</v>
      </c>
      <c r="D3428" t="str">
        <f>VLOOKUP(B3428,Заказы!A:C,3,0)</f>
        <v>2023-08-16 21:29:00</v>
      </c>
      <c r="E3428" t="str">
        <f>VLOOKUP(C3428,Меню!A:E,4,0)</f>
        <v>Первое</v>
      </c>
      <c r="F3428">
        <f>VLOOKUP(C3428,Меню!A:E,5,0)</f>
        <v>300</v>
      </c>
    </row>
    <row r="3429" spans="1:6" ht="15.75" hidden="1" customHeight="1" x14ac:dyDescent="0.35">
      <c r="A3429" s="1">
        <v>3428</v>
      </c>
      <c r="B3429" s="1">
        <v>654</v>
      </c>
      <c r="C3429" s="1">
        <v>59</v>
      </c>
      <c r="D3429" t="str">
        <f>VLOOKUP(B3429,Заказы!A:C,3,0)</f>
        <v>2023-08-16 21:29:00</v>
      </c>
      <c r="E3429" t="str">
        <f>VLOOKUP(C3429,Меню!A:E,4,0)</f>
        <v>Суши</v>
      </c>
      <c r="F3429">
        <f>VLOOKUP(C3429,Меню!A:E,5,0)</f>
        <v>300</v>
      </c>
    </row>
    <row r="3430" spans="1:6" ht="15.75" hidden="1" customHeight="1" x14ac:dyDescent="0.35">
      <c r="A3430" s="1">
        <v>3429</v>
      </c>
      <c r="B3430" s="1">
        <v>654</v>
      </c>
      <c r="C3430" s="1">
        <v>29</v>
      </c>
      <c r="D3430" t="str">
        <f>VLOOKUP(B3430,Заказы!A:C,3,0)</f>
        <v>2023-08-16 21:29:00</v>
      </c>
      <c r="E3430" t="str">
        <f>VLOOKUP(C3430,Меню!A:E,4,0)</f>
        <v>Салат</v>
      </c>
      <c r="F3430">
        <f>VLOOKUP(C3430,Меню!A:E,5,0)</f>
        <v>250</v>
      </c>
    </row>
    <row r="3431" spans="1:6" ht="15.75" hidden="1" customHeight="1" x14ac:dyDescent="0.35">
      <c r="A3431" s="1">
        <v>3430</v>
      </c>
      <c r="B3431" s="1">
        <v>655</v>
      </c>
      <c r="C3431" s="1">
        <v>47</v>
      </c>
      <c r="D3431" t="str">
        <f>VLOOKUP(B3431,Заказы!A:C,3,0)</f>
        <v>2023-08-16 22:19:00</v>
      </c>
      <c r="E3431" t="str">
        <f>VLOOKUP(C3431,Меню!A:E,4,0)</f>
        <v>Суши</v>
      </c>
      <c r="F3431">
        <f>VLOOKUP(C3431,Меню!A:E,5,0)</f>
        <v>200</v>
      </c>
    </row>
    <row r="3432" spans="1:6" ht="15.75" hidden="1" customHeight="1" x14ac:dyDescent="0.35">
      <c r="A3432" s="1">
        <v>3431</v>
      </c>
      <c r="B3432" s="1">
        <v>655</v>
      </c>
      <c r="C3432" s="1">
        <v>9</v>
      </c>
      <c r="D3432" t="str">
        <f>VLOOKUP(B3432,Заказы!A:C,3,0)</f>
        <v>2023-08-16 22:19:00</v>
      </c>
      <c r="E3432" t="str">
        <f>VLOOKUP(C3432,Меню!A:E,4,0)</f>
        <v>Завтрак</v>
      </c>
      <c r="F3432">
        <f>VLOOKUP(C3432,Меню!A:E,5,0)</f>
        <v>220</v>
      </c>
    </row>
    <row r="3433" spans="1:6" ht="15.75" hidden="1" customHeight="1" x14ac:dyDescent="0.35">
      <c r="A3433" s="1">
        <v>3432</v>
      </c>
      <c r="B3433" s="1">
        <v>655</v>
      </c>
      <c r="C3433" s="1">
        <v>60</v>
      </c>
      <c r="D3433" t="str">
        <f>VLOOKUP(B3433,Заказы!A:C,3,0)</f>
        <v>2023-08-16 22:19:00</v>
      </c>
      <c r="E3433" t="str">
        <f>VLOOKUP(C3433,Меню!A:E,4,0)</f>
        <v>Суши</v>
      </c>
      <c r="F3433">
        <f>VLOOKUP(C3433,Меню!A:E,5,0)</f>
        <v>250</v>
      </c>
    </row>
    <row r="3434" spans="1:6" ht="15.75" hidden="1" customHeight="1" x14ac:dyDescent="0.35">
      <c r="A3434" s="1">
        <v>3433</v>
      </c>
      <c r="B3434" s="1">
        <v>655</v>
      </c>
      <c r="C3434" s="1">
        <v>3</v>
      </c>
      <c r="D3434" t="str">
        <f>VLOOKUP(B3434,Заказы!A:C,3,0)</f>
        <v>2023-08-16 22:19:00</v>
      </c>
      <c r="E3434" t="str">
        <f>VLOOKUP(C3434,Меню!A:E,4,0)</f>
        <v>Завтрак</v>
      </c>
      <c r="F3434">
        <f>VLOOKUP(C3434,Меню!A:E,5,0)</f>
        <v>150</v>
      </c>
    </row>
    <row r="3435" spans="1:6" ht="15.75" hidden="1" customHeight="1" x14ac:dyDescent="0.35">
      <c r="A3435" s="1">
        <v>3434</v>
      </c>
      <c r="B3435" s="1">
        <v>656</v>
      </c>
      <c r="C3435" s="1">
        <v>30</v>
      </c>
      <c r="D3435" t="str">
        <f>VLOOKUP(B3435,Заказы!A:C,3,0)</f>
        <v>2023-08-17 16:18:00</v>
      </c>
      <c r="E3435" t="str">
        <f>VLOOKUP(C3435,Меню!A:E,4,0)</f>
        <v>Салат</v>
      </c>
      <c r="F3435">
        <f>VLOOKUP(C3435,Меню!A:E,5,0)</f>
        <v>250</v>
      </c>
    </row>
    <row r="3436" spans="1:6" ht="15.75" hidden="1" customHeight="1" x14ac:dyDescent="0.35">
      <c r="A3436" s="1">
        <v>3435</v>
      </c>
      <c r="B3436" s="1">
        <v>656</v>
      </c>
      <c r="C3436" s="1">
        <v>23</v>
      </c>
      <c r="D3436" t="str">
        <f>VLOOKUP(B3436,Заказы!A:C,3,0)</f>
        <v>2023-08-17 16:18:00</v>
      </c>
      <c r="E3436" t="str">
        <f>VLOOKUP(C3436,Меню!A:E,4,0)</f>
        <v>Салат</v>
      </c>
      <c r="F3436">
        <f>VLOOKUP(C3436,Меню!A:E,5,0)</f>
        <v>250</v>
      </c>
    </row>
    <row r="3437" spans="1:6" ht="15.75" hidden="1" customHeight="1" x14ac:dyDescent="0.35">
      <c r="A3437" s="1">
        <v>3436</v>
      </c>
      <c r="B3437" s="1">
        <v>656</v>
      </c>
      <c r="C3437" s="1">
        <v>12</v>
      </c>
      <c r="D3437" t="str">
        <f>VLOOKUP(B3437,Заказы!A:C,3,0)</f>
        <v>2023-08-17 16:18:00</v>
      </c>
      <c r="E3437" t="str">
        <f>VLOOKUP(C3437,Меню!A:E,4,0)</f>
        <v>Первое</v>
      </c>
      <c r="F3437">
        <f>VLOOKUP(C3437,Меню!A:E,5,0)</f>
        <v>300</v>
      </c>
    </row>
    <row r="3438" spans="1:6" ht="15.75" hidden="1" customHeight="1" x14ac:dyDescent="0.35">
      <c r="A3438" s="1">
        <v>3437</v>
      </c>
      <c r="B3438" s="1">
        <v>656</v>
      </c>
      <c r="C3438" s="1">
        <v>36</v>
      </c>
      <c r="D3438" t="str">
        <f>VLOOKUP(B3438,Заказы!A:C,3,0)</f>
        <v>2023-08-17 16:18:00</v>
      </c>
      <c r="E3438" t="str">
        <f>VLOOKUP(C3438,Меню!A:E,4,0)</f>
        <v>Десерт</v>
      </c>
      <c r="F3438">
        <f>VLOOKUP(C3438,Меню!A:E,5,0)</f>
        <v>150</v>
      </c>
    </row>
    <row r="3439" spans="1:6" ht="15.75" hidden="1" customHeight="1" x14ac:dyDescent="0.35">
      <c r="A3439" s="1">
        <v>3438</v>
      </c>
      <c r="B3439" s="1">
        <v>656</v>
      </c>
      <c r="C3439" s="1">
        <v>46</v>
      </c>
      <c r="D3439" t="str">
        <f>VLOOKUP(B3439,Заказы!A:C,3,0)</f>
        <v>2023-08-17 16:18:00</v>
      </c>
      <c r="E3439" t="str">
        <f>VLOOKUP(C3439,Меню!A:E,4,0)</f>
        <v>Суши</v>
      </c>
      <c r="F3439">
        <f>VLOOKUP(C3439,Меню!A:E,5,0)</f>
        <v>200</v>
      </c>
    </row>
    <row r="3440" spans="1:6" ht="15.75" hidden="1" customHeight="1" x14ac:dyDescent="0.35">
      <c r="A3440" s="1">
        <v>3439</v>
      </c>
      <c r="B3440" s="1">
        <v>656</v>
      </c>
      <c r="C3440" s="1">
        <v>16</v>
      </c>
      <c r="D3440" t="str">
        <f>VLOOKUP(B3440,Заказы!A:C,3,0)</f>
        <v>2023-08-17 16:18:00</v>
      </c>
      <c r="E3440" t="str">
        <f>VLOOKUP(C3440,Меню!A:E,4,0)</f>
        <v>Первое</v>
      </c>
      <c r="F3440">
        <f>VLOOKUP(C3440,Меню!A:E,5,0)</f>
        <v>250</v>
      </c>
    </row>
    <row r="3441" spans="1:6" ht="15.75" hidden="1" customHeight="1" x14ac:dyDescent="0.35">
      <c r="A3441" s="1">
        <v>3440</v>
      </c>
      <c r="B3441" s="1">
        <v>657</v>
      </c>
      <c r="C3441" s="1">
        <v>42</v>
      </c>
      <c r="D3441" t="str">
        <f>VLOOKUP(B3441,Заказы!A:C,3,0)</f>
        <v>2023-08-17 16:44:00</v>
      </c>
      <c r="E3441" t="str">
        <f>VLOOKUP(C3441,Меню!A:E,4,0)</f>
        <v>Суши</v>
      </c>
      <c r="F3441">
        <f>VLOOKUP(C3441,Меню!A:E,5,0)</f>
        <v>250</v>
      </c>
    </row>
    <row r="3442" spans="1:6" ht="15.75" hidden="1" customHeight="1" x14ac:dyDescent="0.35">
      <c r="A3442" s="1">
        <v>3441</v>
      </c>
      <c r="B3442" s="1">
        <v>657</v>
      </c>
      <c r="C3442" s="1">
        <v>39</v>
      </c>
      <c r="D3442" t="str">
        <f>VLOOKUP(B3442,Заказы!A:C,3,0)</f>
        <v>2023-08-17 16:44:00</v>
      </c>
      <c r="E3442" t="str">
        <f>VLOOKUP(C3442,Меню!A:E,4,0)</f>
        <v>Десерт</v>
      </c>
      <c r="F3442">
        <f>VLOOKUP(C3442,Меню!A:E,5,0)</f>
        <v>150</v>
      </c>
    </row>
    <row r="3443" spans="1:6" ht="15.75" hidden="1" customHeight="1" x14ac:dyDescent="0.35">
      <c r="A3443" s="1">
        <v>3442</v>
      </c>
      <c r="B3443" s="1">
        <v>657</v>
      </c>
      <c r="C3443" s="1">
        <v>48</v>
      </c>
      <c r="D3443" t="str">
        <f>VLOOKUP(B3443,Заказы!A:C,3,0)</f>
        <v>2023-08-17 16:44:00</v>
      </c>
      <c r="E3443" t="str">
        <f>VLOOKUP(C3443,Меню!A:E,4,0)</f>
        <v>Суши</v>
      </c>
      <c r="F3443">
        <f>VLOOKUP(C3443,Меню!A:E,5,0)</f>
        <v>200</v>
      </c>
    </row>
    <row r="3444" spans="1:6" ht="15.75" hidden="1" customHeight="1" x14ac:dyDescent="0.35">
      <c r="A3444" s="1">
        <v>3443</v>
      </c>
      <c r="B3444" s="1">
        <v>657</v>
      </c>
      <c r="C3444" s="1">
        <v>15</v>
      </c>
      <c r="D3444" t="str">
        <f>VLOOKUP(B3444,Заказы!A:C,3,0)</f>
        <v>2023-08-17 16:44:00</v>
      </c>
      <c r="E3444" t="str">
        <f>VLOOKUP(C3444,Меню!A:E,4,0)</f>
        <v>Первое</v>
      </c>
      <c r="F3444">
        <f>VLOOKUP(C3444,Меню!A:E,5,0)</f>
        <v>250</v>
      </c>
    </row>
    <row r="3445" spans="1:6" ht="15.75" hidden="1" customHeight="1" x14ac:dyDescent="0.35">
      <c r="A3445" s="1">
        <v>3444</v>
      </c>
      <c r="B3445" s="1">
        <v>657</v>
      </c>
      <c r="C3445" s="1">
        <v>11</v>
      </c>
      <c r="D3445" t="str">
        <f>VLOOKUP(B3445,Заказы!A:C,3,0)</f>
        <v>2023-08-17 16:44:00</v>
      </c>
      <c r="E3445" t="str">
        <f>VLOOKUP(C3445,Меню!A:E,4,0)</f>
        <v>Первое</v>
      </c>
      <c r="F3445">
        <f>VLOOKUP(C3445,Меню!A:E,5,0)</f>
        <v>300</v>
      </c>
    </row>
    <row r="3446" spans="1:6" ht="15.75" hidden="1" customHeight="1" x14ac:dyDescent="0.35">
      <c r="A3446" s="1">
        <v>3445</v>
      </c>
      <c r="B3446" s="1">
        <v>657</v>
      </c>
      <c r="C3446" s="1">
        <v>48</v>
      </c>
      <c r="D3446" t="str">
        <f>VLOOKUP(B3446,Заказы!A:C,3,0)</f>
        <v>2023-08-17 16:44:00</v>
      </c>
      <c r="E3446" t="str">
        <f>VLOOKUP(C3446,Меню!A:E,4,0)</f>
        <v>Суши</v>
      </c>
      <c r="F3446">
        <f>VLOOKUP(C3446,Меню!A:E,5,0)</f>
        <v>200</v>
      </c>
    </row>
    <row r="3447" spans="1:6" ht="15.75" hidden="1" customHeight="1" x14ac:dyDescent="0.35">
      <c r="A3447" s="1">
        <v>3446</v>
      </c>
      <c r="B3447" s="1">
        <v>657</v>
      </c>
      <c r="C3447" s="1">
        <v>60</v>
      </c>
      <c r="D3447" t="str">
        <f>VLOOKUP(B3447,Заказы!A:C,3,0)</f>
        <v>2023-08-17 16:44:00</v>
      </c>
      <c r="E3447" t="str">
        <f>VLOOKUP(C3447,Меню!A:E,4,0)</f>
        <v>Суши</v>
      </c>
      <c r="F3447">
        <f>VLOOKUP(C3447,Меню!A:E,5,0)</f>
        <v>250</v>
      </c>
    </row>
    <row r="3448" spans="1:6" ht="15.75" hidden="1" customHeight="1" x14ac:dyDescent="0.35">
      <c r="A3448" s="1">
        <v>3447</v>
      </c>
      <c r="B3448" s="1">
        <v>657</v>
      </c>
      <c r="C3448" s="1">
        <v>13</v>
      </c>
      <c r="D3448" t="str">
        <f>VLOOKUP(B3448,Заказы!A:C,3,0)</f>
        <v>2023-08-17 16:44:00</v>
      </c>
      <c r="E3448" t="str">
        <f>VLOOKUP(C3448,Меню!A:E,4,0)</f>
        <v>Первое</v>
      </c>
      <c r="F3448">
        <f>VLOOKUP(C3448,Меню!A:E,5,0)</f>
        <v>280</v>
      </c>
    </row>
    <row r="3449" spans="1:6" ht="15.75" hidden="1" customHeight="1" x14ac:dyDescent="0.35">
      <c r="A3449" s="1">
        <v>3448</v>
      </c>
      <c r="B3449" s="1">
        <v>658</v>
      </c>
      <c r="C3449" s="1">
        <v>50</v>
      </c>
      <c r="D3449" t="str">
        <f>VLOOKUP(B3449,Заказы!A:C,3,0)</f>
        <v>2023-08-17 19:19:00</v>
      </c>
      <c r="E3449" t="str">
        <f>VLOOKUP(C3449,Меню!A:E,4,0)</f>
        <v>Суши</v>
      </c>
      <c r="F3449">
        <f>VLOOKUP(C3449,Меню!A:E,5,0)</f>
        <v>200</v>
      </c>
    </row>
    <row r="3450" spans="1:6" ht="15.75" hidden="1" customHeight="1" x14ac:dyDescent="0.35">
      <c r="A3450" s="1">
        <v>3449</v>
      </c>
      <c r="B3450" s="1">
        <v>658</v>
      </c>
      <c r="C3450" s="1">
        <v>21</v>
      </c>
      <c r="D3450" t="str">
        <f>VLOOKUP(B3450,Заказы!A:C,3,0)</f>
        <v>2023-08-17 19:19:00</v>
      </c>
      <c r="E3450" t="str">
        <f>VLOOKUP(C3450,Меню!A:E,4,0)</f>
        <v>Салат</v>
      </c>
      <c r="F3450">
        <f>VLOOKUP(C3450,Меню!A:E,5,0)</f>
        <v>250</v>
      </c>
    </row>
    <row r="3451" spans="1:6" ht="15.75" hidden="1" customHeight="1" x14ac:dyDescent="0.35">
      <c r="A3451" s="1">
        <v>3450</v>
      </c>
      <c r="B3451" s="1">
        <v>658</v>
      </c>
      <c r="C3451" s="1">
        <v>39</v>
      </c>
      <c r="D3451" t="str">
        <f>VLOOKUP(B3451,Заказы!A:C,3,0)</f>
        <v>2023-08-17 19:19:00</v>
      </c>
      <c r="E3451" t="str">
        <f>VLOOKUP(C3451,Меню!A:E,4,0)</f>
        <v>Десерт</v>
      </c>
      <c r="F3451">
        <f>VLOOKUP(C3451,Меню!A:E,5,0)</f>
        <v>150</v>
      </c>
    </row>
    <row r="3452" spans="1:6" ht="15.75" hidden="1" customHeight="1" x14ac:dyDescent="0.35">
      <c r="A3452" s="1">
        <v>3451</v>
      </c>
      <c r="B3452" s="1">
        <v>658</v>
      </c>
      <c r="C3452" s="1">
        <v>49</v>
      </c>
      <c r="D3452" t="str">
        <f>VLOOKUP(B3452,Заказы!A:C,3,0)</f>
        <v>2023-08-17 19:19:00</v>
      </c>
      <c r="E3452" t="str">
        <f>VLOOKUP(C3452,Меню!A:E,4,0)</f>
        <v>Суши</v>
      </c>
      <c r="F3452">
        <f>VLOOKUP(C3452,Меню!A:E,5,0)</f>
        <v>200</v>
      </c>
    </row>
    <row r="3453" spans="1:6" ht="15.75" hidden="1" customHeight="1" x14ac:dyDescent="0.35">
      <c r="A3453" s="1">
        <v>3452</v>
      </c>
      <c r="B3453" s="1">
        <v>659</v>
      </c>
      <c r="C3453" s="1">
        <v>37</v>
      </c>
      <c r="D3453" t="str">
        <f>VLOOKUP(B3453,Заказы!A:C,3,0)</f>
        <v>2023-08-17 20:43:00</v>
      </c>
      <c r="E3453" t="str">
        <f>VLOOKUP(C3453,Меню!A:E,4,0)</f>
        <v>Десерт</v>
      </c>
      <c r="F3453">
        <f>VLOOKUP(C3453,Меню!A:E,5,0)</f>
        <v>100</v>
      </c>
    </row>
    <row r="3454" spans="1:6" ht="15.75" hidden="1" customHeight="1" x14ac:dyDescent="0.35">
      <c r="A3454" s="1">
        <v>3453</v>
      </c>
      <c r="B3454" s="1">
        <v>659</v>
      </c>
      <c r="C3454" s="1">
        <v>30</v>
      </c>
      <c r="D3454" t="str">
        <f>VLOOKUP(B3454,Заказы!A:C,3,0)</f>
        <v>2023-08-17 20:43:00</v>
      </c>
      <c r="E3454" t="str">
        <f>VLOOKUP(C3454,Меню!A:E,4,0)</f>
        <v>Салат</v>
      </c>
      <c r="F3454">
        <f>VLOOKUP(C3454,Меню!A:E,5,0)</f>
        <v>250</v>
      </c>
    </row>
    <row r="3455" spans="1:6" ht="15.75" hidden="1" customHeight="1" x14ac:dyDescent="0.35">
      <c r="A3455" s="1">
        <v>3454</v>
      </c>
      <c r="B3455" s="1">
        <v>659</v>
      </c>
      <c r="C3455" s="1">
        <v>49</v>
      </c>
      <c r="D3455" t="str">
        <f>VLOOKUP(B3455,Заказы!A:C,3,0)</f>
        <v>2023-08-17 20:43:00</v>
      </c>
      <c r="E3455" t="str">
        <f>VLOOKUP(C3455,Меню!A:E,4,0)</f>
        <v>Суши</v>
      </c>
      <c r="F3455">
        <f>VLOOKUP(C3455,Меню!A:E,5,0)</f>
        <v>200</v>
      </c>
    </row>
    <row r="3456" spans="1:6" ht="15.75" hidden="1" customHeight="1" x14ac:dyDescent="0.35">
      <c r="A3456" s="1">
        <v>3455</v>
      </c>
      <c r="B3456" s="1">
        <v>659</v>
      </c>
      <c r="C3456" s="1">
        <v>32</v>
      </c>
      <c r="D3456" t="str">
        <f>VLOOKUP(B3456,Заказы!A:C,3,0)</f>
        <v>2023-08-17 20:43:00</v>
      </c>
      <c r="E3456" t="str">
        <f>VLOOKUP(C3456,Меню!A:E,4,0)</f>
        <v>Десерт</v>
      </c>
      <c r="F3456">
        <f>VLOOKUP(C3456,Меню!A:E,5,0)</f>
        <v>150</v>
      </c>
    </row>
    <row r="3457" spans="1:6" ht="15.75" hidden="1" customHeight="1" x14ac:dyDescent="0.35">
      <c r="A3457" s="1">
        <v>3456</v>
      </c>
      <c r="B3457" s="1">
        <v>659</v>
      </c>
      <c r="C3457" s="1">
        <v>49</v>
      </c>
      <c r="D3457" t="str">
        <f>VLOOKUP(B3457,Заказы!A:C,3,0)</f>
        <v>2023-08-17 20:43:00</v>
      </c>
      <c r="E3457" t="str">
        <f>VLOOKUP(C3457,Меню!A:E,4,0)</f>
        <v>Суши</v>
      </c>
      <c r="F3457">
        <f>VLOOKUP(C3457,Меню!A:E,5,0)</f>
        <v>200</v>
      </c>
    </row>
    <row r="3458" spans="1:6" ht="15.75" hidden="1" customHeight="1" x14ac:dyDescent="0.35">
      <c r="A3458" s="1">
        <v>3457</v>
      </c>
      <c r="B3458" s="1">
        <v>660</v>
      </c>
      <c r="C3458" s="1">
        <v>7</v>
      </c>
      <c r="D3458" t="str">
        <f>VLOOKUP(B3458,Заказы!A:C,3,0)</f>
        <v>2023-08-17 21:12:00</v>
      </c>
      <c r="E3458" t="str">
        <f>VLOOKUP(C3458,Меню!A:E,4,0)</f>
        <v>Завтрак</v>
      </c>
      <c r="F3458">
        <f>VLOOKUP(C3458,Меню!A:E,5,0)</f>
        <v>200</v>
      </c>
    </row>
    <row r="3459" spans="1:6" ht="15.75" hidden="1" customHeight="1" x14ac:dyDescent="0.35">
      <c r="A3459" s="1">
        <v>3458</v>
      </c>
      <c r="B3459" s="1">
        <v>660</v>
      </c>
      <c r="C3459" s="1">
        <v>14</v>
      </c>
      <c r="D3459" t="str">
        <f>VLOOKUP(B3459,Заказы!A:C,3,0)</f>
        <v>2023-08-17 21:12:00</v>
      </c>
      <c r="E3459" t="str">
        <f>VLOOKUP(C3459,Меню!A:E,4,0)</f>
        <v>Первое</v>
      </c>
      <c r="F3459">
        <f>VLOOKUP(C3459,Меню!A:E,5,0)</f>
        <v>350</v>
      </c>
    </row>
    <row r="3460" spans="1:6" ht="15.75" hidden="1" customHeight="1" x14ac:dyDescent="0.35">
      <c r="A3460" s="1">
        <v>3459</v>
      </c>
      <c r="B3460" s="1">
        <v>660</v>
      </c>
      <c r="C3460" s="1">
        <v>15</v>
      </c>
      <c r="D3460" t="str">
        <f>VLOOKUP(B3460,Заказы!A:C,3,0)</f>
        <v>2023-08-17 21:12:00</v>
      </c>
      <c r="E3460" t="str">
        <f>VLOOKUP(C3460,Меню!A:E,4,0)</f>
        <v>Первое</v>
      </c>
      <c r="F3460">
        <f>VLOOKUP(C3460,Меню!A:E,5,0)</f>
        <v>250</v>
      </c>
    </row>
    <row r="3461" spans="1:6" ht="15.75" hidden="1" customHeight="1" x14ac:dyDescent="0.35">
      <c r="A3461" s="1">
        <v>3460</v>
      </c>
      <c r="B3461" s="1">
        <v>661</v>
      </c>
      <c r="C3461" s="1">
        <v>58</v>
      </c>
      <c r="D3461" t="str">
        <f>VLOOKUP(B3461,Заказы!A:C,3,0)</f>
        <v>2023-08-17 22:13:00</v>
      </c>
      <c r="E3461" t="str">
        <f>VLOOKUP(C3461,Меню!A:E,4,0)</f>
        <v>Суши</v>
      </c>
      <c r="F3461">
        <f>VLOOKUP(C3461,Меню!A:E,5,0)</f>
        <v>200</v>
      </c>
    </row>
    <row r="3462" spans="1:6" ht="15.75" hidden="1" customHeight="1" x14ac:dyDescent="0.35">
      <c r="A3462" s="1">
        <v>3461</v>
      </c>
      <c r="B3462" s="1">
        <v>662</v>
      </c>
      <c r="C3462" s="1">
        <v>20</v>
      </c>
      <c r="D3462" t="str">
        <f>VLOOKUP(B3462,Заказы!A:C,3,0)</f>
        <v>2023-08-18 15:06:00</v>
      </c>
      <c r="E3462" t="str">
        <f>VLOOKUP(C3462,Меню!A:E,4,0)</f>
        <v>Первое</v>
      </c>
      <c r="F3462">
        <f>VLOOKUP(C3462,Меню!A:E,5,0)</f>
        <v>250</v>
      </c>
    </row>
    <row r="3463" spans="1:6" ht="15.75" hidden="1" customHeight="1" x14ac:dyDescent="0.35">
      <c r="A3463" s="1">
        <v>3462</v>
      </c>
      <c r="B3463" s="1">
        <v>662</v>
      </c>
      <c r="C3463" s="1">
        <v>50</v>
      </c>
      <c r="D3463" t="str">
        <f>VLOOKUP(B3463,Заказы!A:C,3,0)</f>
        <v>2023-08-18 15:06:00</v>
      </c>
      <c r="E3463" t="str">
        <f>VLOOKUP(C3463,Меню!A:E,4,0)</f>
        <v>Суши</v>
      </c>
      <c r="F3463">
        <f>VLOOKUP(C3463,Меню!A:E,5,0)</f>
        <v>200</v>
      </c>
    </row>
    <row r="3464" spans="1:6" ht="15.75" hidden="1" customHeight="1" x14ac:dyDescent="0.35">
      <c r="A3464" s="1">
        <v>3463</v>
      </c>
      <c r="B3464" s="1">
        <v>662</v>
      </c>
      <c r="C3464" s="1">
        <v>25</v>
      </c>
      <c r="D3464" t="str">
        <f>VLOOKUP(B3464,Заказы!A:C,3,0)</f>
        <v>2023-08-18 15:06:00</v>
      </c>
      <c r="E3464" t="str">
        <f>VLOOKUP(C3464,Меню!A:E,4,0)</f>
        <v>Салат</v>
      </c>
      <c r="F3464">
        <f>VLOOKUP(C3464,Меню!A:E,5,0)</f>
        <v>250</v>
      </c>
    </row>
    <row r="3465" spans="1:6" ht="15.75" hidden="1" customHeight="1" x14ac:dyDescent="0.35">
      <c r="A3465" s="1">
        <v>3464</v>
      </c>
      <c r="B3465" s="1">
        <v>662</v>
      </c>
      <c r="C3465" s="1">
        <v>48</v>
      </c>
      <c r="D3465" t="str">
        <f>VLOOKUP(B3465,Заказы!A:C,3,0)</f>
        <v>2023-08-18 15:06:00</v>
      </c>
      <c r="E3465" t="str">
        <f>VLOOKUP(C3465,Меню!A:E,4,0)</f>
        <v>Суши</v>
      </c>
      <c r="F3465">
        <f>VLOOKUP(C3465,Меню!A:E,5,0)</f>
        <v>200</v>
      </c>
    </row>
    <row r="3466" spans="1:6" ht="15.75" hidden="1" customHeight="1" x14ac:dyDescent="0.35">
      <c r="A3466" s="1">
        <v>3465</v>
      </c>
      <c r="B3466" s="1">
        <v>662</v>
      </c>
      <c r="C3466" s="1">
        <v>25</v>
      </c>
      <c r="D3466" t="str">
        <f>VLOOKUP(B3466,Заказы!A:C,3,0)</f>
        <v>2023-08-18 15:06:00</v>
      </c>
      <c r="E3466" t="str">
        <f>VLOOKUP(C3466,Меню!A:E,4,0)</f>
        <v>Салат</v>
      </c>
      <c r="F3466">
        <f>VLOOKUP(C3466,Меню!A:E,5,0)</f>
        <v>250</v>
      </c>
    </row>
    <row r="3467" spans="1:6" ht="15.75" hidden="1" customHeight="1" x14ac:dyDescent="0.35">
      <c r="A3467" s="1">
        <v>3466</v>
      </c>
      <c r="B3467" s="1">
        <v>662</v>
      </c>
      <c r="C3467" s="1">
        <v>8</v>
      </c>
      <c r="D3467" t="str">
        <f>VLOOKUP(B3467,Заказы!A:C,3,0)</f>
        <v>2023-08-18 15:06:00</v>
      </c>
      <c r="E3467" t="str">
        <f>VLOOKUP(C3467,Меню!A:E,4,0)</f>
        <v>Завтрак</v>
      </c>
      <c r="F3467">
        <f>VLOOKUP(C3467,Меню!A:E,5,0)</f>
        <v>180</v>
      </c>
    </row>
    <row r="3468" spans="1:6" ht="15.75" hidden="1" customHeight="1" x14ac:dyDescent="0.35">
      <c r="A3468" s="1">
        <v>3467</v>
      </c>
      <c r="B3468" s="1">
        <v>663</v>
      </c>
      <c r="C3468" s="1">
        <v>49</v>
      </c>
      <c r="D3468" t="str">
        <f>VLOOKUP(B3468,Заказы!A:C,3,0)</f>
        <v>2023-08-18 18:52:00</v>
      </c>
      <c r="E3468" t="str">
        <f>VLOOKUP(C3468,Меню!A:E,4,0)</f>
        <v>Суши</v>
      </c>
      <c r="F3468">
        <f>VLOOKUP(C3468,Меню!A:E,5,0)</f>
        <v>200</v>
      </c>
    </row>
    <row r="3469" spans="1:6" ht="15.75" hidden="1" customHeight="1" x14ac:dyDescent="0.35">
      <c r="A3469" s="1">
        <v>3468</v>
      </c>
      <c r="B3469" s="1">
        <v>663</v>
      </c>
      <c r="C3469" s="1">
        <v>22</v>
      </c>
      <c r="D3469" t="str">
        <f>VLOOKUP(B3469,Заказы!A:C,3,0)</f>
        <v>2023-08-18 18:52:00</v>
      </c>
      <c r="E3469" t="str">
        <f>VLOOKUP(C3469,Меню!A:E,4,0)</f>
        <v>Салат</v>
      </c>
      <c r="F3469">
        <f>VLOOKUP(C3469,Меню!A:E,5,0)</f>
        <v>250</v>
      </c>
    </row>
    <row r="3470" spans="1:6" ht="15.75" hidden="1" customHeight="1" x14ac:dyDescent="0.35">
      <c r="A3470" s="1">
        <v>3469</v>
      </c>
      <c r="B3470" s="1">
        <v>664</v>
      </c>
      <c r="C3470" s="1">
        <v>45</v>
      </c>
      <c r="D3470" t="str">
        <f>VLOOKUP(B3470,Заказы!A:C,3,0)</f>
        <v>2023-08-18 19:37:00</v>
      </c>
      <c r="E3470" t="str">
        <f>VLOOKUP(C3470,Меню!A:E,4,0)</f>
        <v>Суши</v>
      </c>
      <c r="F3470">
        <f>VLOOKUP(C3470,Меню!A:E,5,0)</f>
        <v>200</v>
      </c>
    </row>
    <row r="3471" spans="1:6" ht="15.75" hidden="1" customHeight="1" x14ac:dyDescent="0.35">
      <c r="A3471" s="1">
        <v>3470</v>
      </c>
      <c r="B3471" s="1">
        <v>664</v>
      </c>
      <c r="C3471" s="1">
        <v>50</v>
      </c>
      <c r="D3471" t="str">
        <f>VLOOKUP(B3471,Заказы!A:C,3,0)</f>
        <v>2023-08-18 19:37:00</v>
      </c>
      <c r="E3471" t="str">
        <f>VLOOKUP(C3471,Меню!A:E,4,0)</f>
        <v>Суши</v>
      </c>
      <c r="F3471">
        <f>VLOOKUP(C3471,Меню!A:E,5,0)</f>
        <v>200</v>
      </c>
    </row>
    <row r="3472" spans="1:6" ht="15.75" hidden="1" customHeight="1" x14ac:dyDescent="0.35">
      <c r="A3472" s="1">
        <v>3471</v>
      </c>
      <c r="B3472" s="1">
        <v>665</v>
      </c>
      <c r="C3472" s="1">
        <v>29</v>
      </c>
      <c r="D3472" t="str">
        <f>VLOOKUP(B3472,Заказы!A:C,3,0)</f>
        <v>2023-08-18 20:37:00</v>
      </c>
      <c r="E3472" t="str">
        <f>VLOOKUP(C3472,Меню!A:E,4,0)</f>
        <v>Салат</v>
      </c>
      <c r="F3472">
        <f>VLOOKUP(C3472,Меню!A:E,5,0)</f>
        <v>250</v>
      </c>
    </row>
    <row r="3473" spans="1:6" ht="15.75" hidden="1" customHeight="1" x14ac:dyDescent="0.35">
      <c r="A3473" s="1">
        <v>3472</v>
      </c>
      <c r="B3473" s="1">
        <v>665</v>
      </c>
      <c r="C3473" s="1">
        <v>31</v>
      </c>
      <c r="D3473" t="str">
        <f>VLOOKUP(B3473,Заказы!A:C,3,0)</f>
        <v>2023-08-18 20:37:00</v>
      </c>
      <c r="E3473" t="str">
        <f>VLOOKUP(C3473,Меню!A:E,4,0)</f>
        <v>Десерт</v>
      </c>
      <c r="F3473">
        <f>VLOOKUP(C3473,Меню!A:E,5,0)</f>
        <v>150</v>
      </c>
    </row>
    <row r="3474" spans="1:6" ht="15.75" hidden="1" customHeight="1" x14ac:dyDescent="0.35">
      <c r="A3474" s="1">
        <v>3473</v>
      </c>
      <c r="B3474" s="1">
        <v>666</v>
      </c>
      <c r="C3474" s="1">
        <v>10</v>
      </c>
      <c r="D3474" t="str">
        <f>VLOOKUP(B3474,Заказы!A:C,3,0)</f>
        <v>2023-08-18 21:44:00</v>
      </c>
      <c r="E3474" t="str">
        <f>VLOOKUP(C3474,Меню!A:E,4,0)</f>
        <v>Завтрак</v>
      </c>
      <c r="F3474">
        <f>VLOOKUP(C3474,Меню!A:E,5,0)</f>
        <v>200</v>
      </c>
    </row>
    <row r="3475" spans="1:6" ht="15.75" hidden="1" customHeight="1" x14ac:dyDescent="0.35">
      <c r="A3475" s="1">
        <v>3474</v>
      </c>
      <c r="B3475" s="1">
        <v>666</v>
      </c>
      <c r="C3475" s="1">
        <v>54</v>
      </c>
      <c r="D3475" t="str">
        <f>VLOOKUP(B3475,Заказы!A:C,3,0)</f>
        <v>2023-08-18 21:44:00</v>
      </c>
      <c r="E3475" t="str">
        <f>VLOOKUP(C3475,Меню!A:E,4,0)</f>
        <v>Суши</v>
      </c>
      <c r="F3475">
        <f>VLOOKUP(C3475,Меню!A:E,5,0)</f>
        <v>100</v>
      </c>
    </row>
    <row r="3476" spans="1:6" ht="15.75" hidden="1" customHeight="1" x14ac:dyDescent="0.35">
      <c r="A3476" s="1">
        <v>3475</v>
      </c>
      <c r="B3476" s="1">
        <v>666</v>
      </c>
      <c r="C3476" s="1">
        <v>53</v>
      </c>
      <c r="D3476" t="str">
        <f>VLOOKUP(B3476,Заказы!A:C,3,0)</f>
        <v>2023-08-18 21:44:00</v>
      </c>
      <c r="E3476" t="str">
        <f>VLOOKUP(C3476,Меню!A:E,4,0)</f>
        <v>Суши</v>
      </c>
      <c r="F3476">
        <f>VLOOKUP(C3476,Меню!A:E,5,0)</f>
        <v>100</v>
      </c>
    </row>
    <row r="3477" spans="1:6" ht="15.75" hidden="1" customHeight="1" x14ac:dyDescent="0.35">
      <c r="A3477" s="1">
        <v>3476</v>
      </c>
      <c r="B3477" s="1">
        <v>666</v>
      </c>
      <c r="C3477" s="1">
        <v>14</v>
      </c>
      <c r="D3477" t="str">
        <f>VLOOKUP(B3477,Заказы!A:C,3,0)</f>
        <v>2023-08-18 21:44:00</v>
      </c>
      <c r="E3477" t="str">
        <f>VLOOKUP(C3477,Меню!A:E,4,0)</f>
        <v>Первое</v>
      </c>
      <c r="F3477">
        <f>VLOOKUP(C3477,Меню!A:E,5,0)</f>
        <v>350</v>
      </c>
    </row>
    <row r="3478" spans="1:6" ht="15.75" hidden="1" customHeight="1" x14ac:dyDescent="0.35">
      <c r="A3478" s="1">
        <v>3477</v>
      </c>
      <c r="B3478" s="1">
        <v>667</v>
      </c>
      <c r="C3478" s="1">
        <v>10</v>
      </c>
      <c r="D3478" t="str">
        <f>VLOOKUP(B3478,Заказы!A:C,3,0)</f>
        <v>2023-08-18 22:15:00</v>
      </c>
      <c r="E3478" t="str">
        <f>VLOOKUP(C3478,Меню!A:E,4,0)</f>
        <v>Завтрак</v>
      </c>
      <c r="F3478">
        <f>VLOOKUP(C3478,Меню!A:E,5,0)</f>
        <v>200</v>
      </c>
    </row>
    <row r="3479" spans="1:6" ht="15.75" hidden="1" customHeight="1" x14ac:dyDescent="0.35">
      <c r="A3479" s="1">
        <v>3478</v>
      </c>
      <c r="B3479" s="1">
        <v>667</v>
      </c>
      <c r="C3479" s="1">
        <v>48</v>
      </c>
      <c r="D3479" t="str">
        <f>VLOOKUP(B3479,Заказы!A:C,3,0)</f>
        <v>2023-08-18 22:15:00</v>
      </c>
      <c r="E3479" t="str">
        <f>VLOOKUP(C3479,Меню!A:E,4,0)</f>
        <v>Суши</v>
      </c>
      <c r="F3479">
        <f>VLOOKUP(C3479,Меню!A:E,5,0)</f>
        <v>200</v>
      </c>
    </row>
    <row r="3480" spans="1:6" ht="15.75" hidden="1" customHeight="1" x14ac:dyDescent="0.35">
      <c r="A3480" s="1">
        <v>3479</v>
      </c>
      <c r="B3480" s="1">
        <v>667</v>
      </c>
      <c r="C3480" s="1">
        <v>3</v>
      </c>
      <c r="D3480" t="str">
        <f>VLOOKUP(B3480,Заказы!A:C,3,0)</f>
        <v>2023-08-18 22:15:00</v>
      </c>
      <c r="E3480" t="str">
        <f>VLOOKUP(C3480,Меню!A:E,4,0)</f>
        <v>Завтрак</v>
      </c>
      <c r="F3480">
        <f>VLOOKUP(C3480,Меню!A:E,5,0)</f>
        <v>150</v>
      </c>
    </row>
    <row r="3481" spans="1:6" ht="15.75" hidden="1" customHeight="1" x14ac:dyDescent="0.35">
      <c r="A3481" s="1">
        <v>3480</v>
      </c>
      <c r="B3481" s="1">
        <v>667</v>
      </c>
      <c r="C3481" s="1">
        <v>31</v>
      </c>
      <c r="D3481" t="str">
        <f>VLOOKUP(B3481,Заказы!A:C,3,0)</f>
        <v>2023-08-18 22:15:00</v>
      </c>
      <c r="E3481" t="str">
        <f>VLOOKUP(C3481,Меню!A:E,4,0)</f>
        <v>Десерт</v>
      </c>
      <c r="F3481">
        <f>VLOOKUP(C3481,Меню!A:E,5,0)</f>
        <v>150</v>
      </c>
    </row>
    <row r="3482" spans="1:6" ht="15.75" hidden="1" customHeight="1" x14ac:dyDescent="0.35">
      <c r="A3482" s="1">
        <v>3481</v>
      </c>
      <c r="B3482" s="1">
        <v>668</v>
      </c>
      <c r="C3482" s="1">
        <v>25</v>
      </c>
      <c r="D3482" t="str">
        <f>VLOOKUP(B3482,Заказы!A:C,3,0)</f>
        <v>2023-08-18 22:15:00</v>
      </c>
      <c r="E3482" t="str">
        <f>VLOOKUP(C3482,Меню!A:E,4,0)</f>
        <v>Салат</v>
      </c>
      <c r="F3482">
        <f>VLOOKUP(C3482,Меню!A:E,5,0)</f>
        <v>250</v>
      </c>
    </row>
    <row r="3483" spans="1:6" ht="15.75" hidden="1" customHeight="1" x14ac:dyDescent="0.35">
      <c r="A3483" s="1">
        <v>3482</v>
      </c>
      <c r="B3483" s="1">
        <v>668</v>
      </c>
      <c r="C3483" s="1">
        <v>49</v>
      </c>
      <c r="D3483" t="str">
        <f>VLOOKUP(B3483,Заказы!A:C,3,0)</f>
        <v>2023-08-18 22:15:00</v>
      </c>
      <c r="E3483" t="str">
        <f>VLOOKUP(C3483,Меню!A:E,4,0)</f>
        <v>Суши</v>
      </c>
      <c r="F3483">
        <f>VLOOKUP(C3483,Меню!A:E,5,0)</f>
        <v>200</v>
      </c>
    </row>
    <row r="3484" spans="1:6" ht="15.75" hidden="1" customHeight="1" x14ac:dyDescent="0.35">
      <c r="A3484" s="1">
        <v>3483</v>
      </c>
      <c r="B3484" s="1">
        <v>668</v>
      </c>
      <c r="C3484" s="1">
        <v>6</v>
      </c>
      <c r="D3484" t="str">
        <f>VLOOKUP(B3484,Заказы!A:C,3,0)</f>
        <v>2023-08-18 22:15:00</v>
      </c>
      <c r="E3484" t="str">
        <f>VLOOKUP(C3484,Меню!A:E,4,0)</f>
        <v>Завтрак</v>
      </c>
      <c r="F3484">
        <f>VLOOKUP(C3484,Меню!A:E,5,0)</f>
        <v>300</v>
      </c>
    </row>
    <row r="3485" spans="1:6" ht="15.75" hidden="1" customHeight="1" x14ac:dyDescent="0.35">
      <c r="A3485" s="1">
        <v>3484</v>
      </c>
      <c r="B3485" s="1">
        <v>668</v>
      </c>
      <c r="C3485" s="1">
        <v>50</v>
      </c>
      <c r="D3485" t="str">
        <f>VLOOKUP(B3485,Заказы!A:C,3,0)</f>
        <v>2023-08-18 22:15:00</v>
      </c>
      <c r="E3485" t="str">
        <f>VLOOKUP(C3485,Меню!A:E,4,0)</f>
        <v>Суши</v>
      </c>
      <c r="F3485">
        <f>VLOOKUP(C3485,Меню!A:E,5,0)</f>
        <v>200</v>
      </c>
    </row>
    <row r="3486" spans="1:6" ht="15.75" hidden="1" customHeight="1" x14ac:dyDescent="0.35">
      <c r="A3486" s="1">
        <v>3485</v>
      </c>
      <c r="B3486" s="1">
        <v>668</v>
      </c>
      <c r="C3486" s="1">
        <v>10</v>
      </c>
      <c r="D3486" t="str">
        <f>VLOOKUP(B3486,Заказы!A:C,3,0)</f>
        <v>2023-08-18 22:15:00</v>
      </c>
      <c r="E3486" t="str">
        <f>VLOOKUP(C3486,Меню!A:E,4,0)</f>
        <v>Завтрак</v>
      </c>
      <c r="F3486">
        <f>VLOOKUP(C3486,Меню!A:E,5,0)</f>
        <v>200</v>
      </c>
    </row>
    <row r="3487" spans="1:6" ht="15.75" hidden="1" customHeight="1" x14ac:dyDescent="0.35">
      <c r="A3487" s="1">
        <v>3486</v>
      </c>
      <c r="B3487" s="1">
        <v>668</v>
      </c>
      <c r="C3487" s="1">
        <v>31</v>
      </c>
      <c r="D3487" t="str">
        <f>VLOOKUP(B3487,Заказы!A:C,3,0)</f>
        <v>2023-08-18 22:15:00</v>
      </c>
      <c r="E3487" t="str">
        <f>VLOOKUP(C3487,Меню!A:E,4,0)</f>
        <v>Десерт</v>
      </c>
      <c r="F3487">
        <f>VLOOKUP(C3487,Меню!A:E,5,0)</f>
        <v>150</v>
      </c>
    </row>
    <row r="3488" spans="1:6" ht="15.75" hidden="1" customHeight="1" x14ac:dyDescent="0.35">
      <c r="A3488" s="1">
        <v>3487</v>
      </c>
      <c r="B3488" s="1">
        <v>668</v>
      </c>
      <c r="C3488" s="1">
        <v>2</v>
      </c>
      <c r="D3488" t="str">
        <f>VLOOKUP(B3488,Заказы!A:C,3,0)</f>
        <v>2023-08-18 22:15:00</v>
      </c>
      <c r="E3488" t="str">
        <f>VLOOKUP(C3488,Меню!A:E,4,0)</f>
        <v>Завтрак</v>
      </c>
      <c r="F3488">
        <f>VLOOKUP(C3488,Меню!A:E,5,0)</f>
        <v>250</v>
      </c>
    </row>
    <row r="3489" spans="1:6" ht="15.75" hidden="1" customHeight="1" x14ac:dyDescent="0.35">
      <c r="A3489" s="1">
        <v>3488</v>
      </c>
      <c r="B3489" s="1">
        <v>669</v>
      </c>
      <c r="C3489" s="1">
        <v>28</v>
      </c>
      <c r="D3489" t="str">
        <f>VLOOKUP(B3489,Заказы!A:C,3,0)</f>
        <v>2023-08-19 19:19:00</v>
      </c>
      <c r="E3489" t="str">
        <f>VLOOKUP(C3489,Меню!A:E,4,0)</f>
        <v>Салат</v>
      </c>
      <c r="F3489">
        <f>VLOOKUP(C3489,Меню!A:E,5,0)</f>
        <v>250</v>
      </c>
    </row>
    <row r="3490" spans="1:6" ht="15.75" hidden="1" customHeight="1" x14ac:dyDescent="0.35">
      <c r="A3490" s="1">
        <v>3489</v>
      </c>
      <c r="B3490" s="1">
        <v>669</v>
      </c>
      <c r="C3490" s="1">
        <v>7</v>
      </c>
      <c r="D3490" t="str">
        <f>VLOOKUP(B3490,Заказы!A:C,3,0)</f>
        <v>2023-08-19 19:19:00</v>
      </c>
      <c r="E3490" t="str">
        <f>VLOOKUP(C3490,Меню!A:E,4,0)</f>
        <v>Завтрак</v>
      </c>
      <c r="F3490">
        <f>VLOOKUP(C3490,Меню!A:E,5,0)</f>
        <v>200</v>
      </c>
    </row>
    <row r="3491" spans="1:6" ht="15.75" hidden="1" customHeight="1" x14ac:dyDescent="0.35">
      <c r="A3491" s="1">
        <v>3490</v>
      </c>
      <c r="B3491" s="1">
        <v>669</v>
      </c>
      <c r="C3491" s="1">
        <v>7</v>
      </c>
      <c r="D3491" t="str">
        <f>VLOOKUP(B3491,Заказы!A:C,3,0)</f>
        <v>2023-08-19 19:19:00</v>
      </c>
      <c r="E3491" t="str">
        <f>VLOOKUP(C3491,Меню!A:E,4,0)</f>
        <v>Завтрак</v>
      </c>
      <c r="F3491">
        <f>VLOOKUP(C3491,Меню!A:E,5,0)</f>
        <v>200</v>
      </c>
    </row>
    <row r="3492" spans="1:6" ht="15.75" hidden="1" customHeight="1" x14ac:dyDescent="0.35">
      <c r="A3492" s="1">
        <v>3491</v>
      </c>
      <c r="B3492" s="1">
        <v>670</v>
      </c>
      <c r="C3492" s="1">
        <v>60</v>
      </c>
      <c r="D3492" t="str">
        <f>VLOOKUP(B3492,Заказы!A:C,3,0)</f>
        <v>2023-08-19 20:40:00</v>
      </c>
      <c r="E3492" t="str">
        <f>VLOOKUP(C3492,Меню!A:E,4,0)</f>
        <v>Суши</v>
      </c>
      <c r="F3492">
        <f>VLOOKUP(C3492,Меню!A:E,5,0)</f>
        <v>250</v>
      </c>
    </row>
    <row r="3493" spans="1:6" ht="15.75" hidden="1" customHeight="1" x14ac:dyDescent="0.35">
      <c r="A3493" s="1">
        <v>3492</v>
      </c>
      <c r="B3493" s="1">
        <v>670</v>
      </c>
      <c r="C3493" s="1">
        <v>11</v>
      </c>
      <c r="D3493" t="str">
        <f>VLOOKUP(B3493,Заказы!A:C,3,0)</f>
        <v>2023-08-19 20:40:00</v>
      </c>
      <c r="E3493" t="str">
        <f>VLOOKUP(C3493,Меню!A:E,4,0)</f>
        <v>Первое</v>
      </c>
      <c r="F3493">
        <f>VLOOKUP(C3493,Меню!A:E,5,0)</f>
        <v>300</v>
      </c>
    </row>
    <row r="3494" spans="1:6" ht="15.75" hidden="1" customHeight="1" x14ac:dyDescent="0.35">
      <c r="A3494" s="1">
        <v>3493</v>
      </c>
      <c r="B3494" s="1">
        <v>670</v>
      </c>
      <c r="C3494" s="1">
        <v>43</v>
      </c>
      <c r="D3494" t="str">
        <f>VLOOKUP(B3494,Заказы!A:C,3,0)</f>
        <v>2023-08-19 20:40:00</v>
      </c>
      <c r="E3494" t="str">
        <f>VLOOKUP(C3494,Меню!A:E,4,0)</f>
        <v>Суши</v>
      </c>
      <c r="F3494">
        <f>VLOOKUP(C3494,Меню!A:E,5,0)</f>
        <v>250</v>
      </c>
    </row>
    <row r="3495" spans="1:6" ht="15.75" hidden="1" customHeight="1" x14ac:dyDescent="0.35">
      <c r="A3495" s="1">
        <v>3494</v>
      </c>
      <c r="B3495" s="1">
        <v>670</v>
      </c>
      <c r="C3495" s="1">
        <v>12</v>
      </c>
      <c r="D3495" t="str">
        <f>VLOOKUP(B3495,Заказы!A:C,3,0)</f>
        <v>2023-08-19 20:40:00</v>
      </c>
      <c r="E3495" t="str">
        <f>VLOOKUP(C3495,Меню!A:E,4,0)</f>
        <v>Первое</v>
      </c>
      <c r="F3495">
        <f>VLOOKUP(C3495,Меню!A:E,5,0)</f>
        <v>300</v>
      </c>
    </row>
    <row r="3496" spans="1:6" ht="15.75" hidden="1" customHeight="1" x14ac:dyDescent="0.35">
      <c r="A3496" s="1">
        <v>3495</v>
      </c>
      <c r="B3496" s="1">
        <v>670</v>
      </c>
      <c r="C3496" s="1">
        <v>52</v>
      </c>
      <c r="D3496" t="str">
        <f>VLOOKUP(B3496,Заказы!A:C,3,0)</f>
        <v>2023-08-19 20:40:00</v>
      </c>
      <c r="E3496" t="str">
        <f>VLOOKUP(C3496,Меню!A:E,4,0)</f>
        <v>Суши</v>
      </c>
      <c r="F3496">
        <f>VLOOKUP(C3496,Меню!A:E,5,0)</f>
        <v>100</v>
      </c>
    </row>
    <row r="3497" spans="1:6" ht="15.75" hidden="1" customHeight="1" x14ac:dyDescent="0.35">
      <c r="A3497" s="1">
        <v>3496</v>
      </c>
      <c r="B3497" s="1">
        <v>671</v>
      </c>
      <c r="C3497" s="1">
        <v>26</v>
      </c>
      <c r="D3497" t="str">
        <f>VLOOKUP(B3497,Заказы!A:C,3,0)</f>
        <v>2023-08-19 21:32:00</v>
      </c>
      <c r="E3497" t="str">
        <f>VLOOKUP(C3497,Меню!A:E,4,0)</f>
        <v>Салат</v>
      </c>
      <c r="F3497">
        <f>VLOOKUP(C3497,Меню!A:E,5,0)</f>
        <v>250</v>
      </c>
    </row>
    <row r="3498" spans="1:6" ht="15.75" hidden="1" customHeight="1" x14ac:dyDescent="0.35">
      <c r="A3498" s="1">
        <v>3497</v>
      </c>
      <c r="B3498" s="1">
        <v>672</v>
      </c>
      <c r="C3498" s="1">
        <v>48</v>
      </c>
      <c r="D3498" t="str">
        <f>VLOOKUP(B3498,Заказы!A:C,3,0)</f>
        <v>2023-08-19 22:37:00</v>
      </c>
      <c r="E3498" t="str">
        <f>VLOOKUP(C3498,Меню!A:E,4,0)</f>
        <v>Суши</v>
      </c>
      <c r="F3498">
        <f>VLOOKUP(C3498,Меню!A:E,5,0)</f>
        <v>200</v>
      </c>
    </row>
    <row r="3499" spans="1:6" ht="15.75" hidden="1" customHeight="1" x14ac:dyDescent="0.35">
      <c r="A3499" s="1">
        <v>3498</v>
      </c>
      <c r="B3499" s="1">
        <v>672</v>
      </c>
      <c r="C3499" s="1">
        <v>53</v>
      </c>
      <c r="D3499" t="str">
        <f>VLOOKUP(B3499,Заказы!A:C,3,0)</f>
        <v>2023-08-19 22:37:00</v>
      </c>
      <c r="E3499" t="str">
        <f>VLOOKUP(C3499,Меню!A:E,4,0)</f>
        <v>Суши</v>
      </c>
      <c r="F3499">
        <f>VLOOKUP(C3499,Меню!A:E,5,0)</f>
        <v>100</v>
      </c>
    </row>
    <row r="3500" spans="1:6" ht="15.75" hidden="1" customHeight="1" x14ac:dyDescent="0.35">
      <c r="A3500" s="1">
        <v>3499</v>
      </c>
      <c r="B3500" s="1">
        <v>672</v>
      </c>
      <c r="C3500" s="1">
        <v>32</v>
      </c>
      <c r="D3500" t="str">
        <f>VLOOKUP(B3500,Заказы!A:C,3,0)</f>
        <v>2023-08-19 22:37:00</v>
      </c>
      <c r="E3500" t="str">
        <f>VLOOKUP(C3500,Меню!A:E,4,0)</f>
        <v>Десерт</v>
      </c>
      <c r="F3500">
        <f>VLOOKUP(C3500,Меню!A:E,5,0)</f>
        <v>150</v>
      </c>
    </row>
    <row r="3501" spans="1:6" ht="15.75" hidden="1" customHeight="1" x14ac:dyDescent="0.35">
      <c r="A3501" s="1">
        <v>3500</v>
      </c>
      <c r="B3501" s="1">
        <v>672</v>
      </c>
      <c r="C3501" s="1">
        <v>19</v>
      </c>
      <c r="D3501" t="str">
        <f>VLOOKUP(B3501,Заказы!A:C,3,0)</f>
        <v>2023-08-19 22:37:00</v>
      </c>
      <c r="E3501" t="str">
        <f>VLOOKUP(C3501,Меню!A:E,4,0)</f>
        <v>Первое</v>
      </c>
      <c r="F3501">
        <f>VLOOKUP(C3501,Меню!A:E,5,0)</f>
        <v>300</v>
      </c>
    </row>
    <row r="3502" spans="1:6" ht="15.75" hidden="1" customHeight="1" x14ac:dyDescent="0.35">
      <c r="A3502" s="1">
        <v>3501</v>
      </c>
      <c r="B3502" s="1">
        <v>672</v>
      </c>
      <c r="C3502" s="1">
        <v>28</v>
      </c>
      <c r="D3502" t="str">
        <f>VLOOKUP(B3502,Заказы!A:C,3,0)</f>
        <v>2023-08-19 22:37:00</v>
      </c>
      <c r="E3502" t="str">
        <f>VLOOKUP(C3502,Меню!A:E,4,0)</f>
        <v>Салат</v>
      </c>
      <c r="F3502">
        <f>VLOOKUP(C3502,Меню!A:E,5,0)</f>
        <v>250</v>
      </c>
    </row>
    <row r="3503" spans="1:6" ht="15.75" hidden="1" customHeight="1" x14ac:dyDescent="0.35">
      <c r="A3503" s="1">
        <v>3502</v>
      </c>
      <c r="B3503" s="1">
        <v>672</v>
      </c>
      <c r="C3503" s="1">
        <v>24</v>
      </c>
      <c r="D3503" t="str">
        <f>VLOOKUP(B3503,Заказы!A:C,3,0)</f>
        <v>2023-08-19 22:37:00</v>
      </c>
      <c r="E3503" t="str">
        <f>VLOOKUP(C3503,Меню!A:E,4,0)</f>
        <v>Салат</v>
      </c>
      <c r="F3503">
        <f>VLOOKUP(C3503,Меню!A:E,5,0)</f>
        <v>250</v>
      </c>
    </row>
    <row r="3504" spans="1:6" ht="15.75" hidden="1" customHeight="1" x14ac:dyDescent="0.35">
      <c r="A3504" s="1">
        <v>3503</v>
      </c>
      <c r="B3504" s="1">
        <v>672</v>
      </c>
      <c r="C3504" s="1">
        <v>45</v>
      </c>
      <c r="D3504" t="str">
        <f>VLOOKUP(B3504,Заказы!A:C,3,0)</f>
        <v>2023-08-19 22:37:00</v>
      </c>
      <c r="E3504" t="str">
        <f>VLOOKUP(C3504,Меню!A:E,4,0)</f>
        <v>Суши</v>
      </c>
      <c r="F3504">
        <f>VLOOKUP(C3504,Меню!A:E,5,0)</f>
        <v>200</v>
      </c>
    </row>
    <row r="3505" spans="1:6" ht="15.75" hidden="1" customHeight="1" x14ac:dyDescent="0.35">
      <c r="A3505" s="1">
        <v>3504</v>
      </c>
      <c r="B3505" s="1">
        <v>673</v>
      </c>
      <c r="C3505" s="1">
        <v>55</v>
      </c>
      <c r="D3505" t="str">
        <f>VLOOKUP(B3505,Заказы!A:C,3,0)</f>
        <v>2023-08-20 16:27:00</v>
      </c>
      <c r="E3505" t="str">
        <f>VLOOKUP(C3505,Меню!A:E,4,0)</f>
        <v>Суши</v>
      </c>
      <c r="F3505">
        <f>VLOOKUP(C3505,Меню!A:E,5,0)</f>
        <v>100</v>
      </c>
    </row>
    <row r="3506" spans="1:6" ht="15.75" hidden="1" customHeight="1" x14ac:dyDescent="0.35">
      <c r="A3506" s="1">
        <v>3505</v>
      </c>
      <c r="B3506" s="1">
        <v>674</v>
      </c>
      <c r="C3506" s="1">
        <v>2</v>
      </c>
      <c r="D3506" t="str">
        <f>VLOOKUP(B3506,Заказы!A:C,3,0)</f>
        <v>2023-08-20 18:03:00</v>
      </c>
      <c r="E3506" t="str">
        <f>VLOOKUP(C3506,Меню!A:E,4,0)</f>
        <v>Завтрак</v>
      </c>
      <c r="F3506">
        <f>VLOOKUP(C3506,Меню!A:E,5,0)</f>
        <v>250</v>
      </c>
    </row>
    <row r="3507" spans="1:6" ht="15.75" hidden="1" customHeight="1" x14ac:dyDescent="0.35">
      <c r="A3507" s="1">
        <v>3506</v>
      </c>
      <c r="B3507" s="1">
        <v>674</v>
      </c>
      <c r="C3507" s="1">
        <v>47</v>
      </c>
      <c r="D3507" t="str">
        <f>VLOOKUP(B3507,Заказы!A:C,3,0)</f>
        <v>2023-08-20 18:03:00</v>
      </c>
      <c r="E3507" t="str">
        <f>VLOOKUP(C3507,Меню!A:E,4,0)</f>
        <v>Суши</v>
      </c>
      <c r="F3507">
        <f>VLOOKUP(C3507,Меню!A:E,5,0)</f>
        <v>200</v>
      </c>
    </row>
    <row r="3508" spans="1:6" ht="15.75" hidden="1" customHeight="1" x14ac:dyDescent="0.35">
      <c r="A3508" s="1">
        <v>3507</v>
      </c>
      <c r="B3508" s="1">
        <v>674</v>
      </c>
      <c r="C3508" s="1">
        <v>24</v>
      </c>
      <c r="D3508" t="str">
        <f>VLOOKUP(B3508,Заказы!A:C,3,0)</f>
        <v>2023-08-20 18:03:00</v>
      </c>
      <c r="E3508" t="str">
        <f>VLOOKUP(C3508,Меню!A:E,4,0)</f>
        <v>Салат</v>
      </c>
      <c r="F3508">
        <f>VLOOKUP(C3508,Меню!A:E,5,0)</f>
        <v>250</v>
      </c>
    </row>
    <row r="3509" spans="1:6" ht="15.75" hidden="1" customHeight="1" x14ac:dyDescent="0.35">
      <c r="A3509" s="1">
        <v>3508</v>
      </c>
      <c r="B3509" s="1">
        <v>674</v>
      </c>
      <c r="C3509" s="1">
        <v>30</v>
      </c>
      <c r="D3509" t="str">
        <f>VLOOKUP(B3509,Заказы!A:C,3,0)</f>
        <v>2023-08-20 18:03:00</v>
      </c>
      <c r="E3509" t="str">
        <f>VLOOKUP(C3509,Меню!A:E,4,0)</f>
        <v>Салат</v>
      </c>
      <c r="F3509">
        <f>VLOOKUP(C3509,Меню!A:E,5,0)</f>
        <v>250</v>
      </c>
    </row>
    <row r="3510" spans="1:6" ht="15.75" hidden="1" customHeight="1" x14ac:dyDescent="0.35">
      <c r="A3510" s="1">
        <v>3509</v>
      </c>
      <c r="B3510" s="1">
        <v>675</v>
      </c>
      <c r="C3510" s="1">
        <v>46</v>
      </c>
      <c r="D3510" t="str">
        <f>VLOOKUP(B3510,Заказы!A:C,3,0)</f>
        <v>2023-08-20 19:28:00</v>
      </c>
      <c r="E3510" t="str">
        <f>VLOOKUP(C3510,Меню!A:E,4,0)</f>
        <v>Суши</v>
      </c>
      <c r="F3510">
        <f>VLOOKUP(C3510,Меню!A:E,5,0)</f>
        <v>200</v>
      </c>
    </row>
    <row r="3511" spans="1:6" ht="15.75" hidden="1" customHeight="1" x14ac:dyDescent="0.35">
      <c r="A3511" s="1">
        <v>3510</v>
      </c>
      <c r="B3511" s="1">
        <v>675</v>
      </c>
      <c r="C3511" s="1">
        <v>35</v>
      </c>
      <c r="D3511" t="str">
        <f>VLOOKUP(B3511,Заказы!A:C,3,0)</f>
        <v>2023-08-20 19:28:00</v>
      </c>
      <c r="E3511" t="str">
        <f>VLOOKUP(C3511,Меню!A:E,4,0)</f>
        <v>Десерт</v>
      </c>
      <c r="F3511">
        <f>VLOOKUP(C3511,Меню!A:E,5,0)</f>
        <v>150</v>
      </c>
    </row>
    <row r="3512" spans="1:6" ht="15.75" hidden="1" customHeight="1" x14ac:dyDescent="0.35">
      <c r="A3512" s="1">
        <v>3511</v>
      </c>
      <c r="B3512" s="1">
        <v>675</v>
      </c>
      <c r="C3512" s="1">
        <v>19</v>
      </c>
      <c r="D3512" t="str">
        <f>VLOOKUP(B3512,Заказы!A:C,3,0)</f>
        <v>2023-08-20 19:28:00</v>
      </c>
      <c r="E3512" t="str">
        <f>VLOOKUP(C3512,Меню!A:E,4,0)</f>
        <v>Первое</v>
      </c>
      <c r="F3512">
        <f>VLOOKUP(C3512,Меню!A:E,5,0)</f>
        <v>300</v>
      </c>
    </row>
    <row r="3513" spans="1:6" ht="15.75" hidden="1" customHeight="1" x14ac:dyDescent="0.35">
      <c r="A3513" s="1">
        <v>3512</v>
      </c>
      <c r="B3513" s="1">
        <v>675</v>
      </c>
      <c r="C3513" s="1">
        <v>56</v>
      </c>
      <c r="D3513" t="str">
        <f>VLOOKUP(B3513,Заказы!A:C,3,0)</f>
        <v>2023-08-20 19:28:00</v>
      </c>
      <c r="E3513" t="str">
        <f>VLOOKUP(C3513,Меню!A:E,4,0)</f>
        <v>Суши</v>
      </c>
      <c r="F3513">
        <f>VLOOKUP(C3513,Меню!A:E,5,0)</f>
        <v>200</v>
      </c>
    </row>
    <row r="3514" spans="1:6" ht="15.75" hidden="1" customHeight="1" x14ac:dyDescent="0.35">
      <c r="A3514" s="1">
        <v>3513</v>
      </c>
      <c r="B3514" s="1">
        <v>675</v>
      </c>
      <c r="C3514" s="1">
        <v>52</v>
      </c>
      <c r="D3514" t="str">
        <f>VLOOKUP(B3514,Заказы!A:C,3,0)</f>
        <v>2023-08-20 19:28:00</v>
      </c>
      <c r="E3514" t="str">
        <f>VLOOKUP(C3514,Меню!A:E,4,0)</f>
        <v>Суши</v>
      </c>
      <c r="F3514">
        <f>VLOOKUP(C3514,Меню!A:E,5,0)</f>
        <v>100</v>
      </c>
    </row>
    <row r="3515" spans="1:6" ht="15.75" hidden="1" customHeight="1" x14ac:dyDescent="0.35">
      <c r="A3515" s="1">
        <v>3514</v>
      </c>
      <c r="B3515" s="1">
        <v>675</v>
      </c>
      <c r="C3515" s="1">
        <v>29</v>
      </c>
      <c r="D3515" t="str">
        <f>VLOOKUP(B3515,Заказы!A:C,3,0)</f>
        <v>2023-08-20 19:28:00</v>
      </c>
      <c r="E3515" t="str">
        <f>VLOOKUP(C3515,Меню!A:E,4,0)</f>
        <v>Салат</v>
      </c>
      <c r="F3515">
        <f>VLOOKUP(C3515,Меню!A:E,5,0)</f>
        <v>250</v>
      </c>
    </row>
    <row r="3516" spans="1:6" ht="15.75" hidden="1" customHeight="1" x14ac:dyDescent="0.35">
      <c r="A3516" s="1">
        <v>3515</v>
      </c>
      <c r="B3516" s="1">
        <v>675</v>
      </c>
      <c r="C3516" s="1">
        <v>51</v>
      </c>
      <c r="D3516" t="str">
        <f>VLOOKUP(B3516,Заказы!A:C,3,0)</f>
        <v>2023-08-20 19:28:00</v>
      </c>
      <c r="E3516" t="str">
        <f>VLOOKUP(C3516,Меню!A:E,4,0)</f>
        <v>Суши</v>
      </c>
      <c r="F3516">
        <f>VLOOKUP(C3516,Меню!A:E,5,0)</f>
        <v>100</v>
      </c>
    </row>
    <row r="3517" spans="1:6" ht="15.75" hidden="1" customHeight="1" x14ac:dyDescent="0.35">
      <c r="A3517" s="1">
        <v>3516</v>
      </c>
      <c r="B3517" s="1">
        <v>675</v>
      </c>
      <c r="C3517" s="1">
        <v>56</v>
      </c>
      <c r="D3517" t="str">
        <f>VLOOKUP(B3517,Заказы!A:C,3,0)</f>
        <v>2023-08-20 19:28:00</v>
      </c>
      <c r="E3517" t="str">
        <f>VLOOKUP(C3517,Меню!A:E,4,0)</f>
        <v>Суши</v>
      </c>
      <c r="F3517">
        <f>VLOOKUP(C3517,Меню!A:E,5,0)</f>
        <v>200</v>
      </c>
    </row>
    <row r="3518" spans="1:6" ht="15.75" hidden="1" customHeight="1" x14ac:dyDescent="0.35">
      <c r="A3518" s="1">
        <v>3517</v>
      </c>
      <c r="B3518" s="1">
        <v>675</v>
      </c>
      <c r="C3518" s="1">
        <v>50</v>
      </c>
      <c r="D3518" t="str">
        <f>VLOOKUP(B3518,Заказы!A:C,3,0)</f>
        <v>2023-08-20 19:28:00</v>
      </c>
      <c r="E3518" t="str">
        <f>VLOOKUP(C3518,Меню!A:E,4,0)</f>
        <v>Суши</v>
      </c>
      <c r="F3518">
        <f>VLOOKUP(C3518,Меню!A:E,5,0)</f>
        <v>200</v>
      </c>
    </row>
    <row r="3519" spans="1:6" ht="15.75" hidden="1" customHeight="1" x14ac:dyDescent="0.35">
      <c r="A3519" s="1">
        <v>3518</v>
      </c>
      <c r="B3519" s="1">
        <v>676</v>
      </c>
      <c r="C3519" s="1">
        <v>29</v>
      </c>
      <c r="D3519" t="str">
        <f>VLOOKUP(B3519,Заказы!A:C,3,0)</f>
        <v>2023-08-21 16:13:00</v>
      </c>
      <c r="E3519" t="str">
        <f>VLOOKUP(C3519,Меню!A:E,4,0)</f>
        <v>Салат</v>
      </c>
      <c r="F3519">
        <f>VLOOKUP(C3519,Меню!A:E,5,0)</f>
        <v>250</v>
      </c>
    </row>
    <row r="3520" spans="1:6" ht="15.75" hidden="1" customHeight="1" x14ac:dyDescent="0.35">
      <c r="A3520" s="1">
        <v>3519</v>
      </c>
      <c r="B3520" s="1">
        <v>676</v>
      </c>
      <c r="C3520" s="1">
        <v>57</v>
      </c>
      <c r="D3520" t="str">
        <f>VLOOKUP(B3520,Заказы!A:C,3,0)</f>
        <v>2023-08-21 16:13:00</v>
      </c>
      <c r="E3520" t="str">
        <f>VLOOKUP(C3520,Меню!A:E,4,0)</f>
        <v>Суши</v>
      </c>
      <c r="F3520">
        <f>VLOOKUP(C3520,Меню!A:E,5,0)</f>
        <v>200</v>
      </c>
    </row>
    <row r="3521" spans="1:6" ht="15.75" hidden="1" customHeight="1" x14ac:dyDescent="0.35">
      <c r="A3521" s="1">
        <v>3520</v>
      </c>
      <c r="B3521" s="1">
        <v>676</v>
      </c>
      <c r="C3521" s="1">
        <v>11</v>
      </c>
      <c r="D3521" t="str">
        <f>VLOOKUP(B3521,Заказы!A:C,3,0)</f>
        <v>2023-08-21 16:13:00</v>
      </c>
      <c r="E3521" t="str">
        <f>VLOOKUP(C3521,Меню!A:E,4,0)</f>
        <v>Первое</v>
      </c>
      <c r="F3521">
        <f>VLOOKUP(C3521,Меню!A:E,5,0)</f>
        <v>300</v>
      </c>
    </row>
    <row r="3522" spans="1:6" ht="15.75" hidden="1" customHeight="1" x14ac:dyDescent="0.35">
      <c r="A3522" s="1">
        <v>3521</v>
      </c>
      <c r="B3522" s="1">
        <v>677</v>
      </c>
      <c r="C3522" s="1">
        <v>37</v>
      </c>
      <c r="D3522" t="str">
        <f>VLOOKUP(B3522,Заказы!A:C,3,0)</f>
        <v>2023-08-21 16:32:00</v>
      </c>
      <c r="E3522" t="str">
        <f>VLOOKUP(C3522,Меню!A:E,4,0)</f>
        <v>Десерт</v>
      </c>
      <c r="F3522">
        <f>VLOOKUP(C3522,Меню!A:E,5,0)</f>
        <v>100</v>
      </c>
    </row>
    <row r="3523" spans="1:6" ht="15.75" hidden="1" customHeight="1" x14ac:dyDescent="0.35">
      <c r="A3523" s="1">
        <v>3522</v>
      </c>
      <c r="B3523" s="1">
        <v>677</v>
      </c>
      <c r="C3523" s="1">
        <v>7</v>
      </c>
      <c r="D3523" t="str">
        <f>VLOOKUP(B3523,Заказы!A:C,3,0)</f>
        <v>2023-08-21 16:32:00</v>
      </c>
      <c r="E3523" t="str">
        <f>VLOOKUP(C3523,Меню!A:E,4,0)</f>
        <v>Завтрак</v>
      </c>
      <c r="F3523">
        <f>VLOOKUP(C3523,Меню!A:E,5,0)</f>
        <v>200</v>
      </c>
    </row>
    <row r="3524" spans="1:6" ht="15.75" hidden="1" customHeight="1" x14ac:dyDescent="0.35">
      <c r="A3524" s="1">
        <v>3523</v>
      </c>
      <c r="B3524" s="1">
        <v>677</v>
      </c>
      <c r="C3524" s="1">
        <v>33</v>
      </c>
      <c r="D3524" t="str">
        <f>VLOOKUP(B3524,Заказы!A:C,3,0)</f>
        <v>2023-08-21 16:32:00</v>
      </c>
      <c r="E3524" t="str">
        <f>VLOOKUP(C3524,Меню!A:E,4,0)</f>
        <v>Десерт</v>
      </c>
      <c r="F3524">
        <f>VLOOKUP(C3524,Меню!A:E,5,0)</f>
        <v>150</v>
      </c>
    </row>
    <row r="3525" spans="1:6" ht="15.75" hidden="1" customHeight="1" x14ac:dyDescent="0.35">
      <c r="A3525" s="1">
        <v>3524</v>
      </c>
      <c r="B3525" s="1">
        <v>677</v>
      </c>
      <c r="C3525" s="1">
        <v>33</v>
      </c>
      <c r="D3525" t="str">
        <f>VLOOKUP(B3525,Заказы!A:C,3,0)</f>
        <v>2023-08-21 16:32:00</v>
      </c>
      <c r="E3525" t="str">
        <f>VLOOKUP(C3525,Меню!A:E,4,0)</f>
        <v>Десерт</v>
      </c>
      <c r="F3525">
        <f>VLOOKUP(C3525,Меню!A:E,5,0)</f>
        <v>150</v>
      </c>
    </row>
    <row r="3526" spans="1:6" ht="15.75" hidden="1" customHeight="1" x14ac:dyDescent="0.35">
      <c r="A3526" s="1">
        <v>3525</v>
      </c>
      <c r="B3526" s="1">
        <v>677</v>
      </c>
      <c r="C3526" s="1">
        <v>12</v>
      </c>
      <c r="D3526" t="str">
        <f>VLOOKUP(B3526,Заказы!A:C,3,0)</f>
        <v>2023-08-21 16:32:00</v>
      </c>
      <c r="E3526" t="str">
        <f>VLOOKUP(C3526,Меню!A:E,4,0)</f>
        <v>Первое</v>
      </c>
      <c r="F3526">
        <f>VLOOKUP(C3526,Меню!A:E,5,0)</f>
        <v>300</v>
      </c>
    </row>
    <row r="3527" spans="1:6" ht="15.75" hidden="1" customHeight="1" x14ac:dyDescent="0.35">
      <c r="A3527" s="1">
        <v>3526</v>
      </c>
      <c r="B3527" s="1">
        <v>677</v>
      </c>
      <c r="C3527" s="1">
        <v>56</v>
      </c>
      <c r="D3527" t="str">
        <f>VLOOKUP(B3527,Заказы!A:C,3,0)</f>
        <v>2023-08-21 16:32:00</v>
      </c>
      <c r="E3527" t="str">
        <f>VLOOKUP(C3527,Меню!A:E,4,0)</f>
        <v>Суши</v>
      </c>
      <c r="F3527">
        <f>VLOOKUP(C3527,Меню!A:E,5,0)</f>
        <v>200</v>
      </c>
    </row>
    <row r="3528" spans="1:6" ht="15.75" hidden="1" customHeight="1" x14ac:dyDescent="0.35">
      <c r="A3528" s="1">
        <v>3527</v>
      </c>
      <c r="B3528" s="1">
        <v>677</v>
      </c>
      <c r="C3528" s="1">
        <v>10</v>
      </c>
      <c r="D3528" t="str">
        <f>VLOOKUP(B3528,Заказы!A:C,3,0)</f>
        <v>2023-08-21 16:32:00</v>
      </c>
      <c r="E3528" t="str">
        <f>VLOOKUP(C3528,Меню!A:E,4,0)</f>
        <v>Завтрак</v>
      </c>
      <c r="F3528">
        <f>VLOOKUP(C3528,Меню!A:E,5,0)</f>
        <v>200</v>
      </c>
    </row>
    <row r="3529" spans="1:6" ht="15.75" hidden="1" customHeight="1" x14ac:dyDescent="0.35">
      <c r="A3529" s="1">
        <v>3528</v>
      </c>
      <c r="B3529" s="1">
        <v>678</v>
      </c>
      <c r="C3529" s="1">
        <v>3</v>
      </c>
      <c r="D3529" t="str">
        <f>VLOOKUP(B3529,Заказы!A:C,3,0)</f>
        <v>2023-08-21 17:38:00</v>
      </c>
      <c r="E3529" t="str">
        <f>VLOOKUP(C3529,Меню!A:E,4,0)</f>
        <v>Завтрак</v>
      </c>
      <c r="F3529">
        <f>VLOOKUP(C3529,Меню!A:E,5,0)</f>
        <v>150</v>
      </c>
    </row>
    <row r="3530" spans="1:6" ht="15.75" hidden="1" customHeight="1" x14ac:dyDescent="0.35">
      <c r="A3530" s="1">
        <v>3529</v>
      </c>
      <c r="B3530" s="1">
        <v>678</v>
      </c>
      <c r="C3530" s="1">
        <v>35</v>
      </c>
      <c r="D3530" t="str">
        <f>VLOOKUP(B3530,Заказы!A:C,3,0)</f>
        <v>2023-08-21 17:38:00</v>
      </c>
      <c r="E3530" t="str">
        <f>VLOOKUP(C3530,Меню!A:E,4,0)</f>
        <v>Десерт</v>
      </c>
      <c r="F3530">
        <f>VLOOKUP(C3530,Меню!A:E,5,0)</f>
        <v>150</v>
      </c>
    </row>
    <row r="3531" spans="1:6" ht="15.75" hidden="1" customHeight="1" x14ac:dyDescent="0.35">
      <c r="A3531" s="1">
        <v>3530</v>
      </c>
      <c r="B3531" s="1">
        <v>678</v>
      </c>
      <c r="C3531" s="1">
        <v>47</v>
      </c>
      <c r="D3531" t="str">
        <f>VLOOKUP(B3531,Заказы!A:C,3,0)</f>
        <v>2023-08-21 17:38:00</v>
      </c>
      <c r="E3531" t="str">
        <f>VLOOKUP(C3531,Меню!A:E,4,0)</f>
        <v>Суши</v>
      </c>
      <c r="F3531">
        <f>VLOOKUP(C3531,Меню!A:E,5,0)</f>
        <v>200</v>
      </c>
    </row>
    <row r="3532" spans="1:6" ht="15.75" hidden="1" customHeight="1" x14ac:dyDescent="0.35">
      <c r="A3532" s="1">
        <v>3531</v>
      </c>
      <c r="B3532" s="1">
        <v>678</v>
      </c>
      <c r="C3532" s="1">
        <v>45</v>
      </c>
      <c r="D3532" t="str">
        <f>VLOOKUP(B3532,Заказы!A:C,3,0)</f>
        <v>2023-08-21 17:38:00</v>
      </c>
      <c r="E3532" t="str">
        <f>VLOOKUP(C3532,Меню!A:E,4,0)</f>
        <v>Суши</v>
      </c>
      <c r="F3532">
        <f>VLOOKUP(C3532,Меню!A:E,5,0)</f>
        <v>200</v>
      </c>
    </row>
    <row r="3533" spans="1:6" ht="15.75" hidden="1" customHeight="1" x14ac:dyDescent="0.35">
      <c r="A3533" s="1">
        <v>3532</v>
      </c>
      <c r="B3533" s="1">
        <v>678</v>
      </c>
      <c r="C3533" s="1">
        <v>32</v>
      </c>
      <c r="D3533" t="str">
        <f>VLOOKUP(B3533,Заказы!A:C,3,0)</f>
        <v>2023-08-21 17:38:00</v>
      </c>
      <c r="E3533" t="str">
        <f>VLOOKUP(C3533,Меню!A:E,4,0)</f>
        <v>Десерт</v>
      </c>
      <c r="F3533">
        <f>VLOOKUP(C3533,Меню!A:E,5,0)</f>
        <v>150</v>
      </c>
    </row>
    <row r="3534" spans="1:6" ht="15.75" hidden="1" customHeight="1" x14ac:dyDescent="0.35">
      <c r="A3534" s="1">
        <v>3533</v>
      </c>
      <c r="B3534" s="1">
        <v>678</v>
      </c>
      <c r="C3534" s="1">
        <v>45</v>
      </c>
      <c r="D3534" t="str">
        <f>VLOOKUP(B3534,Заказы!A:C,3,0)</f>
        <v>2023-08-21 17:38:00</v>
      </c>
      <c r="E3534" t="str">
        <f>VLOOKUP(C3534,Меню!A:E,4,0)</f>
        <v>Суши</v>
      </c>
      <c r="F3534">
        <f>VLOOKUP(C3534,Меню!A:E,5,0)</f>
        <v>200</v>
      </c>
    </row>
    <row r="3535" spans="1:6" ht="15.75" hidden="1" customHeight="1" x14ac:dyDescent="0.35">
      <c r="A3535" s="1">
        <v>3534</v>
      </c>
      <c r="B3535" s="1">
        <v>679</v>
      </c>
      <c r="C3535" s="1">
        <v>59</v>
      </c>
      <c r="D3535" t="str">
        <f>VLOOKUP(B3535,Заказы!A:C,3,0)</f>
        <v>2023-08-21 18:17:00</v>
      </c>
      <c r="E3535" t="str">
        <f>VLOOKUP(C3535,Меню!A:E,4,0)</f>
        <v>Суши</v>
      </c>
      <c r="F3535">
        <f>VLOOKUP(C3535,Меню!A:E,5,0)</f>
        <v>300</v>
      </c>
    </row>
    <row r="3536" spans="1:6" ht="15.75" hidden="1" customHeight="1" x14ac:dyDescent="0.35">
      <c r="A3536" s="1">
        <v>3535</v>
      </c>
      <c r="B3536" s="1">
        <v>680</v>
      </c>
      <c r="C3536" s="1">
        <v>4</v>
      </c>
      <c r="D3536" t="str">
        <f>VLOOKUP(B3536,Заказы!A:C,3,0)</f>
        <v>2023-08-21 19:40:00</v>
      </c>
      <c r="E3536" t="str">
        <f>VLOOKUP(C3536,Меню!A:E,4,0)</f>
        <v>Завтрак</v>
      </c>
      <c r="F3536">
        <f>VLOOKUP(C3536,Меню!A:E,5,0)</f>
        <v>180</v>
      </c>
    </row>
    <row r="3537" spans="1:6" ht="15.75" hidden="1" customHeight="1" x14ac:dyDescent="0.35">
      <c r="A3537" s="1">
        <v>3536</v>
      </c>
      <c r="B3537" s="1">
        <v>680</v>
      </c>
      <c r="C3537" s="1">
        <v>47</v>
      </c>
      <c r="D3537" t="str">
        <f>VLOOKUP(B3537,Заказы!A:C,3,0)</f>
        <v>2023-08-21 19:40:00</v>
      </c>
      <c r="E3537" t="str">
        <f>VLOOKUP(C3537,Меню!A:E,4,0)</f>
        <v>Суши</v>
      </c>
      <c r="F3537">
        <f>VLOOKUP(C3537,Меню!A:E,5,0)</f>
        <v>200</v>
      </c>
    </row>
    <row r="3538" spans="1:6" ht="15.75" hidden="1" customHeight="1" x14ac:dyDescent="0.35">
      <c r="A3538" s="1">
        <v>3537</v>
      </c>
      <c r="B3538" s="1">
        <v>680</v>
      </c>
      <c r="C3538" s="1">
        <v>44</v>
      </c>
      <c r="D3538" t="str">
        <f>VLOOKUP(B3538,Заказы!A:C,3,0)</f>
        <v>2023-08-21 19:40:00</v>
      </c>
      <c r="E3538" t="str">
        <f>VLOOKUP(C3538,Меню!A:E,4,0)</f>
        <v>Суши</v>
      </c>
      <c r="F3538">
        <f>VLOOKUP(C3538,Меню!A:E,5,0)</f>
        <v>250</v>
      </c>
    </row>
    <row r="3539" spans="1:6" ht="15.75" hidden="1" customHeight="1" x14ac:dyDescent="0.35">
      <c r="A3539" s="1">
        <v>3538</v>
      </c>
      <c r="B3539" s="1">
        <v>680</v>
      </c>
      <c r="C3539" s="1">
        <v>8</v>
      </c>
      <c r="D3539" t="str">
        <f>VLOOKUP(B3539,Заказы!A:C,3,0)</f>
        <v>2023-08-21 19:40:00</v>
      </c>
      <c r="E3539" t="str">
        <f>VLOOKUP(C3539,Меню!A:E,4,0)</f>
        <v>Завтрак</v>
      </c>
      <c r="F3539">
        <f>VLOOKUP(C3539,Меню!A:E,5,0)</f>
        <v>180</v>
      </c>
    </row>
    <row r="3540" spans="1:6" ht="15.75" hidden="1" customHeight="1" x14ac:dyDescent="0.35">
      <c r="A3540" s="1">
        <v>3539</v>
      </c>
      <c r="B3540" s="1">
        <v>681</v>
      </c>
      <c r="C3540" s="1">
        <v>3</v>
      </c>
      <c r="D3540" t="str">
        <f>VLOOKUP(B3540,Заказы!A:C,3,0)</f>
        <v>2023-08-21 20:26:00</v>
      </c>
      <c r="E3540" t="str">
        <f>VLOOKUP(C3540,Меню!A:E,4,0)</f>
        <v>Завтрак</v>
      </c>
      <c r="F3540">
        <f>VLOOKUP(C3540,Меню!A:E,5,0)</f>
        <v>150</v>
      </c>
    </row>
    <row r="3541" spans="1:6" ht="15.75" hidden="1" customHeight="1" x14ac:dyDescent="0.35">
      <c r="A3541" s="1">
        <v>3540</v>
      </c>
      <c r="B3541" s="1">
        <v>682</v>
      </c>
      <c r="C3541" s="1">
        <v>31</v>
      </c>
      <c r="D3541" t="str">
        <f>VLOOKUP(B3541,Заказы!A:C,3,0)</f>
        <v>2023-08-22 15:08:00</v>
      </c>
      <c r="E3541" t="str">
        <f>VLOOKUP(C3541,Меню!A:E,4,0)</f>
        <v>Десерт</v>
      </c>
      <c r="F3541">
        <f>VLOOKUP(C3541,Меню!A:E,5,0)</f>
        <v>150</v>
      </c>
    </row>
    <row r="3542" spans="1:6" ht="15.75" hidden="1" customHeight="1" x14ac:dyDescent="0.35">
      <c r="A3542" s="1">
        <v>3541</v>
      </c>
      <c r="B3542" s="1">
        <v>682</v>
      </c>
      <c r="C3542" s="1">
        <v>51</v>
      </c>
      <c r="D3542" t="str">
        <f>VLOOKUP(B3542,Заказы!A:C,3,0)</f>
        <v>2023-08-22 15:08:00</v>
      </c>
      <c r="E3542" t="str">
        <f>VLOOKUP(C3542,Меню!A:E,4,0)</f>
        <v>Суши</v>
      </c>
      <c r="F3542">
        <f>VLOOKUP(C3542,Меню!A:E,5,0)</f>
        <v>100</v>
      </c>
    </row>
    <row r="3543" spans="1:6" ht="15.75" hidden="1" customHeight="1" x14ac:dyDescent="0.35">
      <c r="A3543" s="1">
        <v>3542</v>
      </c>
      <c r="B3543" s="1">
        <v>682</v>
      </c>
      <c r="C3543" s="1">
        <v>43</v>
      </c>
      <c r="D3543" t="str">
        <f>VLOOKUP(B3543,Заказы!A:C,3,0)</f>
        <v>2023-08-22 15:08:00</v>
      </c>
      <c r="E3543" t="str">
        <f>VLOOKUP(C3543,Меню!A:E,4,0)</f>
        <v>Суши</v>
      </c>
      <c r="F3543">
        <f>VLOOKUP(C3543,Меню!A:E,5,0)</f>
        <v>250</v>
      </c>
    </row>
    <row r="3544" spans="1:6" ht="15.75" hidden="1" customHeight="1" x14ac:dyDescent="0.35">
      <c r="A3544" s="1">
        <v>3543</v>
      </c>
      <c r="B3544" s="1">
        <v>682</v>
      </c>
      <c r="C3544" s="1">
        <v>15</v>
      </c>
      <c r="D3544" t="str">
        <f>VLOOKUP(B3544,Заказы!A:C,3,0)</f>
        <v>2023-08-22 15:08:00</v>
      </c>
      <c r="E3544" t="str">
        <f>VLOOKUP(C3544,Меню!A:E,4,0)</f>
        <v>Первое</v>
      </c>
      <c r="F3544">
        <f>VLOOKUP(C3544,Меню!A:E,5,0)</f>
        <v>250</v>
      </c>
    </row>
    <row r="3545" spans="1:6" ht="15.75" hidden="1" customHeight="1" x14ac:dyDescent="0.35">
      <c r="A3545" s="1">
        <v>3544</v>
      </c>
      <c r="B3545" s="1">
        <v>682</v>
      </c>
      <c r="C3545" s="1">
        <v>22</v>
      </c>
      <c r="D3545" t="str">
        <f>VLOOKUP(B3545,Заказы!A:C,3,0)</f>
        <v>2023-08-22 15:08:00</v>
      </c>
      <c r="E3545" t="str">
        <f>VLOOKUP(C3545,Меню!A:E,4,0)</f>
        <v>Салат</v>
      </c>
      <c r="F3545">
        <f>VLOOKUP(C3545,Меню!A:E,5,0)</f>
        <v>250</v>
      </c>
    </row>
    <row r="3546" spans="1:6" ht="15.75" hidden="1" customHeight="1" x14ac:dyDescent="0.35">
      <c r="A3546" s="1">
        <v>3545</v>
      </c>
      <c r="B3546" s="1">
        <v>682</v>
      </c>
      <c r="C3546" s="1">
        <v>54</v>
      </c>
      <c r="D3546" t="str">
        <f>VLOOKUP(B3546,Заказы!A:C,3,0)</f>
        <v>2023-08-22 15:08:00</v>
      </c>
      <c r="E3546" t="str">
        <f>VLOOKUP(C3546,Меню!A:E,4,0)</f>
        <v>Суши</v>
      </c>
      <c r="F3546">
        <f>VLOOKUP(C3546,Меню!A:E,5,0)</f>
        <v>100</v>
      </c>
    </row>
    <row r="3547" spans="1:6" ht="15.75" hidden="1" customHeight="1" x14ac:dyDescent="0.35">
      <c r="A3547" s="1">
        <v>3546</v>
      </c>
      <c r="B3547" s="1">
        <v>682</v>
      </c>
      <c r="C3547" s="1">
        <v>37</v>
      </c>
      <c r="D3547" t="str">
        <f>VLOOKUP(B3547,Заказы!A:C,3,0)</f>
        <v>2023-08-22 15:08:00</v>
      </c>
      <c r="E3547" t="str">
        <f>VLOOKUP(C3547,Меню!A:E,4,0)</f>
        <v>Десерт</v>
      </c>
      <c r="F3547">
        <f>VLOOKUP(C3547,Меню!A:E,5,0)</f>
        <v>100</v>
      </c>
    </row>
    <row r="3548" spans="1:6" ht="15.75" hidden="1" customHeight="1" x14ac:dyDescent="0.35">
      <c r="A3548" s="1">
        <v>3547</v>
      </c>
      <c r="B3548" s="1">
        <v>682</v>
      </c>
      <c r="C3548" s="1">
        <v>23</v>
      </c>
      <c r="D3548" t="str">
        <f>VLOOKUP(B3548,Заказы!A:C,3,0)</f>
        <v>2023-08-22 15:08:00</v>
      </c>
      <c r="E3548" t="str">
        <f>VLOOKUP(C3548,Меню!A:E,4,0)</f>
        <v>Салат</v>
      </c>
      <c r="F3548">
        <f>VLOOKUP(C3548,Меню!A:E,5,0)</f>
        <v>250</v>
      </c>
    </row>
    <row r="3549" spans="1:6" ht="15.75" hidden="1" customHeight="1" x14ac:dyDescent="0.35">
      <c r="A3549" s="1">
        <v>3548</v>
      </c>
      <c r="B3549" s="1">
        <v>682</v>
      </c>
      <c r="C3549" s="1">
        <v>16</v>
      </c>
      <c r="D3549" t="str">
        <f>VLOOKUP(B3549,Заказы!A:C,3,0)</f>
        <v>2023-08-22 15:08:00</v>
      </c>
      <c r="E3549" t="str">
        <f>VLOOKUP(C3549,Меню!A:E,4,0)</f>
        <v>Первое</v>
      </c>
      <c r="F3549">
        <f>VLOOKUP(C3549,Меню!A:E,5,0)</f>
        <v>250</v>
      </c>
    </row>
    <row r="3550" spans="1:6" ht="15.75" hidden="1" customHeight="1" x14ac:dyDescent="0.35">
      <c r="A3550" s="1">
        <v>3549</v>
      </c>
      <c r="B3550" s="1">
        <v>682</v>
      </c>
      <c r="C3550" s="1">
        <v>53</v>
      </c>
      <c r="D3550" t="str">
        <f>VLOOKUP(B3550,Заказы!A:C,3,0)</f>
        <v>2023-08-22 15:08:00</v>
      </c>
      <c r="E3550" t="str">
        <f>VLOOKUP(C3550,Меню!A:E,4,0)</f>
        <v>Суши</v>
      </c>
      <c r="F3550">
        <f>VLOOKUP(C3550,Меню!A:E,5,0)</f>
        <v>100</v>
      </c>
    </row>
    <row r="3551" spans="1:6" ht="15.75" hidden="1" customHeight="1" x14ac:dyDescent="0.35">
      <c r="A3551" s="1">
        <v>3550</v>
      </c>
      <c r="B3551" s="1">
        <v>683</v>
      </c>
      <c r="C3551" s="1">
        <v>49</v>
      </c>
      <c r="D3551" t="str">
        <f>VLOOKUP(B3551,Заказы!A:C,3,0)</f>
        <v>2023-08-22 22:24:00</v>
      </c>
      <c r="E3551" t="str">
        <f>VLOOKUP(C3551,Меню!A:E,4,0)</f>
        <v>Суши</v>
      </c>
      <c r="F3551">
        <f>VLOOKUP(C3551,Меню!A:E,5,0)</f>
        <v>200</v>
      </c>
    </row>
    <row r="3552" spans="1:6" ht="15.75" hidden="1" customHeight="1" x14ac:dyDescent="0.35">
      <c r="A3552" s="1">
        <v>3551</v>
      </c>
      <c r="B3552" s="1">
        <v>683</v>
      </c>
      <c r="C3552" s="1">
        <v>19</v>
      </c>
      <c r="D3552" t="str">
        <f>VLOOKUP(B3552,Заказы!A:C,3,0)</f>
        <v>2023-08-22 22:24:00</v>
      </c>
      <c r="E3552" t="str">
        <f>VLOOKUP(C3552,Меню!A:E,4,0)</f>
        <v>Первое</v>
      </c>
      <c r="F3552">
        <f>VLOOKUP(C3552,Меню!A:E,5,0)</f>
        <v>300</v>
      </c>
    </row>
    <row r="3553" spans="1:6" ht="15.75" hidden="1" customHeight="1" x14ac:dyDescent="0.35">
      <c r="A3553" s="1">
        <v>3552</v>
      </c>
      <c r="B3553" s="1">
        <v>683</v>
      </c>
      <c r="C3553" s="1">
        <v>38</v>
      </c>
      <c r="D3553" t="str">
        <f>VLOOKUP(B3553,Заказы!A:C,3,0)</f>
        <v>2023-08-22 22:24:00</v>
      </c>
      <c r="E3553" t="str">
        <f>VLOOKUP(C3553,Меню!A:E,4,0)</f>
        <v>Десерт</v>
      </c>
      <c r="F3553">
        <f>VLOOKUP(C3553,Меню!A:E,5,0)</f>
        <v>150</v>
      </c>
    </row>
    <row r="3554" spans="1:6" ht="15.75" hidden="1" customHeight="1" x14ac:dyDescent="0.35">
      <c r="A3554" s="1">
        <v>3553</v>
      </c>
      <c r="B3554" s="1">
        <v>683</v>
      </c>
      <c r="C3554" s="1">
        <v>3</v>
      </c>
      <c r="D3554" t="str">
        <f>VLOOKUP(B3554,Заказы!A:C,3,0)</f>
        <v>2023-08-22 22:24:00</v>
      </c>
      <c r="E3554" t="str">
        <f>VLOOKUP(C3554,Меню!A:E,4,0)</f>
        <v>Завтрак</v>
      </c>
      <c r="F3554">
        <f>VLOOKUP(C3554,Меню!A:E,5,0)</f>
        <v>150</v>
      </c>
    </row>
    <row r="3555" spans="1:6" ht="15.75" hidden="1" customHeight="1" x14ac:dyDescent="0.35">
      <c r="A3555" s="1">
        <v>3554</v>
      </c>
      <c r="B3555" s="1">
        <v>684</v>
      </c>
      <c r="C3555" s="1">
        <v>8</v>
      </c>
      <c r="D3555" t="str">
        <f>VLOOKUP(B3555,Заказы!A:C,3,0)</f>
        <v>2023-08-23 16:15:00</v>
      </c>
      <c r="E3555" t="str">
        <f>VLOOKUP(C3555,Меню!A:E,4,0)</f>
        <v>Завтрак</v>
      </c>
      <c r="F3555">
        <f>VLOOKUP(C3555,Меню!A:E,5,0)</f>
        <v>180</v>
      </c>
    </row>
    <row r="3556" spans="1:6" ht="15.75" hidden="1" customHeight="1" x14ac:dyDescent="0.35">
      <c r="A3556" s="1">
        <v>3555</v>
      </c>
      <c r="B3556" s="1">
        <v>684</v>
      </c>
      <c r="C3556" s="1">
        <v>12</v>
      </c>
      <c r="D3556" t="str">
        <f>VLOOKUP(B3556,Заказы!A:C,3,0)</f>
        <v>2023-08-23 16:15:00</v>
      </c>
      <c r="E3556" t="str">
        <f>VLOOKUP(C3556,Меню!A:E,4,0)</f>
        <v>Первое</v>
      </c>
      <c r="F3556">
        <f>VLOOKUP(C3556,Меню!A:E,5,0)</f>
        <v>300</v>
      </c>
    </row>
    <row r="3557" spans="1:6" ht="15.75" hidden="1" customHeight="1" x14ac:dyDescent="0.35">
      <c r="A3557" s="1">
        <v>3556</v>
      </c>
      <c r="B3557" s="1">
        <v>684</v>
      </c>
      <c r="C3557" s="1">
        <v>58</v>
      </c>
      <c r="D3557" t="str">
        <f>VLOOKUP(B3557,Заказы!A:C,3,0)</f>
        <v>2023-08-23 16:15:00</v>
      </c>
      <c r="E3557" t="str">
        <f>VLOOKUP(C3557,Меню!A:E,4,0)</f>
        <v>Суши</v>
      </c>
      <c r="F3557">
        <f>VLOOKUP(C3557,Меню!A:E,5,0)</f>
        <v>200</v>
      </c>
    </row>
    <row r="3558" spans="1:6" ht="15.75" hidden="1" customHeight="1" x14ac:dyDescent="0.35">
      <c r="A3558" s="1">
        <v>3557</v>
      </c>
      <c r="B3558" s="1">
        <v>684</v>
      </c>
      <c r="C3558" s="1">
        <v>13</v>
      </c>
      <c r="D3558" t="str">
        <f>VLOOKUP(B3558,Заказы!A:C,3,0)</f>
        <v>2023-08-23 16:15:00</v>
      </c>
      <c r="E3558" t="str">
        <f>VLOOKUP(C3558,Меню!A:E,4,0)</f>
        <v>Первое</v>
      </c>
      <c r="F3558">
        <f>VLOOKUP(C3558,Меню!A:E,5,0)</f>
        <v>280</v>
      </c>
    </row>
    <row r="3559" spans="1:6" ht="15.75" hidden="1" customHeight="1" x14ac:dyDescent="0.35">
      <c r="A3559" s="1">
        <v>3558</v>
      </c>
      <c r="B3559" s="1">
        <v>684</v>
      </c>
      <c r="C3559" s="1">
        <v>56</v>
      </c>
      <c r="D3559" t="str">
        <f>VLOOKUP(B3559,Заказы!A:C,3,0)</f>
        <v>2023-08-23 16:15:00</v>
      </c>
      <c r="E3559" t="str">
        <f>VLOOKUP(C3559,Меню!A:E,4,0)</f>
        <v>Суши</v>
      </c>
      <c r="F3559">
        <f>VLOOKUP(C3559,Меню!A:E,5,0)</f>
        <v>200</v>
      </c>
    </row>
    <row r="3560" spans="1:6" ht="15.75" hidden="1" customHeight="1" x14ac:dyDescent="0.35">
      <c r="A3560" s="1">
        <v>3559</v>
      </c>
      <c r="B3560" s="1">
        <v>684</v>
      </c>
      <c r="C3560" s="1">
        <v>22</v>
      </c>
      <c r="D3560" t="str">
        <f>VLOOKUP(B3560,Заказы!A:C,3,0)</f>
        <v>2023-08-23 16:15:00</v>
      </c>
      <c r="E3560" t="str">
        <f>VLOOKUP(C3560,Меню!A:E,4,0)</f>
        <v>Салат</v>
      </c>
      <c r="F3560">
        <f>VLOOKUP(C3560,Меню!A:E,5,0)</f>
        <v>250</v>
      </c>
    </row>
    <row r="3561" spans="1:6" ht="15.75" hidden="1" customHeight="1" x14ac:dyDescent="0.35">
      <c r="A3561" s="1">
        <v>3560</v>
      </c>
      <c r="B3561" s="1">
        <v>685</v>
      </c>
      <c r="C3561" s="1">
        <v>23</v>
      </c>
      <c r="D3561" t="str">
        <f>VLOOKUP(B3561,Заказы!A:C,3,0)</f>
        <v>2023-08-23 16:31:00</v>
      </c>
      <c r="E3561" t="str">
        <f>VLOOKUP(C3561,Меню!A:E,4,0)</f>
        <v>Салат</v>
      </c>
      <c r="F3561">
        <f>VLOOKUP(C3561,Меню!A:E,5,0)</f>
        <v>250</v>
      </c>
    </row>
    <row r="3562" spans="1:6" ht="15.75" hidden="1" customHeight="1" x14ac:dyDescent="0.35">
      <c r="A3562" s="1">
        <v>3561</v>
      </c>
      <c r="B3562" s="1">
        <v>685</v>
      </c>
      <c r="C3562" s="1">
        <v>14</v>
      </c>
      <c r="D3562" t="str">
        <f>VLOOKUP(B3562,Заказы!A:C,3,0)</f>
        <v>2023-08-23 16:31:00</v>
      </c>
      <c r="E3562" t="str">
        <f>VLOOKUP(C3562,Меню!A:E,4,0)</f>
        <v>Первое</v>
      </c>
      <c r="F3562">
        <f>VLOOKUP(C3562,Меню!A:E,5,0)</f>
        <v>350</v>
      </c>
    </row>
    <row r="3563" spans="1:6" ht="15.75" hidden="1" customHeight="1" x14ac:dyDescent="0.35">
      <c r="A3563" s="1">
        <v>3562</v>
      </c>
      <c r="B3563" s="1">
        <v>685</v>
      </c>
      <c r="C3563" s="1">
        <v>42</v>
      </c>
      <c r="D3563" t="str">
        <f>VLOOKUP(B3563,Заказы!A:C,3,0)</f>
        <v>2023-08-23 16:31:00</v>
      </c>
      <c r="E3563" t="str">
        <f>VLOOKUP(C3563,Меню!A:E,4,0)</f>
        <v>Суши</v>
      </c>
      <c r="F3563">
        <f>VLOOKUP(C3563,Меню!A:E,5,0)</f>
        <v>250</v>
      </c>
    </row>
    <row r="3564" spans="1:6" ht="15.75" hidden="1" customHeight="1" x14ac:dyDescent="0.35">
      <c r="A3564" s="1">
        <v>3563</v>
      </c>
      <c r="B3564" s="1">
        <v>685</v>
      </c>
      <c r="C3564" s="1">
        <v>51</v>
      </c>
      <c r="D3564" t="str">
        <f>VLOOKUP(B3564,Заказы!A:C,3,0)</f>
        <v>2023-08-23 16:31:00</v>
      </c>
      <c r="E3564" t="str">
        <f>VLOOKUP(C3564,Меню!A:E,4,0)</f>
        <v>Суши</v>
      </c>
      <c r="F3564">
        <f>VLOOKUP(C3564,Меню!A:E,5,0)</f>
        <v>100</v>
      </c>
    </row>
    <row r="3565" spans="1:6" ht="15.75" hidden="1" customHeight="1" x14ac:dyDescent="0.35">
      <c r="A3565" s="1">
        <v>3564</v>
      </c>
      <c r="B3565" s="1">
        <v>685</v>
      </c>
      <c r="C3565" s="1">
        <v>43</v>
      </c>
      <c r="D3565" t="str">
        <f>VLOOKUP(B3565,Заказы!A:C,3,0)</f>
        <v>2023-08-23 16:31:00</v>
      </c>
      <c r="E3565" t="str">
        <f>VLOOKUP(C3565,Меню!A:E,4,0)</f>
        <v>Суши</v>
      </c>
      <c r="F3565">
        <f>VLOOKUP(C3565,Меню!A:E,5,0)</f>
        <v>250</v>
      </c>
    </row>
    <row r="3566" spans="1:6" ht="15.75" hidden="1" customHeight="1" x14ac:dyDescent="0.35">
      <c r="A3566" s="1">
        <v>3565</v>
      </c>
      <c r="B3566" s="1">
        <v>686</v>
      </c>
      <c r="C3566" s="1">
        <v>40</v>
      </c>
      <c r="D3566" t="str">
        <f>VLOOKUP(B3566,Заказы!A:C,3,0)</f>
        <v>2023-08-23 17:26:00</v>
      </c>
      <c r="E3566" t="str">
        <f>VLOOKUP(C3566,Меню!A:E,4,0)</f>
        <v>Десерт</v>
      </c>
      <c r="F3566">
        <f>VLOOKUP(C3566,Меню!A:E,5,0)</f>
        <v>150</v>
      </c>
    </row>
    <row r="3567" spans="1:6" ht="15.75" hidden="1" customHeight="1" x14ac:dyDescent="0.35">
      <c r="A3567" s="1">
        <v>3566</v>
      </c>
      <c r="B3567" s="1">
        <v>686</v>
      </c>
      <c r="C3567" s="1">
        <v>48</v>
      </c>
      <c r="D3567" t="str">
        <f>VLOOKUP(B3567,Заказы!A:C,3,0)</f>
        <v>2023-08-23 17:26:00</v>
      </c>
      <c r="E3567" t="str">
        <f>VLOOKUP(C3567,Меню!A:E,4,0)</f>
        <v>Суши</v>
      </c>
      <c r="F3567">
        <f>VLOOKUP(C3567,Меню!A:E,5,0)</f>
        <v>200</v>
      </c>
    </row>
    <row r="3568" spans="1:6" ht="15.75" hidden="1" customHeight="1" x14ac:dyDescent="0.35">
      <c r="A3568" s="1">
        <v>3567</v>
      </c>
      <c r="B3568" s="1">
        <v>686</v>
      </c>
      <c r="C3568" s="1">
        <v>59</v>
      </c>
      <c r="D3568" t="str">
        <f>VLOOKUP(B3568,Заказы!A:C,3,0)</f>
        <v>2023-08-23 17:26:00</v>
      </c>
      <c r="E3568" t="str">
        <f>VLOOKUP(C3568,Меню!A:E,4,0)</f>
        <v>Суши</v>
      </c>
      <c r="F3568">
        <f>VLOOKUP(C3568,Меню!A:E,5,0)</f>
        <v>300</v>
      </c>
    </row>
    <row r="3569" spans="1:6" ht="15.75" hidden="1" customHeight="1" x14ac:dyDescent="0.35">
      <c r="A3569" s="1">
        <v>3568</v>
      </c>
      <c r="B3569" s="1">
        <v>686</v>
      </c>
      <c r="C3569" s="1">
        <v>51</v>
      </c>
      <c r="D3569" t="str">
        <f>VLOOKUP(B3569,Заказы!A:C,3,0)</f>
        <v>2023-08-23 17:26:00</v>
      </c>
      <c r="E3569" t="str">
        <f>VLOOKUP(C3569,Меню!A:E,4,0)</f>
        <v>Суши</v>
      </c>
      <c r="F3569">
        <f>VLOOKUP(C3569,Меню!A:E,5,0)</f>
        <v>100</v>
      </c>
    </row>
    <row r="3570" spans="1:6" ht="15.75" hidden="1" customHeight="1" x14ac:dyDescent="0.35">
      <c r="A3570" s="1">
        <v>3569</v>
      </c>
      <c r="B3570" s="1">
        <v>686</v>
      </c>
      <c r="C3570" s="1">
        <v>21</v>
      </c>
      <c r="D3570" t="str">
        <f>VLOOKUP(B3570,Заказы!A:C,3,0)</f>
        <v>2023-08-23 17:26:00</v>
      </c>
      <c r="E3570" t="str">
        <f>VLOOKUP(C3570,Меню!A:E,4,0)</f>
        <v>Салат</v>
      </c>
      <c r="F3570">
        <f>VLOOKUP(C3570,Меню!A:E,5,0)</f>
        <v>250</v>
      </c>
    </row>
    <row r="3571" spans="1:6" ht="15.75" hidden="1" customHeight="1" x14ac:dyDescent="0.35">
      <c r="A3571" s="1">
        <v>3570</v>
      </c>
      <c r="B3571" s="1">
        <v>686</v>
      </c>
      <c r="C3571" s="1">
        <v>34</v>
      </c>
      <c r="D3571" t="str">
        <f>VLOOKUP(B3571,Заказы!A:C,3,0)</f>
        <v>2023-08-23 17:26:00</v>
      </c>
      <c r="E3571" t="str">
        <f>VLOOKUP(C3571,Меню!A:E,4,0)</f>
        <v>Десерт</v>
      </c>
      <c r="F3571">
        <f>VLOOKUP(C3571,Меню!A:E,5,0)</f>
        <v>150</v>
      </c>
    </row>
    <row r="3572" spans="1:6" ht="15.75" hidden="1" customHeight="1" x14ac:dyDescent="0.35">
      <c r="A3572" s="1">
        <v>3571</v>
      </c>
      <c r="B3572" s="1">
        <v>687</v>
      </c>
      <c r="C3572" s="1">
        <v>19</v>
      </c>
      <c r="D3572" t="str">
        <f>VLOOKUP(B3572,Заказы!A:C,3,0)</f>
        <v>2023-08-23 19:36:00</v>
      </c>
      <c r="E3572" t="str">
        <f>VLOOKUP(C3572,Меню!A:E,4,0)</f>
        <v>Первое</v>
      </c>
      <c r="F3572">
        <f>VLOOKUP(C3572,Меню!A:E,5,0)</f>
        <v>300</v>
      </c>
    </row>
    <row r="3573" spans="1:6" ht="15.75" hidden="1" customHeight="1" x14ac:dyDescent="0.35">
      <c r="A3573" s="1">
        <v>3572</v>
      </c>
      <c r="B3573" s="1">
        <v>687</v>
      </c>
      <c r="C3573" s="1">
        <v>43</v>
      </c>
      <c r="D3573" t="str">
        <f>VLOOKUP(B3573,Заказы!A:C,3,0)</f>
        <v>2023-08-23 19:36:00</v>
      </c>
      <c r="E3573" t="str">
        <f>VLOOKUP(C3573,Меню!A:E,4,0)</f>
        <v>Суши</v>
      </c>
      <c r="F3573">
        <f>VLOOKUP(C3573,Меню!A:E,5,0)</f>
        <v>250</v>
      </c>
    </row>
    <row r="3574" spans="1:6" ht="15.75" hidden="1" customHeight="1" x14ac:dyDescent="0.35">
      <c r="A3574" s="1">
        <v>3573</v>
      </c>
      <c r="B3574" s="1">
        <v>687</v>
      </c>
      <c r="C3574" s="1">
        <v>59</v>
      </c>
      <c r="D3574" t="str">
        <f>VLOOKUP(B3574,Заказы!A:C,3,0)</f>
        <v>2023-08-23 19:36:00</v>
      </c>
      <c r="E3574" t="str">
        <f>VLOOKUP(C3574,Меню!A:E,4,0)</f>
        <v>Суши</v>
      </c>
      <c r="F3574">
        <f>VLOOKUP(C3574,Меню!A:E,5,0)</f>
        <v>300</v>
      </c>
    </row>
    <row r="3575" spans="1:6" ht="15.75" hidden="1" customHeight="1" x14ac:dyDescent="0.35">
      <c r="A3575" s="1">
        <v>3574</v>
      </c>
      <c r="B3575" s="1">
        <v>687</v>
      </c>
      <c r="C3575" s="1">
        <v>40</v>
      </c>
      <c r="D3575" t="str">
        <f>VLOOKUP(B3575,Заказы!A:C,3,0)</f>
        <v>2023-08-23 19:36:00</v>
      </c>
      <c r="E3575" t="str">
        <f>VLOOKUP(C3575,Меню!A:E,4,0)</f>
        <v>Десерт</v>
      </c>
      <c r="F3575">
        <f>VLOOKUP(C3575,Меню!A:E,5,0)</f>
        <v>150</v>
      </c>
    </row>
    <row r="3576" spans="1:6" ht="15.75" hidden="1" customHeight="1" x14ac:dyDescent="0.35">
      <c r="A3576" s="1">
        <v>3575</v>
      </c>
      <c r="B3576" s="1">
        <v>688</v>
      </c>
      <c r="C3576" s="1">
        <v>57</v>
      </c>
      <c r="D3576" t="str">
        <f>VLOOKUP(B3576,Заказы!A:C,3,0)</f>
        <v>2023-08-23 21:32:00</v>
      </c>
      <c r="E3576" t="str">
        <f>VLOOKUP(C3576,Меню!A:E,4,0)</f>
        <v>Суши</v>
      </c>
      <c r="F3576">
        <f>VLOOKUP(C3576,Меню!A:E,5,0)</f>
        <v>200</v>
      </c>
    </row>
    <row r="3577" spans="1:6" ht="15.75" hidden="1" customHeight="1" x14ac:dyDescent="0.35">
      <c r="A3577" s="1">
        <v>3576</v>
      </c>
      <c r="B3577" s="1">
        <v>688</v>
      </c>
      <c r="C3577" s="1">
        <v>46</v>
      </c>
      <c r="D3577" t="str">
        <f>VLOOKUP(B3577,Заказы!A:C,3,0)</f>
        <v>2023-08-23 21:32:00</v>
      </c>
      <c r="E3577" t="str">
        <f>VLOOKUP(C3577,Меню!A:E,4,0)</f>
        <v>Суши</v>
      </c>
      <c r="F3577">
        <f>VLOOKUP(C3577,Меню!A:E,5,0)</f>
        <v>200</v>
      </c>
    </row>
    <row r="3578" spans="1:6" ht="15.75" hidden="1" customHeight="1" x14ac:dyDescent="0.35">
      <c r="A3578" s="1">
        <v>3577</v>
      </c>
      <c r="B3578" s="1">
        <v>689</v>
      </c>
      <c r="C3578" s="1">
        <v>13</v>
      </c>
      <c r="D3578" t="str">
        <f>VLOOKUP(B3578,Заказы!A:C,3,0)</f>
        <v>2023-08-24 18:41:00</v>
      </c>
      <c r="E3578" t="str">
        <f>VLOOKUP(C3578,Меню!A:E,4,0)</f>
        <v>Первое</v>
      </c>
      <c r="F3578">
        <f>VLOOKUP(C3578,Меню!A:E,5,0)</f>
        <v>280</v>
      </c>
    </row>
    <row r="3579" spans="1:6" ht="15.75" hidden="1" customHeight="1" x14ac:dyDescent="0.35">
      <c r="A3579" s="1">
        <v>3578</v>
      </c>
      <c r="B3579" s="1">
        <v>690</v>
      </c>
      <c r="C3579" s="1">
        <v>11</v>
      </c>
      <c r="D3579" t="str">
        <f>VLOOKUP(B3579,Заказы!A:C,3,0)</f>
        <v>2023-08-24 20:22:00</v>
      </c>
      <c r="E3579" t="str">
        <f>VLOOKUP(C3579,Меню!A:E,4,0)</f>
        <v>Первое</v>
      </c>
      <c r="F3579">
        <f>VLOOKUP(C3579,Меню!A:E,5,0)</f>
        <v>300</v>
      </c>
    </row>
    <row r="3580" spans="1:6" ht="15.75" hidden="1" customHeight="1" x14ac:dyDescent="0.35">
      <c r="A3580" s="1">
        <v>3579</v>
      </c>
      <c r="B3580" s="1">
        <v>690</v>
      </c>
      <c r="C3580" s="1">
        <v>11</v>
      </c>
      <c r="D3580" t="str">
        <f>VLOOKUP(B3580,Заказы!A:C,3,0)</f>
        <v>2023-08-24 20:22:00</v>
      </c>
      <c r="E3580" t="str">
        <f>VLOOKUP(C3580,Меню!A:E,4,0)</f>
        <v>Первое</v>
      </c>
      <c r="F3580">
        <f>VLOOKUP(C3580,Меню!A:E,5,0)</f>
        <v>300</v>
      </c>
    </row>
    <row r="3581" spans="1:6" ht="15.75" hidden="1" customHeight="1" x14ac:dyDescent="0.35">
      <c r="A3581" s="1">
        <v>3580</v>
      </c>
      <c r="B3581" s="1">
        <v>690</v>
      </c>
      <c r="C3581" s="1">
        <v>21</v>
      </c>
      <c r="D3581" t="str">
        <f>VLOOKUP(B3581,Заказы!A:C,3,0)</f>
        <v>2023-08-24 20:22:00</v>
      </c>
      <c r="E3581" t="str">
        <f>VLOOKUP(C3581,Меню!A:E,4,0)</f>
        <v>Салат</v>
      </c>
      <c r="F3581">
        <f>VLOOKUP(C3581,Меню!A:E,5,0)</f>
        <v>250</v>
      </c>
    </row>
    <row r="3582" spans="1:6" ht="15.75" hidden="1" customHeight="1" x14ac:dyDescent="0.35">
      <c r="A3582" s="1">
        <v>3581</v>
      </c>
      <c r="B3582" s="1">
        <v>690</v>
      </c>
      <c r="C3582" s="1">
        <v>3</v>
      </c>
      <c r="D3582" t="str">
        <f>VLOOKUP(B3582,Заказы!A:C,3,0)</f>
        <v>2023-08-24 20:22:00</v>
      </c>
      <c r="E3582" t="str">
        <f>VLOOKUP(C3582,Меню!A:E,4,0)</f>
        <v>Завтрак</v>
      </c>
      <c r="F3582">
        <f>VLOOKUP(C3582,Меню!A:E,5,0)</f>
        <v>150</v>
      </c>
    </row>
    <row r="3583" spans="1:6" ht="15.75" hidden="1" customHeight="1" x14ac:dyDescent="0.35">
      <c r="A3583" s="1">
        <v>3582</v>
      </c>
      <c r="B3583" s="1">
        <v>690</v>
      </c>
      <c r="C3583" s="1">
        <v>44</v>
      </c>
      <c r="D3583" t="str">
        <f>VLOOKUP(B3583,Заказы!A:C,3,0)</f>
        <v>2023-08-24 20:22:00</v>
      </c>
      <c r="E3583" t="str">
        <f>VLOOKUP(C3583,Меню!A:E,4,0)</f>
        <v>Суши</v>
      </c>
      <c r="F3583">
        <f>VLOOKUP(C3583,Меню!A:E,5,0)</f>
        <v>250</v>
      </c>
    </row>
    <row r="3584" spans="1:6" ht="15.75" hidden="1" customHeight="1" x14ac:dyDescent="0.35">
      <c r="A3584" s="1">
        <v>3583</v>
      </c>
      <c r="B3584" s="1">
        <v>690</v>
      </c>
      <c r="C3584" s="1">
        <v>25</v>
      </c>
      <c r="D3584" t="str">
        <f>VLOOKUP(B3584,Заказы!A:C,3,0)</f>
        <v>2023-08-24 20:22:00</v>
      </c>
      <c r="E3584" t="str">
        <f>VLOOKUP(C3584,Меню!A:E,4,0)</f>
        <v>Салат</v>
      </c>
      <c r="F3584">
        <f>VLOOKUP(C3584,Меню!A:E,5,0)</f>
        <v>250</v>
      </c>
    </row>
    <row r="3585" spans="1:6" ht="15.75" hidden="1" customHeight="1" x14ac:dyDescent="0.35">
      <c r="A3585" s="1">
        <v>3584</v>
      </c>
      <c r="B3585" s="1">
        <v>690</v>
      </c>
      <c r="C3585" s="1">
        <v>48</v>
      </c>
      <c r="D3585" t="str">
        <f>VLOOKUP(B3585,Заказы!A:C,3,0)</f>
        <v>2023-08-24 20:22:00</v>
      </c>
      <c r="E3585" t="str">
        <f>VLOOKUP(C3585,Меню!A:E,4,0)</f>
        <v>Суши</v>
      </c>
      <c r="F3585">
        <f>VLOOKUP(C3585,Меню!A:E,5,0)</f>
        <v>200</v>
      </c>
    </row>
    <row r="3586" spans="1:6" ht="15.75" hidden="1" customHeight="1" x14ac:dyDescent="0.35">
      <c r="A3586" s="1">
        <v>3585</v>
      </c>
      <c r="B3586" s="1">
        <v>690</v>
      </c>
      <c r="C3586" s="1">
        <v>55</v>
      </c>
      <c r="D3586" t="str">
        <f>VLOOKUP(B3586,Заказы!A:C,3,0)</f>
        <v>2023-08-24 20:22:00</v>
      </c>
      <c r="E3586" t="str">
        <f>VLOOKUP(C3586,Меню!A:E,4,0)</f>
        <v>Суши</v>
      </c>
      <c r="F3586">
        <f>VLOOKUP(C3586,Меню!A:E,5,0)</f>
        <v>100</v>
      </c>
    </row>
    <row r="3587" spans="1:6" ht="15.75" hidden="1" customHeight="1" x14ac:dyDescent="0.35">
      <c r="A3587" s="1">
        <v>3586</v>
      </c>
      <c r="B3587" s="1">
        <v>690</v>
      </c>
      <c r="C3587" s="1">
        <v>57</v>
      </c>
      <c r="D3587" t="str">
        <f>VLOOKUP(B3587,Заказы!A:C,3,0)</f>
        <v>2023-08-24 20:22:00</v>
      </c>
      <c r="E3587" t="str">
        <f>VLOOKUP(C3587,Меню!A:E,4,0)</f>
        <v>Суши</v>
      </c>
      <c r="F3587">
        <f>VLOOKUP(C3587,Меню!A:E,5,0)</f>
        <v>200</v>
      </c>
    </row>
    <row r="3588" spans="1:6" ht="15.75" hidden="1" customHeight="1" x14ac:dyDescent="0.35">
      <c r="A3588" s="1">
        <v>3587</v>
      </c>
      <c r="B3588" s="1">
        <v>691</v>
      </c>
      <c r="C3588" s="1">
        <v>29</v>
      </c>
      <c r="D3588" t="str">
        <f>VLOOKUP(B3588,Заказы!A:C,3,0)</f>
        <v>2023-08-24 22:39:00</v>
      </c>
      <c r="E3588" t="str">
        <f>VLOOKUP(C3588,Меню!A:E,4,0)</f>
        <v>Салат</v>
      </c>
      <c r="F3588">
        <f>VLOOKUP(C3588,Меню!A:E,5,0)</f>
        <v>250</v>
      </c>
    </row>
    <row r="3589" spans="1:6" ht="15.75" hidden="1" customHeight="1" x14ac:dyDescent="0.35">
      <c r="A3589" s="1">
        <v>3588</v>
      </c>
      <c r="B3589" s="1">
        <v>691</v>
      </c>
      <c r="C3589" s="1">
        <v>11</v>
      </c>
      <c r="D3589" t="str">
        <f>VLOOKUP(B3589,Заказы!A:C,3,0)</f>
        <v>2023-08-24 22:39:00</v>
      </c>
      <c r="E3589" t="str">
        <f>VLOOKUP(C3589,Меню!A:E,4,0)</f>
        <v>Первое</v>
      </c>
      <c r="F3589">
        <f>VLOOKUP(C3589,Меню!A:E,5,0)</f>
        <v>300</v>
      </c>
    </row>
    <row r="3590" spans="1:6" ht="15.75" hidden="1" customHeight="1" x14ac:dyDescent="0.35">
      <c r="A3590" s="1">
        <v>3589</v>
      </c>
      <c r="B3590" s="1">
        <v>691</v>
      </c>
      <c r="C3590" s="1">
        <v>36</v>
      </c>
      <c r="D3590" t="str">
        <f>VLOOKUP(B3590,Заказы!A:C,3,0)</f>
        <v>2023-08-24 22:39:00</v>
      </c>
      <c r="E3590" t="str">
        <f>VLOOKUP(C3590,Меню!A:E,4,0)</f>
        <v>Десерт</v>
      </c>
      <c r="F3590">
        <f>VLOOKUP(C3590,Меню!A:E,5,0)</f>
        <v>150</v>
      </c>
    </row>
    <row r="3591" spans="1:6" ht="15.75" hidden="1" customHeight="1" x14ac:dyDescent="0.35">
      <c r="A3591" s="1">
        <v>3590</v>
      </c>
      <c r="B3591" s="1">
        <v>691</v>
      </c>
      <c r="C3591" s="1">
        <v>11</v>
      </c>
      <c r="D3591" t="str">
        <f>VLOOKUP(B3591,Заказы!A:C,3,0)</f>
        <v>2023-08-24 22:39:00</v>
      </c>
      <c r="E3591" t="str">
        <f>VLOOKUP(C3591,Меню!A:E,4,0)</f>
        <v>Первое</v>
      </c>
      <c r="F3591">
        <f>VLOOKUP(C3591,Меню!A:E,5,0)</f>
        <v>300</v>
      </c>
    </row>
    <row r="3592" spans="1:6" ht="15.75" hidden="1" customHeight="1" x14ac:dyDescent="0.35">
      <c r="A3592" s="1">
        <v>3591</v>
      </c>
      <c r="B3592" s="1">
        <v>691</v>
      </c>
      <c r="C3592" s="1">
        <v>25</v>
      </c>
      <c r="D3592" t="str">
        <f>VLOOKUP(B3592,Заказы!A:C,3,0)</f>
        <v>2023-08-24 22:39:00</v>
      </c>
      <c r="E3592" t="str">
        <f>VLOOKUP(C3592,Меню!A:E,4,0)</f>
        <v>Салат</v>
      </c>
      <c r="F3592">
        <f>VLOOKUP(C3592,Меню!A:E,5,0)</f>
        <v>250</v>
      </c>
    </row>
    <row r="3593" spans="1:6" ht="15.75" hidden="1" customHeight="1" x14ac:dyDescent="0.35">
      <c r="A3593" s="1">
        <v>3592</v>
      </c>
      <c r="B3593" s="1">
        <v>691</v>
      </c>
      <c r="C3593" s="1">
        <v>22</v>
      </c>
      <c r="D3593" t="str">
        <f>VLOOKUP(B3593,Заказы!A:C,3,0)</f>
        <v>2023-08-24 22:39:00</v>
      </c>
      <c r="E3593" t="str">
        <f>VLOOKUP(C3593,Меню!A:E,4,0)</f>
        <v>Салат</v>
      </c>
      <c r="F3593">
        <f>VLOOKUP(C3593,Меню!A:E,5,0)</f>
        <v>250</v>
      </c>
    </row>
    <row r="3594" spans="1:6" ht="15.75" hidden="1" customHeight="1" x14ac:dyDescent="0.35">
      <c r="A3594" s="1">
        <v>3593</v>
      </c>
      <c r="B3594" s="1">
        <v>691</v>
      </c>
      <c r="C3594" s="1">
        <v>5</v>
      </c>
      <c r="D3594" t="str">
        <f>VLOOKUP(B3594,Заказы!A:C,3,0)</f>
        <v>2023-08-24 22:39:00</v>
      </c>
      <c r="E3594" t="str">
        <f>VLOOKUP(C3594,Меню!A:E,4,0)</f>
        <v>Завтрак</v>
      </c>
      <c r="F3594">
        <f>VLOOKUP(C3594,Меню!A:E,5,0)</f>
        <v>220</v>
      </c>
    </row>
    <row r="3595" spans="1:6" ht="15.75" hidden="1" customHeight="1" x14ac:dyDescent="0.35">
      <c r="A3595" s="1">
        <v>3594</v>
      </c>
      <c r="B3595" s="1">
        <v>691</v>
      </c>
      <c r="C3595" s="1">
        <v>28</v>
      </c>
      <c r="D3595" t="str">
        <f>VLOOKUP(B3595,Заказы!A:C,3,0)</f>
        <v>2023-08-24 22:39:00</v>
      </c>
      <c r="E3595" t="str">
        <f>VLOOKUP(C3595,Меню!A:E,4,0)</f>
        <v>Салат</v>
      </c>
      <c r="F3595">
        <f>VLOOKUP(C3595,Меню!A:E,5,0)</f>
        <v>250</v>
      </c>
    </row>
    <row r="3596" spans="1:6" ht="15.75" hidden="1" customHeight="1" x14ac:dyDescent="0.35">
      <c r="A3596" s="1">
        <v>3595</v>
      </c>
      <c r="B3596" s="1">
        <v>691</v>
      </c>
      <c r="C3596" s="1">
        <v>52</v>
      </c>
      <c r="D3596" t="str">
        <f>VLOOKUP(B3596,Заказы!A:C,3,0)</f>
        <v>2023-08-24 22:39:00</v>
      </c>
      <c r="E3596" t="str">
        <f>VLOOKUP(C3596,Меню!A:E,4,0)</f>
        <v>Суши</v>
      </c>
      <c r="F3596">
        <f>VLOOKUP(C3596,Меню!A:E,5,0)</f>
        <v>100</v>
      </c>
    </row>
    <row r="3597" spans="1:6" ht="15.75" hidden="1" customHeight="1" x14ac:dyDescent="0.35">
      <c r="A3597" s="1">
        <v>3596</v>
      </c>
      <c r="B3597" s="1">
        <v>692</v>
      </c>
      <c r="C3597" s="1">
        <v>41</v>
      </c>
      <c r="D3597" t="str">
        <f>VLOOKUP(B3597,Заказы!A:C,3,0)</f>
        <v>2023-08-24 22:57:00</v>
      </c>
      <c r="E3597" t="str">
        <f>VLOOKUP(C3597,Меню!A:E,4,0)</f>
        <v>Суши</v>
      </c>
      <c r="F3597">
        <f>VLOOKUP(C3597,Меню!A:E,5,0)</f>
        <v>220</v>
      </c>
    </row>
    <row r="3598" spans="1:6" ht="15.75" hidden="1" customHeight="1" x14ac:dyDescent="0.35">
      <c r="A3598" s="1">
        <v>3597</v>
      </c>
      <c r="B3598" s="1">
        <v>692</v>
      </c>
      <c r="C3598" s="1">
        <v>18</v>
      </c>
      <c r="D3598" t="str">
        <f>VLOOKUP(B3598,Заказы!A:C,3,0)</f>
        <v>2023-08-24 22:57:00</v>
      </c>
      <c r="E3598" t="str">
        <f>VLOOKUP(C3598,Меню!A:E,4,0)</f>
        <v>Первое</v>
      </c>
      <c r="F3598">
        <f>VLOOKUP(C3598,Меню!A:E,5,0)</f>
        <v>300</v>
      </c>
    </row>
    <row r="3599" spans="1:6" ht="15.75" hidden="1" customHeight="1" x14ac:dyDescent="0.35">
      <c r="A3599" s="1">
        <v>3598</v>
      </c>
      <c r="B3599" s="1">
        <v>692</v>
      </c>
      <c r="C3599" s="1">
        <v>37</v>
      </c>
      <c r="D3599" t="str">
        <f>VLOOKUP(B3599,Заказы!A:C,3,0)</f>
        <v>2023-08-24 22:57:00</v>
      </c>
      <c r="E3599" t="str">
        <f>VLOOKUP(C3599,Меню!A:E,4,0)</f>
        <v>Десерт</v>
      </c>
      <c r="F3599">
        <f>VLOOKUP(C3599,Меню!A:E,5,0)</f>
        <v>100</v>
      </c>
    </row>
    <row r="3600" spans="1:6" ht="15.75" hidden="1" customHeight="1" x14ac:dyDescent="0.35">
      <c r="A3600" s="1">
        <v>3599</v>
      </c>
      <c r="B3600" s="1">
        <v>692</v>
      </c>
      <c r="C3600" s="1">
        <v>21</v>
      </c>
      <c r="D3600" t="str">
        <f>VLOOKUP(B3600,Заказы!A:C,3,0)</f>
        <v>2023-08-24 22:57:00</v>
      </c>
      <c r="E3600" t="str">
        <f>VLOOKUP(C3600,Меню!A:E,4,0)</f>
        <v>Салат</v>
      </c>
      <c r="F3600">
        <f>VLOOKUP(C3600,Меню!A:E,5,0)</f>
        <v>250</v>
      </c>
    </row>
    <row r="3601" spans="1:6" ht="15.75" hidden="1" customHeight="1" x14ac:dyDescent="0.35">
      <c r="A3601" s="1">
        <v>3600</v>
      </c>
      <c r="B3601" s="1">
        <v>693</v>
      </c>
      <c r="C3601" s="1">
        <v>39</v>
      </c>
      <c r="D3601" t="str">
        <f>VLOOKUP(B3601,Заказы!A:C,3,0)</f>
        <v>2023-08-25 18:16:00</v>
      </c>
      <c r="E3601" t="str">
        <f>VLOOKUP(C3601,Меню!A:E,4,0)</f>
        <v>Десерт</v>
      </c>
      <c r="F3601">
        <f>VLOOKUP(C3601,Меню!A:E,5,0)</f>
        <v>150</v>
      </c>
    </row>
    <row r="3602" spans="1:6" ht="15.75" hidden="1" customHeight="1" x14ac:dyDescent="0.35">
      <c r="A3602" s="1">
        <v>3601</v>
      </c>
      <c r="B3602" s="1">
        <v>693</v>
      </c>
      <c r="C3602" s="1">
        <v>18</v>
      </c>
      <c r="D3602" t="str">
        <f>VLOOKUP(B3602,Заказы!A:C,3,0)</f>
        <v>2023-08-25 18:16:00</v>
      </c>
      <c r="E3602" t="str">
        <f>VLOOKUP(C3602,Меню!A:E,4,0)</f>
        <v>Первое</v>
      </c>
      <c r="F3602">
        <f>VLOOKUP(C3602,Меню!A:E,5,0)</f>
        <v>300</v>
      </c>
    </row>
    <row r="3603" spans="1:6" ht="15.75" hidden="1" customHeight="1" x14ac:dyDescent="0.35">
      <c r="A3603" s="1">
        <v>3602</v>
      </c>
      <c r="B3603" s="1">
        <v>693</v>
      </c>
      <c r="C3603" s="1">
        <v>10</v>
      </c>
      <c r="D3603" t="str">
        <f>VLOOKUP(B3603,Заказы!A:C,3,0)</f>
        <v>2023-08-25 18:16:00</v>
      </c>
      <c r="E3603" t="str">
        <f>VLOOKUP(C3603,Меню!A:E,4,0)</f>
        <v>Завтрак</v>
      </c>
      <c r="F3603">
        <f>VLOOKUP(C3603,Меню!A:E,5,0)</f>
        <v>200</v>
      </c>
    </row>
    <row r="3604" spans="1:6" ht="15.75" hidden="1" customHeight="1" x14ac:dyDescent="0.35">
      <c r="A3604" s="1">
        <v>3603</v>
      </c>
      <c r="B3604" s="1">
        <v>693</v>
      </c>
      <c r="C3604" s="1">
        <v>47</v>
      </c>
      <c r="D3604" t="str">
        <f>VLOOKUP(B3604,Заказы!A:C,3,0)</f>
        <v>2023-08-25 18:16:00</v>
      </c>
      <c r="E3604" t="str">
        <f>VLOOKUP(C3604,Меню!A:E,4,0)</f>
        <v>Суши</v>
      </c>
      <c r="F3604">
        <f>VLOOKUP(C3604,Меню!A:E,5,0)</f>
        <v>200</v>
      </c>
    </row>
    <row r="3605" spans="1:6" ht="15.75" hidden="1" customHeight="1" x14ac:dyDescent="0.35">
      <c r="A3605" s="1">
        <v>3604</v>
      </c>
      <c r="B3605" s="1">
        <v>694</v>
      </c>
      <c r="C3605" s="1">
        <v>44</v>
      </c>
      <c r="D3605" t="str">
        <f>VLOOKUP(B3605,Заказы!A:C,3,0)</f>
        <v>2023-08-25 19:22:00</v>
      </c>
      <c r="E3605" t="str">
        <f>VLOOKUP(C3605,Меню!A:E,4,0)</f>
        <v>Суши</v>
      </c>
      <c r="F3605">
        <f>VLOOKUP(C3605,Меню!A:E,5,0)</f>
        <v>250</v>
      </c>
    </row>
    <row r="3606" spans="1:6" ht="15.75" hidden="1" customHeight="1" x14ac:dyDescent="0.35">
      <c r="A3606" s="1">
        <v>3605</v>
      </c>
      <c r="B3606" s="1">
        <v>694</v>
      </c>
      <c r="C3606" s="1">
        <v>17</v>
      </c>
      <c r="D3606" t="str">
        <f>VLOOKUP(B3606,Заказы!A:C,3,0)</f>
        <v>2023-08-25 19:22:00</v>
      </c>
      <c r="E3606" t="str">
        <f>VLOOKUP(C3606,Меню!A:E,4,0)</f>
        <v>Первое</v>
      </c>
      <c r="F3606">
        <f>VLOOKUP(C3606,Меню!A:E,5,0)</f>
        <v>250</v>
      </c>
    </row>
    <row r="3607" spans="1:6" ht="15.75" hidden="1" customHeight="1" x14ac:dyDescent="0.35">
      <c r="A3607" s="1">
        <v>3606</v>
      </c>
      <c r="B3607" s="1">
        <v>694</v>
      </c>
      <c r="C3607" s="1">
        <v>38</v>
      </c>
      <c r="D3607" t="str">
        <f>VLOOKUP(B3607,Заказы!A:C,3,0)</f>
        <v>2023-08-25 19:22:00</v>
      </c>
      <c r="E3607" t="str">
        <f>VLOOKUP(C3607,Меню!A:E,4,0)</f>
        <v>Десерт</v>
      </c>
      <c r="F3607">
        <f>VLOOKUP(C3607,Меню!A:E,5,0)</f>
        <v>150</v>
      </c>
    </row>
    <row r="3608" spans="1:6" ht="15.75" hidden="1" customHeight="1" x14ac:dyDescent="0.35">
      <c r="A3608" s="1">
        <v>3607</v>
      </c>
      <c r="B3608" s="1">
        <v>694</v>
      </c>
      <c r="C3608" s="1">
        <v>5</v>
      </c>
      <c r="D3608" t="str">
        <f>VLOOKUP(B3608,Заказы!A:C,3,0)</f>
        <v>2023-08-25 19:22:00</v>
      </c>
      <c r="E3608" t="str">
        <f>VLOOKUP(C3608,Меню!A:E,4,0)</f>
        <v>Завтрак</v>
      </c>
      <c r="F3608">
        <f>VLOOKUP(C3608,Меню!A:E,5,0)</f>
        <v>220</v>
      </c>
    </row>
    <row r="3609" spans="1:6" ht="15.75" hidden="1" customHeight="1" x14ac:dyDescent="0.35">
      <c r="A3609" s="1">
        <v>3608</v>
      </c>
      <c r="B3609" s="1">
        <v>694</v>
      </c>
      <c r="C3609" s="1">
        <v>45</v>
      </c>
      <c r="D3609" t="str">
        <f>VLOOKUP(B3609,Заказы!A:C,3,0)</f>
        <v>2023-08-25 19:22:00</v>
      </c>
      <c r="E3609" t="str">
        <f>VLOOKUP(C3609,Меню!A:E,4,0)</f>
        <v>Суши</v>
      </c>
      <c r="F3609">
        <f>VLOOKUP(C3609,Меню!A:E,5,0)</f>
        <v>200</v>
      </c>
    </row>
    <row r="3610" spans="1:6" ht="15.75" hidden="1" customHeight="1" x14ac:dyDescent="0.35">
      <c r="A3610" s="1">
        <v>3609</v>
      </c>
      <c r="B3610" s="1">
        <v>694</v>
      </c>
      <c r="C3610" s="1">
        <v>12</v>
      </c>
      <c r="D3610" t="str">
        <f>VLOOKUP(B3610,Заказы!A:C,3,0)</f>
        <v>2023-08-25 19:22:00</v>
      </c>
      <c r="E3610" t="str">
        <f>VLOOKUP(C3610,Меню!A:E,4,0)</f>
        <v>Первое</v>
      </c>
      <c r="F3610">
        <f>VLOOKUP(C3610,Меню!A:E,5,0)</f>
        <v>300</v>
      </c>
    </row>
    <row r="3611" spans="1:6" ht="15.75" hidden="1" customHeight="1" x14ac:dyDescent="0.35">
      <c r="A3611" s="1">
        <v>3610</v>
      </c>
      <c r="B3611" s="1">
        <v>694</v>
      </c>
      <c r="C3611" s="1">
        <v>13</v>
      </c>
      <c r="D3611" t="str">
        <f>VLOOKUP(B3611,Заказы!A:C,3,0)</f>
        <v>2023-08-25 19:22:00</v>
      </c>
      <c r="E3611" t="str">
        <f>VLOOKUP(C3611,Меню!A:E,4,0)</f>
        <v>Первое</v>
      </c>
      <c r="F3611">
        <f>VLOOKUP(C3611,Меню!A:E,5,0)</f>
        <v>280</v>
      </c>
    </row>
    <row r="3612" spans="1:6" ht="15.75" hidden="1" customHeight="1" x14ac:dyDescent="0.35">
      <c r="A3612" s="1">
        <v>3611</v>
      </c>
      <c r="B3612" s="1">
        <v>694</v>
      </c>
      <c r="C3612" s="1">
        <v>34</v>
      </c>
      <c r="D3612" t="str">
        <f>VLOOKUP(B3612,Заказы!A:C,3,0)</f>
        <v>2023-08-25 19:22:00</v>
      </c>
      <c r="E3612" t="str">
        <f>VLOOKUP(C3612,Меню!A:E,4,0)</f>
        <v>Десерт</v>
      </c>
      <c r="F3612">
        <f>VLOOKUP(C3612,Меню!A:E,5,0)</f>
        <v>150</v>
      </c>
    </row>
    <row r="3613" spans="1:6" ht="15.75" hidden="1" customHeight="1" x14ac:dyDescent="0.35">
      <c r="A3613" s="1">
        <v>3612</v>
      </c>
      <c r="B3613" s="1">
        <v>694</v>
      </c>
      <c r="C3613" s="1">
        <v>40</v>
      </c>
      <c r="D3613" t="str">
        <f>VLOOKUP(B3613,Заказы!A:C,3,0)</f>
        <v>2023-08-25 19:22:00</v>
      </c>
      <c r="E3613" t="str">
        <f>VLOOKUP(C3613,Меню!A:E,4,0)</f>
        <v>Десерт</v>
      </c>
      <c r="F3613">
        <f>VLOOKUP(C3613,Меню!A:E,5,0)</f>
        <v>150</v>
      </c>
    </row>
    <row r="3614" spans="1:6" ht="15.75" hidden="1" customHeight="1" x14ac:dyDescent="0.35">
      <c r="A3614" s="1">
        <v>3613</v>
      </c>
      <c r="B3614" s="1">
        <v>694</v>
      </c>
      <c r="C3614" s="1">
        <v>58</v>
      </c>
      <c r="D3614" t="str">
        <f>VLOOKUP(B3614,Заказы!A:C,3,0)</f>
        <v>2023-08-25 19:22:00</v>
      </c>
      <c r="E3614" t="str">
        <f>VLOOKUP(C3614,Меню!A:E,4,0)</f>
        <v>Суши</v>
      </c>
      <c r="F3614">
        <f>VLOOKUP(C3614,Меню!A:E,5,0)</f>
        <v>200</v>
      </c>
    </row>
    <row r="3615" spans="1:6" ht="15.75" hidden="1" customHeight="1" x14ac:dyDescent="0.35">
      <c r="A3615" s="1">
        <v>3614</v>
      </c>
      <c r="B3615" s="1">
        <v>695</v>
      </c>
      <c r="C3615" s="1">
        <v>25</v>
      </c>
      <c r="D3615" t="str">
        <f>VLOOKUP(B3615,Заказы!A:C,3,0)</f>
        <v>2023-08-25 20:18:00</v>
      </c>
      <c r="E3615" t="str">
        <f>VLOOKUP(C3615,Меню!A:E,4,0)</f>
        <v>Салат</v>
      </c>
      <c r="F3615">
        <f>VLOOKUP(C3615,Меню!A:E,5,0)</f>
        <v>250</v>
      </c>
    </row>
    <row r="3616" spans="1:6" ht="15.75" hidden="1" customHeight="1" x14ac:dyDescent="0.35">
      <c r="A3616" s="1">
        <v>3615</v>
      </c>
      <c r="B3616" s="1">
        <v>695</v>
      </c>
      <c r="C3616" s="1">
        <v>46</v>
      </c>
      <c r="D3616" t="str">
        <f>VLOOKUP(B3616,Заказы!A:C,3,0)</f>
        <v>2023-08-25 20:18:00</v>
      </c>
      <c r="E3616" t="str">
        <f>VLOOKUP(C3616,Меню!A:E,4,0)</f>
        <v>Суши</v>
      </c>
      <c r="F3616">
        <f>VLOOKUP(C3616,Меню!A:E,5,0)</f>
        <v>200</v>
      </c>
    </row>
    <row r="3617" spans="1:6" ht="15.75" hidden="1" customHeight="1" x14ac:dyDescent="0.35">
      <c r="A3617" s="1">
        <v>3616</v>
      </c>
      <c r="B3617" s="1">
        <v>695</v>
      </c>
      <c r="C3617" s="1">
        <v>31</v>
      </c>
      <c r="D3617" t="str">
        <f>VLOOKUP(B3617,Заказы!A:C,3,0)</f>
        <v>2023-08-25 20:18:00</v>
      </c>
      <c r="E3617" t="str">
        <f>VLOOKUP(C3617,Меню!A:E,4,0)</f>
        <v>Десерт</v>
      </c>
      <c r="F3617">
        <f>VLOOKUP(C3617,Меню!A:E,5,0)</f>
        <v>150</v>
      </c>
    </row>
    <row r="3618" spans="1:6" ht="15.75" hidden="1" customHeight="1" x14ac:dyDescent="0.35">
      <c r="A3618" s="1">
        <v>3617</v>
      </c>
      <c r="B3618" s="1">
        <v>695</v>
      </c>
      <c r="C3618" s="1">
        <v>16</v>
      </c>
      <c r="D3618" t="str">
        <f>VLOOKUP(B3618,Заказы!A:C,3,0)</f>
        <v>2023-08-25 20:18:00</v>
      </c>
      <c r="E3618" t="str">
        <f>VLOOKUP(C3618,Меню!A:E,4,0)</f>
        <v>Первое</v>
      </c>
      <c r="F3618">
        <f>VLOOKUP(C3618,Меню!A:E,5,0)</f>
        <v>250</v>
      </c>
    </row>
    <row r="3619" spans="1:6" ht="15.75" hidden="1" customHeight="1" x14ac:dyDescent="0.35">
      <c r="A3619" s="1">
        <v>3618</v>
      </c>
      <c r="B3619" s="1">
        <v>696</v>
      </c>
      <c r="C3619" s="1">
        <v>5</v>
      </c>
      <c r="D3619" t="str">
        <f>VLOOKUP(B3619,Заказы!A:C,3,0)</f>
        <v>2023-08-25 20:22:00</v>
      </c>
      <c r="E3619" t="str">
        <f>VLOOKUP(C3619,Меню!A:E,4,0)</f>
        <v>Завтрак</v>
      </c>
      <c r="F3619">
        <f>VLOOKUP(C3619,Меню!A:E,5,0)</f>
        <v>220</v>
      </c>
    </row>
    <row r="3620" spans="1:6" ht="15.75" hidden="1" customHeight="1" x14ac:dyDescent="0.35">
      <c r="A3620" s="1">
        <v>3619</v>
      </c>
      <c r="B3620" s="1">
        <v>696</v>
      </c>
      <c r="C3620" s="1">
        <v>12</v>
      </c>
      <c r="D3620" t="str">
        <f>VLOOKUP(B3620,Заказы!A:C,3,0)</f>
        <v>2023-08-25 20:22:00</v>
      </c>
      <c r="E3620" t="str">
        <f>VLOOKUP(C3620,Меню!A:E,4,0)</f>
        <v>Первое</v>
      </c>
      <c r="F3620">
        <f>VLOOKUP(C3620,Меню!A:E,5,0)</f>
        <v>300</v>
      </c>
    </row>
    <row r="3621" spans="1:6" ht="15.75" hidden="1" customHeight="1" x14ac:dyDescent="0.35">
      <c r="A3621" s="1">
        <v>3620</v>
      </c>
      <c r="B3621" s="1">
        <v>696</v>
      </c>
      <c r="C3621" s="1">
        <v>24</v>
      </c>
      <c r="D3621" t="str">
        <f>VLOOKUP(B3621,Заказы!A:C,3,0)</f>
        <v>2023-08-25 20:22:00</v>
      </c>
      <c r="E3621" t="str">
        <f>VLOOKUP(C3621,Меню!A:E,4,0)</f>
        <v>Салат</v>
      </c>
      <c r="F3621">
        <f>VLOOKUP(C3621,Меню!A:E,5,0)</f>
        <v>250</v>
      </c>
    </row>
    <row r="3622" spans="1:6" ht="15.75" hidden="1" customHeight="1" x14ac:dyDescent="0.35">
      <c r="A3622" s="1">
        <v>3621</v>
      </c>
      <c r="B3622" s="1">
        <v>697</v>
      </c>
      <c r="C3622" s="1">
        <v>43</v>
      </c>
      <c r="D3622" t="str">
        <f>VLOOKUP(B3622,Заказы!A:C,3,0)</f>
        <v>2023-08-25 21:01:00</v>
      </c>
      <c r="E3622" t="str">
        <f>VLOOKUP(C3622,Меню!A:E,4,0)</f>
        <v>Суши</v>
      </c>
      <c r="F3622">
        <f>VLOOKUP(C3622,Меню!A:E,5,0)</f>
        <v>250</v>
      </c>
    </row>
    <row r="3623" spans="1:6" ht="15.75" hidden="1" customHeight="1" x14ac:dyDescent="0.35">
      <c r="A3623" s="1">
        <v>3622</v>
      </c>
      <c r="B3623" s="1">
        <v>697</v>
      </c>
      <c r="C3623" s="1">
        <v>60</v>
      </c>
      <c r="D3623" t="str">
        <f>VLOOKUP(B3623,Заказы!A:C,3,0)</f>
        <v>2023-08-25 21:01:00</v>
      </c>
      <c r="E3623" t="str">
        <f>VLOOKUP(C3623,Меню!A:E,4,0)</f>
        <v>Суши</v>
      </c>
      <c r="F3623">
        <f>VLOOKUP(C3623,Меню!A:E,5,0)</f>
        <v>250</v>
      </c>
    </row>
    <row r="3624" spans="1:6" ht="15.75" hidden="1" customHeight="1" x14ac:dyDescent="0.35">
      <c r="A3624" s="1">
        <v>3623</v>
      </c>
      <c r="B3624" s="1">
        <v>697</v>
      </c>
      <c r="C3624" s="1">
        <v>31</v>
      </c>
      <c r="D3624" t="str">
        <f>VLOOKUP(B3624,Заказы!A:C,3,0)</f>
        <v>2023-08-25 21:01:00</v>
      </c>
      <c r="E3624" t="str">
        <f>VLOOKUP(C3624,Меню!A:E,4,0)</f>
        <v>Десерт</v>
      </c>
      <c r="F3624">
        <f>VLOOKUP(C3624,Меню!A:E,5,0)</f>
        <v>150</v>
      </c>
    </row>
    <row r="3625" spans="1:6" ht="15.75" hidden="1" customHeight="1" x14ac:dyDescent="0.35">
      <c r="A3625" s="1">
        <v>3624</v>
      </c>
      <c r="B3625" s="1">
        <v>697</v>
      </c>
      <c r="C3625" s="1">
        <v>44</v>
      </c>
      <c r="D3625" t="str">
        <f>VLOOKUP(B3625,Заказы!A:C,3,0)</f>
        <v>2023-08-25 21:01:00</v>
      </c>
      <c r="E3625" t="str">
        <f>VLOOKUP(C3625,Меню!A:E,4,0)</f>
        <v>Суши</v>
      </c>
      <c r="F3625">
        <f>VLOOKUP(C3625,Меню!A:E,5,0)</f>
        <v>250</v>
      </c>
    </row>
    <row r="3626" spans="1:6" ht="15.75" hidden="1" customHeight="1" x14ac:dyDescent="0.35">
      <c r="A3626" s="1">
        <v>3625</v>
      </c>
      <c r="B3626" s="1">
        <v>697</v>
      </c>
      <c r="C3626" s="1">
        <v>12</v>
      </c>
      <c r="D3626" t="str">
        <f>VLOOKUP(B3626,Заказы!A:C,3,0)</f>
        <v>2023-08-25 21:01:00</v>
      </c>
      <c r="E3626" t="str">
        <f>VLOOKUP(C3626,Меню!A:E,4,0)</f>
        <v>Первое</v>
      </c>
      <c r="F3626">
        <f>VLOOKUP(C3626,Меню!A:E,5,0)</f>
        <v>300</v>
      </c>
    </row>
    <row r="3627" spans="1:6" ht="15.75" hidden="1" customHeight="1" x14ac:dyDescent="0.35">
      <c r="A3627" s="1">
        <v>3626</v>
      </c>
      <c r="B3627" s="1">
        <v>697</v>
      </c>
      <c r="C3627" s="1">
        <v>6</v>
      </c>
      <c r="D3627" t="str">
        <f>VLOOKUP(B3627,Заказы!A:C,3,0)</f>
        <v>2023-08-25 21:01:00</v>
      </c>
      <c r="E3627" t="str">
        <f>VLOOKUP(C3627,Меню!A:E,4,0)</f>
        <v>Завтрак</v>
      </c>
      <c r="F3627">
        <f>VLOOKUP(C3627,Меню!A:E,5,0)</f>
        <v>300</v>
      </c>
    </row>
    <row r="3628" spans="1:6" ht="15.75" hidden="1" customHeight="1" x14ac:dyDescent="0.35">
      <c r="A3628" s="1">
        <v>3627</v>
      </c>
      <c r="B3628" s="1">
        <v>697</v>
      </c>
      <c r="C3628" s="1">
        <v>45</v>
      </c>
      <c r="D3628" t="str">
        <f>VLOOKUP(B3628,Заказы!A:C,3,0)</f>
        <v>2023-08-25 21:01:00</v>
      </c>
      <c r="E3628" t="str">
        <f>VLOOKUP(C3628,Меню!A:E,4,0)</f>
        <v>Суши</v>
      </c>
      <c r="F3628">
        <f>VLOOKUP(C3628,Меню!A:E,5,0)</f>
        <v>200</v>
      </c>
    </row>
    <row r="3629" spans="1:6" ht="15.75" hidden="1" customHeight="1" x14ac:dyDescent="0.35">
      <c r="A3629" s="1">
        <v>3628</v>
      </c>
      <c r="B3629" s="1">
        <v>697</v>
      </c>
      <c r="C3629" s="1">
        <v>37</v>
      </c>
      <c r="D3629" t="str">
        <f>VLOOKUP(B3629,Заказы!A:C,3,0)</f>
        <v>2023-08-25 21:01:00</v>
      </c>
      <c r="E3629" t="str">
        <f>VLOOKUP(C3629,Меню!A:E,4,0)</f>
        <v>Десерт</v>
      </c>
      <c r="F3629">
        <f>VLOOKUP(C3629,Меню!A:E,5,0)</f>
        <v>100</v>
      </c>
    </row>
    <row r="3630" spans="1:6" ht="15.75" hidden="1" customHeight="1" x14ac:dyDescent="0.35">
      <c r="A3630" s="1">
        <v>3629</v>
      </c>
      <c r="B3630" s="1">
        <v>698</v>
      </c>
      <c r="C3630" s="1">
        <v>38</v>
      </c>
      <c r="D3630" t="str">
        <f>VLOOKUP(B3630,Заказы!A:C,3,0)</f>
        <v>2023-08-26 17:14:00</v>
      </c>
      <c r="E3630" t="str">
        <f>VLOOKUP(C3630,Меню!A:E,4,0)</f>
        <v>Десерт</v>
      </c>
      <c r="F3630">
        <f>VLOOKUP(C3630,Меню!A:E,5,0)</f>
        <v>150</v>
      </c>
    </row>
    <row r="3631" spans="1:6" ht="15.75" hidden="1" customHeight="1" x14ac:dyDescent="0.35">
      <c r="A3631" s="1">
        <v>3630</v>
      </c>
      <c r="B3631" s="1">
        <v>698</v>
      </c>
      <c r="C3631" s="1">
        <v>5</v>
      </c>
      <c r="D3631" t="str">
        <f>VLOOKUP(B3631,Заказы!A:C,3,0)</f>
        <v>2023-08-26 17:14:00</v>
      </c>
      <c r="E3631" t="str">
        <f>VLOOKUP(C3631,Меню!A:E,4,0)</f>
        <v>Завтрак</v>
      </c>
      <c r="F3631">
        <f>VLOOKUP(C3631,Меню!A:E,5,0)</f>
        <v>220</v>
      </c>
    </row>
    <row r="3632" spans="1:6" ht="15.75" hidden="1" customHeight="1" x14ac:dyDescent="0.35">
      <c r="A3632" s="1">
        <v>3631</v>
      </c>
      <c r="B3632" s="1">
        <v>698</v>
      </c>
      <c r="C3632" s="1">
        <v>34</v>
      </c>
      <c r="D3632" t="str">
        <f>VLOOKUP(B3632,Заказы!A:C,3,0)</f>
        <v>2023-08-26 17:14:00</v>
      </c>
      <c r="E3632" t="str">
        <f>VLOOKUP(C3632,Меню!A:E,4,0)</f>
        <v>Десерт</v>
      </c>
      <c r="F3632">
        <f>VLOOKUP(C3632,Меню!A:E,5,0)</f>
        <v>150</v>
      </c>
    </row>
    <row r="3633" spans="1:6" ht="15.75" hidden="1" customHeight="1" x14ac:dyDescent="0.35">
      <c r="A3633" s="1">
        <v>3632</v>
      </c>
      <c r="B3633" s="1">
        <v>699</v>
      </c>
      <c r="C3633" s="1">
        <v>19</v>
      </c>
      <c r="D3633" t="str">
        <f>VLOOKUP(B3633,Заказы!A:C,3,0)</f>
        <v>2023-08-26 17:41:00</v>
      </c>
      <c r="E3633" t="str">
        <f>VLOOKUP(C3633,Меню!A:E,4,0)</f>
        <v>Первое</v>
      </c>
      <c r="F3633">
        <f>VLOOKUP(C3633,Меню!A:E,5,0)</f>
        <v>300</v>
      </c>
    </row>
    <row r="3634" spans="1:6" ht="15.75" hidden="1" customHeight="1" x14ac:dyDescent="0.35">
      <c r="A3634" s="1">
        <v>3633</v>
      </c>
      <c r="B3634" s="1">
        <v>699</v>
      </c>
      <c r="C3634" s="1">
        <v>33</v>
      </c>
      <c r="D3634" t="str">
        <f>VLOOKUP(B3634,Заказы!A:C,3,0)</f>
        <v>2023-08-26 17:41:00</v>
      </c>
      <c r="E3634" t="str">
        <f>VLOOKUP(C3634,Меню!A:E,4,0)</f>
        <v>Десерт</v>
      </c>
      <c r="F3634">
        <f>VLOOKUP(C3634,Меню!A:E,5,0)</f>
        <v>150</v>
      </c>
    </row>
    <row r="3635" spans="1:6" ht="15.75" hidden="1" customHeight="1" x14ac:dyDescent="0.35">
      <c r="A3635" s="1">
        <v>3634</v>
      </c>
      <c r="B3635" s="1">
        <v>699</v>
      </c>
      <c r="C3635" s="1">
        <v>5</v>
      </c>
      <c r="D3635" t="str">
        <f>VLOOKUP(B3635,Заказы!A:C,3,0)</f>
        <v>2023-08-26 17:41:00</v>
      </c>
      <c r="E3635" t="str">
        <f>VLOOKUP(C3635,Меню!A:E,4,0)</f>
        <v>Завтрак</v>
      </c>
      <c r="F3635">
        <f>VLOOKUP(C3635,Меню!A:E,5,0)</f>
        <v>220</v>
      </c>
    </row>
    <row r="3636" spans="1:6" ht="15.75" hidden="1" customHeight="1" x14ac:dyDescent="0.35">
      <c r="A3636" s="1">
        <v>3635</v>
      </c>
      <c r="B3636" s="1">
        <v>699</v>
      </c>
      <c r="C3636" s="1">
        <v>32</v>
      </c>
      <c r="D3636" t="str">
        <f>VLOOKUP(B3636,Заказы!A:C,3,0)</f>
        <v>2023-08-26 17:41:00</v>
      </c>
      <c r="E3636" t="str">
        <f>VLOOKUP(C3636,Меню!A:E,4,0)</f>
        <v>Десерт</v>
      </c>
      <c r="F3636">
        <f>VLOOKUP(C3636,Меню!A:E,5,0)</f>
        <v>150</v>
      </c>
    </row>
    <row r="3637" spans="1:6" ht="15.75" hidden="1" customHeight="1" x14ac:dyDescent="0.35">
      <c r="A3637" s="1">
        <v>3636</v>
      </c>
      <c r="B3637" s="1">
        <v>699</v>
      </c>
      <c r="C3637" s="1">
        <v>19</v>
      </c>
      <c r="D3637" t="str">
        <f>VLOOKUP(B3637,Заказы!A:C,3,0)</f>
        <v>2023-08-26 17:41:00</v>
      </c>
      <c r="E3637" t="str">
        <f>VLOOKUP(C3637,Меню!A:E,4,0)</f>
        <v>Первое</v>
      </c>
      <c r="F3637">
        <f>VLOOKUP(C3637,Меню!A:E,5,0)</f>
        <v>300</v>
      </c>
    </row>
    <row r="3638" spans="1:6" ht="15.75" hidden="1" customHeight="1" x14ac:dyDescent="0.35">
      <c r="A3638" s="1">
        <v>3637</v>
      </c>
      <c r="B3638" s="1">
        <v>699</v>
      </c>
      <c r="C3638" s="1">
        <v>21</v>
      </c>
      <c r="D3638" t="str">
        <f>VLOOKUP(B3638,Заказы!A:C,3,0)</f>
        <v>2023-08-26 17:41:00</v>
      </c>
      <c r="E3638" t="str">
        <f>VLOOKUP(C3638,Меню!A:E,4,0)</f>
        <v>Салат</v>
      </c>
      <c r="F3638">
        <f>VLOOKUP(C3638,Меню!A:E,5,0)</f>
        <v>250</v>
      </c>
    </row>
    <row r="3639" spans="1:6" ht="15.75" hidden="1" customHeight="1" x14ac:dyDescent="0.35">
      <c r="A3639" s="1">
        <v>3638</v>
      </c>
      <c r="B3639" s="1">
        <v>700</v>
      </c>
      <c r="C3639" s="1">
        <v>56</v>
      </c>
      <c r="D3639" t="str">
        <f>VLOOKUP(B3639,Заказы!A:C,3,0)</f>
        <v>2023-08-26 22:47:00</v>
      </c>
      <c r="E3639" t="str">
        <f>VLOOKUP(C3639,Меню!A:E,4,0)</f>
        <v>Суши</v>
      </c>
      <c r="F3639">
        <f>VLOOKUP(C3639,Меню!A:E,5,0)</f>
        <v>200</v>
      </c>
    </row>
    <row r="3640" spans="1:6" ht="15.75" hidden="1" customHeight="1" x14ac:dyDescent="0.35">
      <c r="A3640" s="1">
        <v>3639</v>
      </c>
      <c r="B3640" s="1">
        <v>700</v>
      </c>
      <c r="C3640" s="1">
        <v>44</v>
      </c>
      <c r="D3640" t="str">
        <f>VLOOKUP(B3640,Заказы!A:C,3,0)</f>
        <v>2023-08-26 22:47:00</v>
      </c>
      <c r="E3640" t="str">
        <f>VLOOKUP(C3640,Меню!A:E,4,0)</f>
        <v>Суши</v>
      </c>
      <c r="F3640">
        <f>VLOOKUP(C3640,Меню!A:E,5,0)</f>
        <v>250</v>
      </c>
    </row>
    <row r="3641" spans="1:6" ht="15.75" hidden="1" customHeight="1" x14ac:dyDescent="0.35">
      <c r="A3641" s="1">
        <v>3640</v>
      </c>
      <c r="B3641" s="1">
        <v>700</v>
      </c>
      <c r="C3641" s="1">
        <v>21</v>
      </c>
      <c r="D3641" t="str">
        <f>VLOOKUP(B3641,Заказы!A:C,3,0)</f>
        <v>2023-08-26 22:47:00</v>
      </c>
      <c r="E3641" t="str">
        <f>VLOOKUP(C3641,Меню!A:E,4,0)</f>
        <v>Салат</v>
      </c>
      <c r="F3641">
        <f>VLOOKUP(C3641,Меню!A:E,5,0)</f>
        <v>250</v>
      </c>
    </row>
    <row r="3642" spans="1:6" ht="15.75" hidden="1" customHeight="1" x14ac:dyDescent="0.35">
      <c r="A3642" s="1">
        <v>3641</v>
      </c>
      <c r="B3642" s="1">
        <v>700</v>
      </c>
      <c r="C3642" s="1">
        <v>48</v>
      </c>
      <c r="D3642" t="str">
        <f>VLOOKUP(B3642,Заказы!A:C,3,0)</f>
        <v>2023-08-26 22:47:00</v>
      </c>
      <c r="E3642" t="str">
        <f>VLOOKUP(C3642,Меню!A:E,4,0)</f>
        <v>Суши</v>
      </c>
      <c r="F3642">
        <f>VLOOKUP(C3642,Меню!A:E,5,0)</f>
        <v>200</v>
      </c>
    </row>
    <row r="3643" spans="1:6" ht="15.75" hidden="1" customHeight="1" x14ac:dyDescent="0.35">
      <c r="A3643" s="1">
        <v>3642</v>
      </c>
      <c r="B3643" s="1">
        <v>700</v>
      </c>
      <c r="C3643" s="1">
        <v>28</v>
      </c>
      <c r="D3643" t="str">
        <f>VLOOKUP(B3643,Заказы!A:C,3,0)</f>
        <v>2023-08-26 22:47:00</v>
      </c>
      <c r="E3643" t="str">
        <f>VLOOKUP(C3643,Меню!A:E,4,0)</f>
        <v>Салат</v>
      </c>
      <c r="F3643">
        <f>VLOOKUP(C3643,Меню!A:E,5,0)</f>
        <v>250</v>
      </c>
    </row>
    <row r="3644" spans="1:6" ht="15.75" hidden="1" customHeight="1" x14ac:dyDescent="0.35">
      <c r="A3644" s="1">
        <v>3643</v>
      </c>
      <c r="B3644" s="1">
        <v>701</v>
      </c>
      <c r="C3644" s="1">
        <v>57</v>
      </c>
      <c r="D3644" t="str">
        <f>VLOOKUP(B3644,Заказы!A:C,3,0)</f>
        <v>2023-08-27 16:02:00</v>
      </c>
      <c r="E3644" t="str">
        <f>VLOOKUP(C3644,Меню!A:E,4,0)</f>
        <v>Суши</v>
      </c>
      <c r="F3644">
        <f>VLOOKUP(C3644,Меню!A:E,5,0)</f>
        <v>200</v>
      </c>
    </row>
    <row r="3645" spans="1:6" ht="15.75" hidden="1" customHeight="1" x14ac:dyDescent="0.35">
      <c r="A3645" s="1">
        <v>3644</v>
      </c>
      <c r="B3645" s="1">
        <v>701</v>
      </c>
      <c r="C3645" s="1">
        <v>18</v>
      </c>
      <c r="D3645" t="str">
        <f>VLOOKUP(B3645,Заказы!A:C,3,0)</f>
        <v>2023-08-27 16:02:00</v>
      </c>
      <c r="E3645" t="str">
        <f>VLOOKUP(C3645,Меню!A:E,4,0)</f>
        <v>Первое</v>
      </c>
      <c r="F3645">
        <f>VLOOKUP(C3645,Меню!A:E,5,0)</f>
        <v>300</v>
      </c>
    </row>
    <row r="3646" spans="1:6" ht="15.75" hidden="1" customHeight="1" x14ac:dyDescent="0.35">
      <c r="A3646" s="1">
        <v>3645</v>
      </c>
      <c r="B3646" s="1">
        <v>701</v>
      </c>
      <c r="C3646" s="1">
        <v>45</v>
      </c>
      <c r="D3646" t="str">
        <f>VLOOKUP(B3646,Заказы!A:C,3,0)</f>
        <v>2023-08-27 16:02:00</v>
      </c>
      <c r="E3646" t="str">
        <f>VLOOKUP(C3646,Меню!A:E,4,0)</f>
        <v>Суши</v>
      </c>
      <c r="F3646">
        <f>VLOOKUP(C3646,Меню!A:E,5,0)</f>
        <v>200</v>
      </c>
    </row>
    <row r="3647" spans="1:6" ht="15.75" hidden="1" customHeight="1" x14ac:dyDescent="0.35">
      <c r="A3647" s="1">
        <v>3646</v>
      </c>
      <c r="B3647" s="1">
        <v>701</v>
      </c>
      <c r="C3647" s="1">
        <v>25</v>
      </c>
      <c r="D3647" t="str">
        <f>VLOOKUP(B3647,Заказы!A:C,3,0)</f>
        <v>2023-08-27 16:02:00</v>
      </c>
      <c r="E3647" t="str">
        <f>VLOOKUP(C3647,Меню!A:E,4,0)</f>
        <v>Салат</v>
      </c>
      <c r="F3647">
        <f>VLOOKUP(C3647,Меню!A:E,5,0)</f>
        <v>250</v>
      </c>
    </row>
    <row r="3648" spans="1:6" ht="15.75" hidden="1" customHeight="1" x14ac:dyDescent="0.35">
      <c r="A3648" s="1">
        <v>3647</v>
      </c>
      <c r="B3648" s="1">
        <v>701</v>
      </c>
      <c r="C3648" s="1">
        <v>19</v>
      </c>
      <c r="D3648" t="str">
        <f>VLOOKUP(B3648,Заказы!A:C,3,0)</f>
        <v>2023-08-27 16:02:00</v>
      </c>
      <c r="E3648" t="str">
        <f>VLOOKUP(C3648,Меню!A:E,4,0)</f>
        <v>Первое</v>
      </c>
      <c r="F3648">
        <f>VLOOKUP(C3648,Меню!A:E,5,0)</f>
        <v>300</v>
      </c>
    </row>
    <row r="3649" spans="1:6" ht="15.75" hidden="1" customHeight="1" x14ac:dyDescent="0.35">
      <c r="A3649" s="1">
        <v>3648</v>
      </c>
      <c r="B3649" s="1">
        <v>701</v>
      </c>
      <c r="C3649" s="1">
        <v>13</v>
      </c>
      <c r="D3649" t="str">
        <f>VLOOKUP(B3649,Заказы!A:C,3,0)</f>
        <v>2023-08-27 16:02:00</v>
      </c>
      <c r="E3649" t="str">
        <f>VLOOKUP(C3649,Меню!A:E,4,0)</f>
        <v>Первое</v>
      </c>
      <c r="F3649">
        <f>VLOOKUP(C3649,Меню!A:E,5,0)</f>
        <v>280</v>
      </c>
    </row>
    <row r="3650" spans="1:6" ht="15.75" hidden="1" customHeight="1" x14ac:dyDescent="0.35">
      <c r="A3650" s="1">
        <v>3649</v>
      </c>
      <c r="B3650" s="1">
        <v>702</v>
      </c>
      <c r="C3650" s="1">
        <v>56</v>
      </c>
      <c r="D3650" t="str">
        <f>VLOOKUP(B3650,Заказы!A:C,3,0)</f>
        <v>2023-08-27 17:05:00</v>
      </c>
      <c r="E3650" t="str">
        <f>VLOOKUP(C3650,Меню!A:E,4,0)</f>
        <v>Суши</v>
      </c>
      <c r="F3650">
        <f>VLOOKUP(C3650,Меню!A:E,5,0)</f>
        <v>200</v>
      </c>
    </row>
    <row r="3651" spans="1:6" ht="15.75" hidden="1" customHeight="1" x14ac:dyDescent="0.35">
      <c r="A3651" s="1">
        <v>3650</v>
      </c>
      <c r="B3651" s="1">
        <v>702</v>
      </c>
      <c r="C3651" s="1">
        <v>9</v>
      </c>
      <c r="D3651" t="str">
        <f>VLOOKUP(B3651,Заказы!A:C,3,0)</f>
        <v>2023-08-27 17:05:00</v>
      </c>
      <c r="E3651" t="str">
        <f>VLOOKUP(C3651,Меню!A:E,4,0)</f>
        <v>Завтрак</v>
      </c>
      <c r="F3651">
        <f>VLOOKUP(C3651,Меню!A:E,5,0)</f>
        <v>220</v>
      </c>
    </row>
    <row r="3652" spans="1:6" ht="15.75" hidden="1" customHeight="1" x14ac:dyDescent="0.35">
      <c r="A3652" s="1">
        <v>3651</v>
      </c>
      <c r="B3652" s="1">
        <v>702</v>
      </c>
      <c r="C3652" s="1">
        <v>38</v>
      </c>
      <c r="D3652" t="str">
        <f>VLOOKUP(B3652,Заказы!A:C,3,0)</f>
        <v>2023-08-27 17:05:00</v>
      </c>
      <c r="E3652" t="str">
        <f>VLOOKUP(C3652,Меню!A:E,4,0)</f>
        <v>Десерт</v>
      </c>
      <c r="F3652">
        <f>VLOOKUP(C3652,Меню!A:E,5,0)</f>
        <v>150</v>
      </c>
    </row>
    <row r="3653" spans="1:6" ht="15.75" hidden="1" customHeight="1" x14ac:dyDescent="0.35">
      <c r="A3653" s="1">
        <v>3652</v>
      </c>
      <c r="B3653" s="1">
        <v>702</v>
      </c>
      <c r="C3653" s="1">
        <v>25</v>
      </c>
      <c r="D3653" t="str">
        <f>VLOOKUP(B3653,Заказы!A:C,3,0)</f>
        <v>2023-08-27 17:05:00</v>
      </c>
      <c r="E3653" t="str">
        <f>VLOOKUP(C3653,Меню!A:E,4,0)</f>
        <v>Салат</v>
      </c>
      <c r="F3653">
        <f>VLOOKUP(C3653,Меню!A:E,5,0)</f>
        <v>250</v>
      </c>
    </row>
    <row r="3654" spans="1:6" ht="15.75" hidden="1" customHeight="1" x14ac:dyDescent="0.35">
      <c r="A3654" s="1">
        <v>3653</v>
      </c>
      <c r="B3654" s="1">
        <v>703</v>
      </c>
      <c r="C3654" s="1">
        <v>16</v>
      </c>
      <c r="D3654" t="str">
        <f>VLOOKUP(B3654,Заказы!A:C,3,0)</f>
        <v>2023-08-27 17:33:00</v>
      </c>
      <c r="E3654" t="str">
        <f>VLOOKUP(C3654,Меню!A:E,4,0)</f>
        <v>Первое</v>
      </c>
      <c r="F3654">
        <f>VLOOKUP(C3654,Меню!A:E,5,0)</f>
        <v>250</v>
      </c>
    </row>
    <row r="3655" spans="1:6" ht="15.75" hidden="1" customHeight="1" x14ac:dyDescent="0.35">
      <c r="A3655" s="1">
        <v>3654</v>
      </c>
      <c r="B3655" s="1">
        <v>703</v>
      </c>
      <c r="C3655" s="1">
        <v>3</v>
      </c>
      <c r="D3655" t="str">
        <f>VLOOKUP(B3655,Заказы!A:C,3,0)</f>
        <v>2023-08-27 17:33:00</v>
      </c>
      <c r="E3655" t="str">
        <f>VLOOKUP(C3655,Меню!A:E,4,0)</f>
        <v>Завтрак</v>
      </c>
      <c r="F3655">
        <f>VLOOKUP(C3655,Меню!A:E,5,0)</f>
        <v>150</v>
      </c>
    </row>
    <row r="3656" spans="1:6" ht="15.75" hidden="1" customHeight="1" x14ac:dyDescent="0.35">
      <c r="A3656" s="1">
        <v>3655</v>
      </c>
      <c r="B3656" s="1">
        <v>703</v>
      </c>
      <c r="C3656" s="1">
        <v>19</v>
      </c>
      <c r="D3656" t="str">
        <f>VLOOKUP(B3656,Заказы!A:C,3,0)</f>
        <v>2023-08-27 17:33:00</v>
      </c>
      <c r="E3656" t="str">
        <f>VLOOKUP(C3656,Меню!A:E,4,0)</f>
        <v>Первое</v>
      </c>
      <c r="F3656">
        <f>VLOOKUP(C3656,Меню!A:E,5,0)</f>
        <v>300</v>
      </c>
    </row>
    <row r="3657" spans="1:6" ht="15.75" hidden="1" customHeight="1" x14ac:dyDescent="0.35">
      <c r="A3657" s="1">
        <v>3656</v>
      </c>
      <c r="B3657" s="1">
        <v>703</v>
      </c>
      <c r="C3657" s="1">
        <v>55</v>
      </c>
      <c r="D3657" t="str">
        <f>VLOOKUP(B3657,Заказы!A:C,3,0)</f>
        <v>2023-08-27 17:33:00</v>
      </c>
      <c r="E3657" t="str">
        <f>VLOOKUP(C3657,Меню!A:E,4,0)</f>
        <v>Суши</v>
      </c>
      <c r="F3657">
        <f>VLOOKUP(C3657,Меню!A:E,5,0)</f>
        <v>100</v>
      </c>
    </row>
    <row r="3658" spans="1:6" ht="15.75" hidden="1" customHeight="1" x14ac:dyDescent="0.35">
      <c r="A3658" s="1">
        <v>3657</v>
      </c>
      <c r="B3658" s="1">
        <v>703</v>
      </c>
      <c r="C3658" s="1">
        <v>23</v>
      </c>
      <c r="D3658" t="str">
        <f>VLOOKUP(B3658,Заказы!A:C,3,0)</f>
        <v>2023-08-27 17:33:00</v>
      </c>
      <c r="E3658" t="str">
        <f>VLOOKUP(C3658,Меню!A:E,4,0)</f>
        <v>Салат</v>
      </c>
      <c r="F3658">
        <f>VLOOKUP(C3658,Меню!A:E,5,0)</f>
        <v>250</v>
      </c>
    </row>
    <row r="3659" spans="1:6" ht="15.75" hidden="1" customHeight="1" x14ac:dyDescent="0.35">
      <c r="A3659" s="1">
        <v>3658</v>
      </c>
      <c r="B3659" s="1">
        <v>704</v>
      </c>
      <c r="C3659" s="1">
        <v>31</v>
      </c>
      <c r="D3659" t="str">
        <f>VLOOKUP(B3659,Заказы!A:C,3,0)</f>
        <v>2023-08-27 18:55:00</v>
      </c>
      <c r="E3659" t="str">
        <f>VLOOKUP(C3659,Меню!A:E,4,0)</f>
        <v>Десерт</v>
      </c>
      <c r="F3659">
        <f>VLOOKUP(C3659,Меню!A:E,5,0)</f>
        <v>150</v>
      </c>
    </row>
    <row r="3660" spans="1:6" ht="15.75" hidden="1" customHeight="1" x14ac:dyDescent="0.35">
      <c r="A3660" s="1">
        <v>3659</v>
      </c>
      <c r="B3660" s="1">
        <v>704</v>
      </c>
      <c r="C3660" s="1">
        <v>52</v>
      </c>
      <c r="D3660" t="str">
        <f>VLOOKUP(B3660,Заказы!A:C,3,0)</f>
        <v>2023-08-27 18:55:00</v>
      </c>
      <c r="E3660" t="str">
        <f>VLOOKUP(C3660,Меню!A:E,4,0)</f>
        <v>Суши</v>
      </c>
      <c r="F3660">
        <f>VLOOKUP(C3660,Меню!A:E,5,0)</f>
        <v>100</v>
      </c>
    </row>
    <row r="3661" spans="1:6" ht="15.75" hidden="1" customHeight="1" x14ac:dyDescent="0.35">
      <c r="A3661" s="1">
        <v>3660</v>
      </c>
      <c r="B3661" s="1">
        <v>704</v>
      </c>
      <c r="C3661" s="1">
        <v>30</v>
      </c>
      <c r="D3661" t="str">
        <f>VLOOKUP(B3661,Заказы!A:C,3,0)</f>
        <v>2023-08-27 18:55:00</v>
      </c>
      <c r="E3661" t="str">
        <f>VLOOKUP(C3661,Меню!A:E,4,0)</f>
        <v>Салат</v>
      </c>
      <c r="F3661">
        <f>VLOOKUP(C3661,Меню!A:E,5,0)</f>
        <v>250</v>
      </c>
    </row>
    <row r="3662" spans="1:6" ht="15.75" hidden="1" customHeight="1" x14ac:dyDescent="0.35">
      <c r="A3662" s="1">
        <v>3661</v>
      </c>
      <c r="B3662" s="1">
        <v>704</v>
      </c>
      <c r="C3662" s="1">
        <v>14</v>
      </c>
      <c r="D3662" t="str">
        <f>VLOOKUP(B3662,Заказы!A:C,3,0)</f>
        <v>2023-08-27 18:55:00</v>
      </c>
      <c r="E3662" t="str">
        <f>VLOOKUP(C3662,Меню!A:E,4,0)</f>
        <v>Первое</v>
      </c>
      <c r="F3662">
        <f>VLOOKUP(C3662,Меню!A:E,5,0)</f>
        <v>350</v>
      </c>
    </row>
    <row r="3663" spans="1:6" ht="15.75" hidden="1" customHeight="1" x14ac:dyDescent="0.35">
      <c r="A3663" s="1">
        <v>3662</v>
      </c>
      <c r="B3663" s="1">
        <v>704</v>
      </c>
      <c r="C3663" s="1">
        <v>19</v>
      </c>
      <c r="D3663" t="str">
        <f>VLOOKUP(B3663,Заказы!A:C,3,0)</f>
        <v>2023-08-27 18:55:00</v>
      </c>
      <c r="E3663" t="str">
        <f>VLOOKUP(C3663,Меню!A:E,4,0)</f>
        <v>Первое</v>
      </c>
      <c r="F3663">
        <f>VLOOKUP(C3663,Меню!A:E,5,0)</f>
        <v>300</v>
      </c>
    </row>
    <row r="3664" spans="1:6" ht="15.75" hidden="1" customHeight="1" x14ac:dyDescent="0.35">
      <c r="A3664" s="1">
        <v>3663</v>
      </c>
      <c r="B3664" s="1">
        <v>704</v>
      </c>
      <c r="C3664" s="1">
        <v>42</v>
      </c>
      <c r="D3664" t="str">
        <f>VLOOKUP(B3664,Заказы!A:C,3,0)</f>
        <v>2023-08-27 18:55:00</v>
      </c>
      <c r="E3664" t="str">
        <f>VLOOKUP(C3664,Меню!A:E,4,0)</f>
        <v>Суши</v>
      </c>
      <c r="F3664">
        <f>VLOOKUP(C3664,Меню!A:E,5,0)</f>
        <v>250</v>
      </c>
    </row>
    <row r="3665" spans="1:6" ht="15.75" hidden="1" customHeight="1" x14ac:dyDescent="0.35">
      <c r="A3665" s="1">
        <v>3664</v>
      </c>
      <c r="B3665" s="1">
        <v>704</v>
      </c>
      <c r="C3665" s="1">
        <v>22</v>
      </c>
      <c r="D3665" t="str">
        <f>VLOOKUP(B3665,Заказы!A:C,3,0)</f>
        <v>2023-08-27 18:55:00</v>
      </c>
      <c r="E3665" t="str">
        <f>VLOOKUP(C3665,Меню!A:E,4,0)</f>
        <v>Салат</v>
      </c>
      <c r="F3665">
        <f>VLOOKUP(C3665,Меню!A:E,5,0)</f>
        <v>250</v>
      </c>
    </row>
    <row r="3666" spans="1:6" ht="15.75" hidden="1" customHeight="1" x14ac:dyDescent="0.35">
      <c r="A3666" s="1">
        <v>3665</v>
      </c>
      <c r="B3666" s="1">
        <v>704</v>
      </c>
      <c r="C3666" s="1">
        <v>1</v>
      </c>
      <c r="D3666" t="str">
        <f>VLOOKUP(B3666,Заказы!A:C,3,0)</f>
        <v>2023-08-27 18:55:00</v>
      </c>
      <c r="E3666" t="str">
        <f>VLOOKUP(C3666,Меню!A:E,4,0)</f>
        <v>Завтрак</v>
      </c>
      <c r="F3666">
        <f>VLOOKUP(C3666,Меню!A:E,5,0)</f>
        <v>200</v>
      </c>
    </row>
    <row r="3667" spans="1:6" ht="15.75" hidden="1" customHeight="1" x14ac:dyDescent="0.35">
      <c r="A3667" s="1">
        <v>3666</v>
      </c>
      <c r="B3667" s="1">
        <v>705</v>
      </c>
      <c r="C3667" s="1">
        <v>32</v>
      </c>
      <c r="D3667" t="str">
        <f>VLOOKUP(B3667,Заказы!A:C,3,0)</f>
        <v>2023-08-27 19:47:00</v>
      </c>
      <c r="E3667" t="str">
        <f>VLOOKUP(C3667,Меню!A:E,4,0)</f>
        <v>Десерт</v>
      </c>
      <c r="F3667">
        <f>VLOOKUP(C3667,Меню!A:E,5,0)</f>
        <v>150</v>
      </c>
    </row>
    <row r="3668" spans="1:6" ht="15.75" hidden="1" customHeight="1" x14ac:dyDescent="0.35">
      <c r="A3668" s="1">
        <v>3667</v>
      </c>
      <c r="B3668" s="1">
        <v>705</v>
      </c>
      <c r="C3668" s="1">
        <v>56</v>
      </c>
      <c r="D3668" t="str">
        <f>VLOOKUP(B3668,Заказы!A:C,3,0)</f>
        <v>2023-08-27 19:47:00</v>
      </c>
      <c r="E3668" t="str">
        <f>VLOOKUP(C3668,Меню!A:E,4,0)</f>
        <v>Суши</v>
      </c>
      <c r="F3668">
        <f>VLOOKUP(C3668,Меню!A:E,5,0)</f>
        <v>200</v>
      </c>
    </row>
    <row r="3669" spans="1:6" ht="15.75" hidden="1" customHeight="1" x14ac:dyDescent="0.35">
      <c r="A3669" s="1">
        <v>3668</v>
      </c>
      <c r="B3669" s="1">
        <v>705</v>
      </c>
      <c r="C3669" s="1">
        <v>54</v>
      </c>
      <c r="D3669" t="str">
        <f>VLOOKUP(B3669,Заказы!A:C,3,0)</f>
        <v>2023-08-27 19:47:00</v>
      </c>
      <c r="E3669" t="str">
        <f>VLOOKUP(C3669,Меню!A:E,4,0)</f>
        <v>Суши</v>
      </c>
      <c r="F3669">
        <f>VLOOKUP(C3669,Меню!A:E,5,0)</f>
        <v>100</v>
      </c>
    </row>
    <row r="3670" spans="1:6" ht="15.75" hidden="1" customHeight="1" x14ac:dyDescent="0.35">
      <c r="A3670" s="1">
        <v>3669</v>
      </c>
      <c r="B3670" s="1">
        <v>705</v>
      </c>
      <c r="C3670" s="1">
        <v>10</v>
      </c>
      <c r="D3670" t="str">
        <f>VLOOKUP(B3670,Заказы!A:C,3,0)</f>
        <v>2023-08-27 19:47:00</v>
      </c>
      <c r="E3670" t="str">
        <f>VLOOKUP(C3670,Меню!A:E,4,0)</f>
        <v>Завтрак</v>
      </c>
      <c r="F3670">
        <f>VLOOKUP(C3670,Меню!A:E,5,0)</f>
        <v>200</v>
      </c>
    </row>
    <row r="3671" spans="1:6" ht="15.75" hidden="1" customHeight="1" x14ac:dyDescent="0.35">
      <c r="A3671" s="1">
        <v>3670</v>
      </c>
      <c r="B3671" s="1">
        <v>705</v>
      </c>
      <c r="C3671" s="1">
        <v>19</v>
      </c>
      <c r="D3671" t="str">
        <f>VLOOKUP(B3671,Заказы!A:C,3,0)</f>
        <v>2023-08-27 19:47:00</v>
      </c>
      <c r="E3671" t="str">
        <f>VLOOKUP(C3671,Меню!A:E,4,0)</f>
        <v>Первое</v>
      </c>
      <c r="F3671">
        <f>VLOOKUP(C3671,Меню!A:E,5,0)</f>
        <v>300</v>
      </c>
    </row>
    <row r="3672" spans="1:6" ht="15.75" hidden="1" customHeight="1" x14ac:dyDescent="0.35">
      <c r="A3672" s="1">
        <v>3671</v>
      </c>
      <c r="B3672" s="1">
        <v>705</v>
      </c>
      <c r="C3672" s="1">
        <v>37</v>
      </c>
      <c r="D3672" t="str">
        <f>VLOOKUP(B3672,Заказы!A:C,3,0)</f>
        <v>2023-08-27 19:47:00</v>
      </c>
      <c r="E3672" t="str">
        <f>VLOOKUP(C3672,Меню!A:E,4,0)</f>
        <v>Десерт</v>
      </c>
      <c r="F3672">
        <f>VLOOKUP(C3672,Меню!A:E,5,0)</f>
        <v>100</v>
      </c>
    </row>
    <row r="3673" spans="1:6" ht="15.75" hidden="1" customHeight="1" x14ac:dyDescent="0.35">
      <c r="A3673" s="1">
        <v>3672</v>
      </c>
      <c r="B3673" s="1">
        <v>705</v>
      </c>
      <c r="C3673" s="1">
        <v>32</v>
      </c>
      <c r="D3673" t="str">
        <f>VLOOKUP(B3673,Заказы!A:C,3,0)</f>
        <v>2023-08-27 19:47:00</v>
      </c>
      <c r="E3673" t="str">
        <f>VLOOKUP(C3673,Меню!A:E,4,0)</f>
        <v>Десерт</v>
      </c>
      <c r="F3673">
        <f>VLOOKUP(C3673,Меню!A:E,5,0)</f>
        <v>150</v>
      </c>
    </row>
    <row r="3674" spans="1:6" ht="15.75" hidden="1" customHeight="1" x14ac:dyDescent="0.35">
      <c r="A3674" s="1">
        <v>3673</v>
      </c>
      <c r="B3674" s="1">
        <v>706</v>
      </c>
      <c r="C3674" s="1">
        <v>59</v>
      </c>
      <c r="D3674" t="str">
        <f>VLOOKUP(B3674,Заказы!A:C,3,0)</f>
        <v>2023-08-27 20:01:00</v>
      </c>
      <c r="E3674" t="str">
        <f>VLOOKUP(C3674,Меню!A:E,4,0)</f>
        <v>Суши</v>
      </c>
      <c r="F3674">
        <f>VLOOKUP(C3674,Меню!A:E,5,0)</f>
        <v>300</v>
      </c>
    </row>
    <row r="3675" spans="1:6" ht="15.75" hidden="1" customHeight="1" x14ac:dyDescent="0.35">
      <c r="A3675" s="1">
        <v>3674</v>
      </c>
      <c r="B3675" s="1">
        <v>706</v>
      </c>
      <c r="C3675" s="1">
        <v>30</v>
      </c>
      <c r="D3675" t="str">
        <f>VLOOKUP(B3675,Заказы!A:C,3,0)</f>
        <v>2023-08-27 20:01:00</v>
      </c>
      <c r="E3675" t="str">
        <f>VLOOKUP(C3675,Меню!A:E,4,0)</f>
        <v>Салат</v>
      </c>
      <c r="F3675">
        <f>VLOOKUP(C3675,Меню!A:E,5,0)</f>
        <v>250</v>
      </c>
    </row>
    <row r="3676" spans="1:6" ht="15.75" hidden="1" customHeight="1" x14ac:dyDescent="0.35">
      <c r="A3676" s="1">
        <v>3675</v>
      </c>
      <c r="B3676" s="1">
        <v>706</v>
      </c>
      <c r="C3676" s="1">
        <v>16</v>
      </c>
      <c r="D3676" t="str">
        <f>VLOOKUP(B3676,Заказы!A:C,3,0)</f>
        <v>2023-08-27 20:01:00</v>
      </c>
      <c r="E3676" t="str">
        <f>VLOOKUP(C3676,Меню!A:E,4,0)</f>
        <v>Первое</v>
      </c>
      <c r="F3676">
        <f>VLOOKUP(C3676,Меню!A:E,5,0)</f>
        <v>250</v>
      </c>
    </row>
    <row r="3677" spans="1:6" ht="15.75" hidden="1" customHeight="1" x14ac:dyDescent="0.35">
      <c r="A3677" s="1">
        <v>3676</v>
      </c>
      <c r="B3677" s="1">
        <v>706</v>
      </c>
      <c r="C3677" s="1">
        <v>23</v>
      </c>
      <c r="D3677" t="str">
        <f>VLOOKUP(B3677,Заказы!A:C,3,0)</f>
        <v>2023-08-27 20:01:00</v>
      </c>
      <c r="E3677" t="str">
        <f>VLOOKUP(C3677,Меню!A:E,4,0)</f>
        <v>Салат</v>
      </c>
      <c r="F3677">
        <f>VLOOKUP(C3677,Меню!A:E,5,0)</f>
        <v>250</v>
      </c>
    </row>
    <row r="3678" spans="1:6" ht="15.75" hidden="1" customHeight="1" x14ac:dyDescent="0.35">
      <c r="A3678" s="1">
        <v>3677</v>
      </c>
      <c r="B3678" s="1">
        <v>706</v>
      </c>
      <c r="C3678" s="1">
        <v>40</v>
      </c>
      <c r="D3678" t="str">
        <f>VLOOKUP(B3678,Заказы!A:C,3,0)</f>
        <v>2023-08-27 20:01:00</v>
      </c>
      <c r="E3678" t="str">
        <f>VLOOKUP(C3678,Меню!A:E,4,0)</f>
        <v>Десерт</v>
      </c>
      <c r="F3678">
        <f>VLOOKUP(C3678,Меню!A:E,5,0)</f>
        <v>150</v>
      </c>
    </row>
    <row r="3679" spans="1:6" ht="15.75" hidden="1" customHeight="1" x14ac:dyDescent="0.35">
      <c r="A3679" s="1">
        <v>3678</v>
      </c>
      <c r="B3679" s="1">
        <v>706</v>
      </c>
      <c r="C3679" s="1">
        <v>27</v>
      </c>
      <c r="D3679" t="str">
        <f>VLOOKUP(B3679,Заказы!A:C,3,0)</f>
        <v>2023-08-27 20:01:00</v>
      </c>
      <c r="E3679" t="str">
        <f>VLOOKUP(C3679,Меню!A:E,4,0)</f>
        <v>Салат</v>
      </c>
      <c r="F3679">
        <f>VLOOKUP(C3679,Меню!A:E,5,0)</f>
        <v>250</v>
      </c>
    </row>
    <row r="3680" spans="1:6" ht="15.75" hidden="1" customHeight="1" x14ac:dyDescent="0.35">
      <c r="A3680" s="1">
        <v>3679</v>
      </c>
      <c r="B3680" s="1">
        <v>707</v>
      </c>
      <c r="C3680" s="1">
        <v>35</v>
      </c>
      <c r="D3680" t="str">
        <f>VLOOKUP(B3680,Заказы!A:C,3,0)</f>
        <v>2023-08-27 20:39:00</v>
      </c>
      <c r="E3680" t="str">
        <f>VLOOKUP(C3680,Меню!A:E,4,0)</f>
        <v>Десерт</v>
      </c>
      <c r="F3680">
        <f>VLOOKUP(C3680,Меню!A:E,5,0)</f>
        <v>150</v>
      </c>
    </row>
    <row r="3681" spans="1:6" ht="15.75" hidden="1" customHeight="1" x14ac:dyDescent="0.35">
      <c r="A3681" s="1">
        <v>3680</v>
      </c>
      <c r="B3681" s="1">
        <v>707</v>
      </c>
      <c r="C3681" s="1">
        <v>16</v>
      </c>
      <c r="D3681" t="str">
        <f>VLOOKUP(B3681,Заказы!A:C,3,0)</f>
        <v>2023-08-27 20:39:00</v>
      </c>
      <c r="E3681" t="str">
        <f>VLOOKUP(C3681,Меню!A:E,4,0)</f>
        <v>Первое</v>
      </c>
      <c r="F3681">
        <f>VLOOKUP(C3681,Меню!A:E,5,0)</f>
        <v>250</v>
      </c>
    </row>
    <row r="3682" spans="1:6" ht="15.75" hidden="1" customHeight="1" x14ac:dyDescent="0.35">
      <c r="A3682" s="1">
        <v>3681</v>
      </c>
      <c r="B3682" s="1">
        <v>707</v>
      </c>
      <c r="C3682" s="1">
        <v>32</v>
      </c>
      <c r="D3682" t="str">
        <f>VLOOKUP(B3682,Заказы!A:C,3,0)</f>
        <v>2023-08-27 20:39:00</v>
      </c>
      <c r="E3682" t="str">
        <f>VLOOKUP(C3682,Меню!A:E,4,0)</f>
        <v>Десерт</v>
      </c>
      <c r="F3682">
        <f>VLOOKUP(C3682,Меню!A:E,5,0)</f>
        <v>150</v>
      </c>
    </row>
    <row r="3683" spans="1:6" ht="15.75" hidden="1" customHeight="1" x14ac:dyDescent="0.35">
      <c r="A3683" s="1">
        <v>3682</v>
      </c>
      <c r="B3683" s="1">
        <v>707</v>
      </c>
      <c r="C3683" s="1">
        <v>39</v>
      </c>
      <c r="D3683" t="str">
        <f>VLOOKUP(B3683,Заказы!A:C,3,0)</f>
        <v>2023-08-27 20:39:00</v>
      </c>
      <c r="E3683" t="str">
        <f>VLOOKUP(C3683,Меню!A:E,4,0)</f>
        <v>Десерт</v>
      </c>
      <c r="F3683">
        <f>VLOOKUP(C3683,Меню!A:E,5,0)</f>
        <v>150</v>
      </c>
    </row>
    <row r="3684" spans="1:6" ht="15.75" hidden="1" customHeight="1" x14ac:dyDescent="0.35">
      <c r="A3684" s="1">
        <v>3683</v>
      </c>
      <c r="B3684" s="1">
        <v>707</v>
      </c>
      <c r="C3684" s="1">
        <v>6</v>
      </c>
      <c r="D3684" t="str">
        <f>VLOOKUP(B3684,Заказы!A:C,3,0)</f>
        <v>2023-08-27 20:39:00</v>
      </c>
      <c r="E3684" t="str">
        <f>VLOOKUP(C3684,Меню!A:E,4,0)</f>
        <v>Завтрак</v>
      </c>
      <c r="F3684">
        <f>VLOOKUP(C3684,Меню!A:E,5,0)</f>
        <v>300</v>
      </c>
    </row>
    <row r="3685" spans="1:6" ht="15.75" hidden="1" customHeight="1" x14ac:dyDescent="0.35">
      <c r="A3685" s="1">
        <v>3684</v>
      </c>
      <c r="B3685" s="1">
        <v>707</v>
      </c>
      <c r="C3685" s="1">
        <v>54</v>
      </c>
      <c r="D3685" t="str">
        <f>VLOOKUP(B3685,Заказы!A:C,3,0)</f>
        <v>2023-08-27 20:39:00</v>
      </c>
      <c r="E3685" t="str">
        <f>VLOOKUP(C3685,Меню!A:E,4,0)</f>
        <v>Суши</v>
      </c>
      <c r="F3685">
        <f>VLOOKUP(C3685,Меню!A:E,5,0)</f>
        <v>100</v>
      </c>
    </row>
    <row r="3686" spans="1:6" ht="15.75" hidden="1" customHeight="1" x14ac:dyDescent="0.35">
      <c r="A3686" s="1">
        <v>3685</v>
      </c>
      <c r="B3686" s="1">
        <v>708</v>
      </c>
      <c r="C3686" s="1">
        <v>9</v>
      </c>
      <c r="D3686" t="str">
        <f>VLOOKUP(B3686,Заказы!A:C,3,0)</f>
        <v>2023-08-28 21:58:00</v>
      </c>
      <c r="E3686" t="str">
        <f>VLOOKUP(C3686,Меню!A:E,4,0)</f>
        <v>Завтрак</v>
      </c>
      <c r="F3686">
        <f>VLOOKUP(C3686,Меню!A:E,5,0)</f>
        <v>220</v>
      </c>
    </row>
    <row r="3687" spans="1:6" ht="15.75" hidden="1" customHeight="1" x14ac:dyDescent="0.35">
      <c r="A3687" s="1">
        <v>3686</v>
      </c>
      <c r="B3687" s="1">
        <v>708</v>
      </c>
      <c r="C3687" s="1">
        <v>26</v>
      </c>
      <c r="D3687" t="str">
        <f>VLOOKUP(B3687,Заказы!A:C,3,0)</f>
        <v>2023-08-28 21:58:00</v>
      </c>
      <c r="E3687" t="str">
        <f>VLOOKUP(C3687,Меню!A:E,4,0)</f>
        <v>Салат</v>
      </c>
      <c r="F3687">
        <f>VLOOKUP(C3687,Меню!A:E,5,0)</f>
        <v>250</v>
      </c>
    </row>
    <row r="3688" spans="1:6" ht="15.75" hidden="1" customHeight="1" x14ac:dyDescent="0.35">
      <c r="A3688" s="1">
        <v>3687</v>
      </c>
      <c r="B3688" s="1">
        <v>708</v>
      </c>
      <c r="C3688" s="1">
        <v>58</v>
      </c>
      <c r="D3688" t="str">
        <f>VLOOKUP(B3688,Заказы!A:C,3,0)</f>
        <v>2023-08-28 21:58:00</v>
      </c>
      <c r="E3688" t="str">
        <f>VLOOKUP(C3688,Меню!A:E,4,0)</f>
        <v>Суши</v>
      </c>
      <c r="F3688">
        <f>VLOOKUP(C3688,Меню!A:E,5,0)</f>
        <v>200</v>
      </c>
    </row>
    <row r="3689" spans="1:6" ht="15.75" hidden="1" customHeight="1" x14ac:dyDescent="0.35">
      <c r="A3689" s="1">
        <v>3688</v>
      </c>
      <c r="B3689" s="1">
        <v>708</v>
      </c>
      <c r="C3689" s="1">
        <v>2</v>
      </c>
      <c r="D3689" t="str">
        <f>VLOOKUP(B3689,Заказы!A:C,3,0)</f>
        <v>2023-08-28 21:58:00</v>
      </c>
      <c r="E3689" t="str">
        <f>VLOOKUP(C3689,Меню!A:E,4,0)</f>
        <v>Завтрак</v>
      </c>
      <c r="F3689">
        <f>VLOOKUP(C3689,Меню!A:E,5,0)</f>
        <v>250</v>
      </c>
    </row>
    <row r="3690" spans="1:6" ht="15.75" hidden="1" customHeight="1" x14ac:dyDescent="0.35">
      <c r="A3690" s="1">
        <v>3689</v>
      </c>
      <c r="B3690" s="1">
        <v>708</v>
      </c>
      <c r="C3690" s="1">
        <v>44</v>
      </c>
      <c r="D3690" t="str">
        <f>VLOOKUP(B3690,Заказы!A:C,3,0)</f>
        <v>2023-08-28 21:58:00</v>
      </c>
      <c r="E3690" t="str">
        <f>VLOOKUP(C3690,Меню!A:E,4,0)</f>
        <v>Суши</v>
      </c>
      <c r="F3690">
        <f>VLOOKUP(C3690,Меню!A:E,5,0)</f>
        <v>250</v>
      </c>
    </row>
    <row r="3691" spans="1:6" ht="15.75" hidden="1" customHeight="1" x14ac:dyDescent="0.35">
      <c r="A3691" s="1">
        <v>3690</v>
      </c>
      <c r="B3691" s="1">
        <v>708</v>
      </c>
      <c r="C3691" s="1">
        <v>16</v>
      </c>
      <c r="D3691" t="str">
        <f>VLOOKUP(B3691,Заказы!A:C,3,0)</f>
        <v>2023-08-28 21:58:00</v>
      </c>
      <c r="E3691" t="str">
        <f>VLOOKUP(C3691,Меню!A:E,4,0)</f>
        <v>Первое</v>
      </c>
      <c r="F3691">
        <f>VLOOKUP(C3691,Меню!A:E,5,0)</f>
        <v>250</v>
      </c>
    </row>
    <row r="3692" spans="1:6" ht="15.75" hidden="1" customHeight="1" x14ac:dyDescent="0.35">
      <c r="A3692" s="1">
        <v>3691</v>
      </c>
      <c r="B3692" s="1">
        <v>708</v>
      </c>
      <c r="C3692" s="1">
        <v>7</v>
      </c>
      <c r="D3692" t="str">
        <f>VLOOKUP(B3692,Заказы!A:C,3,0)</f>
        <v>2023-08-28 21:58:00</v>
      </c>
      <c r="E3692" t="str">
        <f>VLOOKUP(C3692,Меню!A:E,4,0)</f>
        <v>Завтрак</v>
      </c>
      <c r="F3692">
        <f>VLOOKUP(C3692,Меню!A:E,5,0)</f>
        <v>200</v>
      </c>
    </row>
    <row r="3693" spans="1:6" ht="15.75" hidden="1" customHeight="1" x14ac:dyDescent="0.35">
      <c r="A3693" s="1">
        <v>3692</v>
      </c>
      <c r="B3693" s="1">
        <v>709</v>
      </c>
      <c r="C3693" s="1">
        <v>33</v>
      </c>
      <c r="D3693" t="str">
        <f>VLOOKUP(B3693,Заказы!A:C,3,0)</f>
        <v>2023-08-29 15:50:00</v>
      </c>
      <c r="E3693" t="str">
        <f>VLOOKUP(C3693,Меню!A:E,4,0)</f>
        <v>Десерт</v>
      </c>
      <c r="F3693">
        <f>VLOOKUP(C3693,Меню!A:E,5,0)</f>
        <v>150</v>
      </c>
    </row>
    <row r="3694" spans="1:6" ht="15.75" hidden="1" customHeight="1" x14ac:dyDescent="0.35">
      <c r="A3694" s="1">
        <v>3693</v>
      </c>
      <c r="B3694" s="1">
        <v>710</v>
      </c>
      <c r="C3694" s="1">
        <v>38</v>
      </c>
      <c r="D3694" t="str">
        <f>VLOOKUP(B3694,Заказы!A:C,3,0)</f>
        <v>2023-08-29 15:57:00</v>
      </c>
      <c r="E3694" t="str">
        <f>VLOOKUP(C3694,Меню!A:E,4,0)</f>
        <v>Десерт</v>
      </c>
      <c r="F3694">
        <f>VLOOKUP(C3694,Меню!A:E,5,0)</f>
        <v>150</v>
      </c>
    </row>
    <row r="3695" spans="1:6" ht="15.75" hidden="1" customHeight="1" x14ac:dyDescent="0.35">
      <c r="A3695" s="1">
        <v>3694</v>
      </c>
      <c r="B3695" s="1">
        <v>710</v>
      </c>
      <c r="C3695" s="1">
        <v>31</v>
      </c>
      <c r="D3695" t="str">
        <f>VLOOKUP(B3695,Заказы!A:C,3,0)</f>
        <v>2023-08-29 15:57:00</v>
      </c>
      <c r="E3695" t="str">
        <f>VLOOKUP(C3695,Меню!A:E,4,0)</f>
        <v>Десерт</v>
      </c>
      <c r="F3695">
        <f>VLOOKUP(C3695,Меню!A:E,5,0)</f>
        <v>150</v>
      </c>
    </row>
    <row r="3696" spans="1:6" ht="15.75" hidden="1" customHeight="1" x14ac:dyDescent="0.35">
      <c r="A3696" s="1">
        <v>3695</v>
      </c>
      <c r="B3696" s="1">
        <v>710</v>
      </c>
      <c r="C3696" s="1">
        <v>59</v>
      </c>
      <c r="D3696" t="str">
        <f>VLOOKUP(B3696,Заказы!A:C,3,0)</f>
        <v>2023-08-29 15:57:00</v>
      </c>
      <c r="E3696" t="str">
        <f>VLOOKUP(C3696,Меню!A:E,4,0)</f>
        <v>Суши</v>
      </c>
      <c r="F3696">
        <f>VLOOKUP(C3696,Меню!A:E,5,0)</f>
        <v>300</v>
      </c>
    </row>
    <row r="3697" spans="1:6" ht="15.75" hidden="1" customHeight="1" x14ac:dyDescent="0.35">
      <c r="A3697" s="1">
        <v>3696</v>
      </c>
      <c r="B3697" s="1">
        <v>710</v>
      </c>
      <c r="C3697" s="1">
        <v>47</v>
      </c>
      <c r="D3697" t="str">
        <f>VLOOKUP(B3697,Заказы!A:C,3,0)</f>
        <v>2023-08-29 15:57:00</v>
      </c>
      <c r="E3697" t="str">
        <f>VLOOKUP(C3697,Меню!A:E,4,0)</f>
        <v>Суши</v>
      </c>
      <c r="F3697">
        <f>VLOOKUP(C3697,Меню!A:E,5,0)</f>
        <v>200</v>
      </c>
    </row>
    <row r="3698" spans="1:6" ht="15.75" hidden="1" customHeight="1" x14ac:dyDescent="0.35">
      <c r="A3698" s="1">
        <v>3697</v>
      </c>
      <c r="B3698" s="1">
        <v>710</v>
      </c>
      <c r="C3698" s="1">
        <v>12</v>
      </c>
      <c r="D3698" t="str">
        <f>VLOOKUP(B3698,Заказы!A:C,3,0)</f>
        <v>2023-08-29 15:57:00</v>
      </c>
      <c r="E3698" t="str">
        <f>VLOOKUP(C3698,Меню!A:E,4,0)</f>
        <v>Первое</v>
      </c>
      <c r="F3698">
        <f>VLOOKUP(C3698,Меню!A:E,5,0)</f>
        <v>300</v>
      </c>
    </row>
    <row r="3699" spans="1:6" ht="15.75" hidden="1" customHeight="1" x14ac:dyDescent="0.35">
      <c r="A3699" s="1">
        <v>3698</v>
      </c>
      <c r="B3699" s="1">
        <v>710</v>
      </c>
      <c r="C3699" s="1">
        <v>11</v>
      </c>
      <c r="D3699" t="str">
        <f>VLOOKUP(B3699,Заказы!A:C,3,0)</f>
        <v>2023-08-29 15:57:00</v>
      </c>
      <c r="E3699" t="str">
        <f>VLOOKUP(C3699,Меню!A:E,4,0)</f>
        <v>Первое</v>
      </c>
      <c r="F3699">
        <f>VLOOKUP(C3699,Меню!A:E,5,0)</f>
        <v>300</v>
      </c>
    </row>
    <row r="3700" spans="1:6" ht="15.75" hidden="1" customHeight="1" x14ac:dyDescent="0.35">
      <c r="A3700" s="1">
        <v>3699</v>
      </c>
      <c r="B3700" s="1">
        <v>711</v>
      </c>
      <c r="C3700" s="1">
        <v>9</v>
      </c>
      <c r="D3700" t="str">
        <f>VLOOKUP(B3700,Заказы!A:C,3,0)</f>
        <v>2023-08-29 18:27:00</v>
      </c>
      <c r="E3700" t="str">
        <f>VLOOKUP(C3700,Меню!A:E,4,0)</f>
        <v>Завтрак</v>
      </c>
      <c r="F3700">
        <f>VLOOKUP(C3700,Меню!A:E,5,0)</f>
        <v>220</v>
      </c>
    </row>
    <row r="3701" spans="1:6" ht="15.75" hidden="1" customHeight="1" x14ac:dyDescent="0.35">
      <c r="A3701" s="1">
        <v>3700</v>
      </c>
      <c r="B3701" s="1">
        <v>711</v>
      </c>
      <c r="C3701" s="1">
        <v>16</v>
      </c>
      <c r="D3701" t="str">
        <f>VLOOKUP(B3701,Заказы!A:C,3,0)</f>
        <v>2023-08-29 18:27:00</v>
      </c>
      <c r="E3701" t="str">
        <f>VLOOKUP(C3701,Меню!A:E,4,0)</f>
        <v>Первое</v>
      </c>
      <c r="F3701">
        <f>VLOOKUP(C3701,Меню!A:E,5,0)</f>
        <v>250</v>
      </c>
    </row>
    <row r="3702" spans="1:6" ht="15.75" hidden="1" customHeight="1" x14ac:dyDescent="0.35">
      <c r="A3702" s="1">
        <v>3701</v>
      </c>
      <c r="B3702" s="1">
        <v>711</v>
      </c>
      <c r="C3702" s="1">
        <v>47</v>
      </c>
      <c r="D3702" t="str">
        <f>VLOOKUP(B3702,Заказы!A:C,3,0)</f>
        <v>2023-08-29 18:27:00</v>
      </c>
      <c r="E3702" t="str">
        <f>VLOOKUP(C3702,Меню!A:E,4,0)</f>
        <v>Суши</v>
      </c>
      <c r="F3702">
        <f>VLOOKUP(C3702,Меню!A:E,5,0)</f>
        <v>200</v>
      </c>
    </row>
    <row r="3703" spans="1:6" ht="15.75" hidden="1" customHeight="1" x14ac:dyDescent="0.35">
      <c r="A3703" s="1">
        <v>3702</v>
      </c>
      <c r="B3703" s="1">
        <v>711</v>
      </c>
      <c r="C3703" s="1">
        <v>40</v>
      </c>
      <c r="D3703" t="str">
        <f>VLOOKUP(B3703,Заказы!A:C,3,0)</f>
        <v>2023-08-29 18:27:00</v>
      </c>
      <c r="E3703" t="str">
        <f>VLOOKUP(C3703,Меню!A:E,4,0)</f>
        <v>Десерт</v>
      </c>
      <c r="F3703">
        <f>VLOOKUP(C3703,Меню!A:E,5,0)</f>
        <v>150</v>
      </c>
    </row>
    <row r="3704" spans="1:6" ht="15.75" hidden="1" customHeight="1" x14ac:dyDescent="0.35">
      <c r="A3704" s="1">
        <v>3703</v>
      </c>
      <c r="B3704" s="1">
        <v>711</v>
      </c>
      <c r="C3704" s="1">
        <v>1</v>
      </c>
      <c r="D3704" t="str">
        <f>VLOOKUP(B3704,Заказы!A:C,3,0)</f>
        <v>2023-08-29 18:27:00</v>
      </c>
      <c r="E3704" t="str">
        <f>VLOOKUP(C3704,Меню!A:E,4,0)</f>
        <v>Завтрак</v>
      </c>
      <c r="F3704">
        <f>VLOOKUP(C3704,Меню!A:E,5,0)</f>
        <v>200</v>
      </c>
    </row>
    <row r="3705" spans="1:6" ht="15.75" hidden="1" customHeight="1" x14ac:dyDescent="0.35">
      <c r="A3705" s="1">
        <v>3704</v>
      </c>
      <c r="B3705" s="1">
        <v>712</v>
      </c>
      <c r="C3705" s="1">
        <v>19</v>
      </c>
      <c r="D3705" t="str">
        <f>VLOOKUP(B3705,Заказы!A:C,3,0)</f>
        <v>2023-08-30 15:02:00</v>
      </c>
      <c r="E3705" t="str">
        <f>VLOOKUP(C3705,Меню!A:E,4,0)</f>
        <v>Первое</v>
      </c>
      <c r="F3705">
        <f>VLOOKUP(C3705,Меню!A:E,5,0)</f>
        <v>300</v>
      </c>
    </row>
    <row r="3706" spans="1:6" ht="15.75" hidden="1" customHeight="1" x14ac:dyDescent="0.35">
      <c r="A3706" s="1">
        <v>3705</v>
      </c>
      <c r="B3706" s="1">
        <v>712</v>
      </c>
      <c r="C3706" s="1">
        <v>56</v>
      </c>
      <c r="D3706" t="str">
        <f>VLOOKUP(B3706,Заказы!A:C,3,0)</f>
        <v>2023-08-30 15:02:00</v>
      </c>
      <c r="E3706" t="str">
        <f>VLOOKUP(C3706,Меню!A:E,4,0)</f>
        <v>Суши</v>
      </c>
      <c r="F3706">
        <f>VLOOKUP(C3706,Меню!A:E,5,0)</f>
        <v>200</v>
      </c>
    </row>
    <row r="3707" spans="1:6" ht="15.75" hidden="1" customHeight="1" x14ac:dyDescent="0.35">
      <c r="A3707" s="1">
        <v>3706</v>
      </c>
      <c r="B3707" s="1">
        <v>712</v>
      </c>
      <c r="C3707" s="1">
        <v>14</v>
      </c>
      <c r="D3707" t="str">
        <f>VLOOKUP(B3707,Заказы!A:C,3,0)</f>
        <v>2023-08-30 15:02:00</v>
      </c>
      <c r="E3707" t="str">
        <f>VLOOKUP(C3707,Меню!A:E,4,0)</f>
        <v>Первое</v>
      </c>
      <c r="F3707">
        <f>VLOOKUP(C3707,Меню!A:E,5,0)</f>
        <v>350</v>
      </c>
    </row>
    <row r="3708" spans="1:6" ht="15.75" hidden="1" customHeight="1" x14ac:dyDescent="0.35">
      <c r="A3708" s="1">
        <v>3707</v>
      </c>
      <c r="B3708" s="1">
        <v>712</v>
      </c>
      <c r="C3708" s="1">
        <v>27</v>
      </c>
      <c r="D3708" t="str">
        <f>VLOOKUP(B3708,Заказы!A:C,3,0)</f>
        <v>2023-08-30 15:02:00</v>
      </c>
      <c r="E3708" t="str">
        <f>VLOOKUP(C3708,Меню!A:E,4,0)</f>
        <v>Салат</v>
      </c>
      <c r="F3708">
        <f>VLOOKUP(C3708,Меню!A:E,5,0)</f>
        <v>250</v>
      </c>
    </row>
    <row r="3709" spans="1:6" ht="15.75" hidden="1" customHeight="1" x14ac:dyDescent="0.35">
      <c r="A3709" s="1">
        <v>3708</v>
      </c>
      <c r="B3709" s="1">
        <v>712</v>
      </c>
      <c r="C3709" s="1">
        <v>41</v>
      </c>
      <c r="D3709" t="str">
        <f>VLOOKUP(B3709,Заказы!A:C,3,0)</f>
        <v>2023-08-30 15:02:00</v>
      </c>
      <c r="E3709" t="str">
        <f>VLOOKUP(C3709,Меню!A:E,4,0)</f>
        <v>Суши</v>
      </c>
      <c r="F3709">
        <f>VLOOKUP(C3709,Меню!A:E,5,0)</f>
        <v>220</v>
      </c>
    </row>
    <row r="3710" spans="1:6" ht="15.75" hidden="1" customHeight="1" x14ac:dyDescent="0.35">
      <c r="A3710" s="1">
        <v>3709</v>
      </c>
      <c r="B3710" s="1">
        <v>713</v>
      </c>
      <c r="C3710" s="1">
        <v>35</v>
      </c>
      <c r="D3710" t="str">
        <f>VLOOKUP(B3710,Заказы!A:C,3,0)</f>
        <v>2023-08-30 18:05:00</v>
      </c>
      <c r="E3710" t="str">
        <f>VLOOKUP(C3710,Меню!A:E,4,0)</f>
        <v>Десерт</v>
      </c>
      <c r="F3710">
        <f>VLOOKUP(C3710,Меню!A:E,5,0)</f>
        <v>150</v>
      </c>
    </row>
    <row r="3711" spans="1:6" ht="15.75" hidden="1" customHeight="1" x14ac:dyDescent="0.35">
      <c r="A3711" s="1">
        <v>3710</v>
      </c>
      <c r="B3711" s="1">
        <v>713</v>
      </c>
      <c r="C3711" s="1">
        <v>1</v>
      </c>
      <c r="D3711" t="str">
        <f>VLOOKUP(B3711,Заказы!A:C,3,0)</f>
        <v>2023-08-30 18:05:00</v>
      </c>
      <c r="E3711" t="str">
        <f>VLOOKUP(C3711,Меню!A:E,4,0)</f>
        <v>Завтрак</v>
      </c>
      <c r="F3711">
        <f>VLOOKUP(C3711,Меню!A:E,5,0)</f>
        <v>200</v>
      </c>
    </row>
    <row r="3712" spans="1:6" ht="15.75" hidden="1" customHeight="1" x14ac:dyDescent="0.35">
      <c r="A3712" s="1">
        <v>3711</v>
      </c>
      <c r="B3712" s="1">
        <v>714</v>
      </c>
      <c r="C3712" s="1">
        <v>28</v>
      </c>
      <c r="D3712" t="str">
        <f>VLOOKUP(B3712,Заказы!A:C,3,0)</f>
        <v>2023-08-30 21:37:00</v>
      </c>
      <c r="E3712" t="str">
        <f>VLOOKUP(C3712,Меню!A:E,4,0)</f>
        <v>Салат</v>
      </c>
      <c r="F3712">
        <f>VLOOKUP(C3712,Меню!A:E,5,0)</f>
        <v>250</v>
      </c>
    </row>
    <row r="3713" spans="1:6" ht="15.75" hidden="1" customHeight="1" x14ac:dyDescent="0.35">
      <c r="A3713" s="1">
        <v>3712</v>
      </c>
      <c r="B3713" s="1">
        <v>714</v>
      </c>
      <c r="C3713" s="1">
        <v>26</v>
      </c>
      <c r="D3713" t="str">
        <f>VLOOKUP(B3713,Заказы!A:C,3,0)</f>
        <v>2023-08-30 21:37:00</v>
      </c>
      <c r="E3713" t="str">
        <f>VLOOKUP(C3713,Меню!A:E,4,0)</f>
        <v>Салат</v>
      </c>
      <c r="F3713">
        <f>VLOOKUP(C3713,Меню!A:E,5,0)</f>
        <v>250</v>
      </c>
    </row>
    <row r="3714" spans="1:6" ht="15.75" hidden="1" customHeight="1" x14ac:dyDescent="0.35">
      <c r="A3714" s="1">
        <v>3713</v>
      </c>
      <c r="B3714" s="1">
        <v>714</v>
      </c>
      <c r="C3714" s="1">
        <v>57</v>
      </c>
      <c r="D3714" t="str">
        <f>VLOOKUP(B3714,Заказы!A:C,3,0)</f>
        <v>2023-08-30 21:37:00</v>
      </c>
      <c r="E3714" t="str">
        <f>VLOOKUP(C3714,Меню!A:E,4,0)</f>
        <v>Суши</v>
      </c>
      <c r="F3714">
        <f>VLOOKUP(C3714,Меню!A:E,5,0)</f>
        <v>200</v>
      </c>
    </row>
    <row r="3715" spans="1:6" ht="15.75" hidden="1" customHeight="1" x14ac:dyDescent="0.35">
      <c r="A3715" s="1">
        <v>3714</v>
      </c>
      <c r="B3715" s="1">
        <v>714</v>
      </c>
      <c r="C3715" s="1">
        <v>10</v>
      </c>
      <c r="D3715" t="str">
        <f>VLOOKUP(B3715,Заказы!A:C,3,0)</f>
        <v>2023-08-30 21:37:00</v>
      </c>
      <c r="E3715" t="str">
        <f>VLOOKUP(C3715,Меню!A:E,4,0)</f>
        <v>Завтрак</v>
      </c>
      <c r="F3715">
        <f>VLOOKUP(C3715,Меню!A:E,5,0)</f>
        <v>200</v>
      </c>
    </row>
    <row r="3716" spans="1:6" ht="15.75" hidden="1" customHeight="1" x14ac:dyDescent="0.35">
      <c r="A3716" s="1">
        <v>3715</v>
      </c>
      <c r="B3716" s="1">
        <v>714</v>
      </c>
      <c r="C3716" s="1">
        <v>33</v>
      </c>
      <c r="D3716" t="str">
        <f>VLOOKUP(B3716,Заказы!A:C,3,0)</f>
        <v>2023-08-30 21:37:00</v>
      </c>
      <c r="E3716" t="str">
        <f>VLOOKUP(C3716,Меню!A:E,4,0)</f>
        <v>Десерт</v>
      </c>
      <c r="F3716">
        <f>VLOOKUP(C3716,Меню!A:E,5,0)</f>
        <v>150</v>
      </c>
    </row>
    <row r="3717" spans="1:6" ht="15.75" hidden="1" customHeight="1" x14ac:dyDescent="0.35">
      <c r="A3717" s="1">
        <v>3716</v>
      </c>
      <c r="B3717" s="1">
        <v>714</v>
      </c>
      <c r="C3717" s="1">
        <v>33</v>
      </c>
      <c r="D3717" t="str">
        <f>VLOOKUP(B3717,Заказы!A:C,3,0)</f>
        <v>2023-08-30 21:37:00</v>
      </c>
      <c r="E3717" t="str">
        <f>VLOOKUP(C3717,Меню!A:E,4,0)</f>
        <v>Десерт</v>
      </c>
      <c r="F3717">
        <f>VLOOKUP(C3717,Меню!A:E,5,0)</f>
        <v>150</v>
      </c>
    </row>
    <row r="3718" spans="1:6" ht="15.75" hidden="1" customHeight="1" x14ac:dyDescent="0.35">
      <c r="A3718" s="1">
        <v>3717</v>
      </c>
      <c r="B3718" s="1">
        <v>714</v>
      </c>
      <c r="C3718" s="1">
        <v>35</v>
      </c>
      <c r="D3718" t="str">
        <f>VLOOKUP(B3718,Заказы!A:C,3,0)</f>
        <v>2023-08-30 21:37:00</v>
      </c>
      <c r="E3718" t="str">
        <f>VLOOKUP(C3718,Меню!A:E,4,0)</f>
        <v>Десерт</v>
      </c>
      <c r="F3718">
        <f>VLOOKUP(C3718,Меню!A:E,5,0)</f>
        <v>150</v>
      </c>
    </row>
    <row r="3719" spans="1:6" ht="15.75" hidden="1" customHeight="1" x14ac:dyDescent="0.35">
      <c r="A3719" s="1">
        <v>3718</v>
      </c>
      <c r="B3719" s="1">
        <v>714</v>
      </c>
      <c r="C3719" s="1">
        <v>42</v>
      </c>
      <c r="D3719" t="str">
        <f>VLOOKUP(B3719,Заказы!A:C,3,0)</f>
        <v>2023-08-30 21:37:00</v>
      </c>
      <c r="E3719" t="str">
        <f>VLOOKUP(C3719,Меню!A:E,4,0)</f>
        <v>Суши</v>
      </c>
      <c r="F3719">
        <f>VLOOKUP(C3719,Меню!A:E,5,0)</f>
        <v>250</v>
      </c>
    </row>
    <row r="3720" spans="1:6" ht="15.75" hidden="1" customHeight="1" x14ac:dyDescent="0.35">
      <c r="A3720" s="1">
        <v>3719</v>
      </c>
      <c r="B3720" s="1">
        <v>714</v>
      </c>
      <c r="C3720" s="1">
        <v>41</v>
      </c>
      <c r="D3720" t="str">
        <f>VLOOKUP(B3720,Заказы!A:C,3,0)</f>
        <v>2023-08-30 21:37:00</v>
      </c>
      <c r="E3720" t="str">
        <f>VLOOKUP(C3720,Меню!A:E,4,0)</f>
        <v>Суши</v>
      </c>
      <c r="F3720">
        <f>VLOOKUP(C3720,Меню!A:E,5,0)</f>
        <v>220</v>
      </c>
    </row>
    <row r="3721" spans="1:6" ht="15.75" hidden="1" customHeight="1" x14ac:dyDescent="0.35">
      <c r="A3721" s="1">
        <v>3720</v>
      </c>
      <c r="B3721" s="1">
        <v>714</v>
      </c>
      <c r="C3721" s="1">
        <v>39</v>
      </c>
      <c r="D3721" t="str">
        <f>VLOOKUP(B3721,Заказы!A:C,3,0)</f>
        <v>2023-08-30 21:37:00</v>
      </c>
      <c r="E3721" t="str">
        <f>VLOOKUP(C3721,Меню!A:E,4,0)</f>
        <v>Десерт</v>
      </c>
      <c r="F3721">
        <f>VLOOKUP(C3721,Меню!A:E,5,0)</f>
        <v>150</v>
      </c>
    </row>
    <row r="3722" spans="1:6" ht="15.75" hidden="1" customHeight="1" x14ac:dyDescent="0.35">
      <c r="A3722" s="1">
        <v>3721</v>
      </c>
      <c r="B3722" s="1">
        <v>714</v>
      </c>
      <c r="C3722" s="1">
        <v>40</v>
      </c>
      <c r="D3722" t="str">
        <f>VLOOKUP(B3722,Заказы!A:C,3,0)</f>
        <v>2023-08-30 21:37:00</v>
      </c>
      <c r="E3722" t="str">
        <f>VLOOKUP(C3722,Меню!A:E,4,0)</f>
        <v>Десерт</v>
      </c>
      <c r="F3722">
        <f>VLOOKUP(C3722,Меню!A:E,5,0)</f>
        <v>150</v>
      </c>
    </row>
    <row r="3723" spans="1:6" ht="15.75" hidden="1" customHeight="1" x14ac:dyDescent="0.35">
      <c r="A3723" s="1">
        <v>3722</v>
      </c>
      <c r="B3723" s="1">
        <v>715</v>
      </c>
      <c r="C3723" s="1">
        <v>36</v>
      </c>
      <c r="D3723" t="str">
        <f>VLOOKUP(B3723,Заказы!A:C,3,0)</f>
        <v>2023-08-30 22:44:00</v>
      </c>
      <c r="E3723" t="str">
        <f>VLOOKUP(C3723,Меню!A:E,4,0)</f>
        <v>Десерт</v>
      </c>
      <c r="F3723">
        <f>VLOOKUP(C3723,Меню!A:E,5,0)</f>
        <v>150</v>
      </c>
    </row>
    <row r="3724" spans="1:6" ht="15.75" hidden="1" customHeight="1" x14ac:dyDescent="0.35">
      <c r="A3724" s="1">
        <v>3723</v>
      </c>
      <c r="B3724" s="1">
        <v>715</v>
      </c>
      <c r="C3724" s="1">
        <v>21</v>
      </c>
      <c r="D3724" t="str">
        <f>VLOOKUP(B3724,Заказы!A:C,3,0)</f>
        <v>2023-08-30 22:44:00</v>
      </c>
      <c r="E3724" t="str">
        <f>VLOOKUP(C3724,Меню!A:E,4,0)</f>
        <v>Салат</v>
      </c>
      <c r="F3724">
        <f>VLOOKUP(C3724,Меню!A:E,5,0)</f>
        <v>250</v>
      </c>
    </row>
    <row r="3725" spans="1:6" ht="15.75" hidden="1" customHeight="1" x14ac:dyDescent="0.35">
      <c r="A3725" s="1">
        <v>3724</v>
      </c>
      <c r="B3725" s="1">
        <v>715</v>
      </c>
      <c r="C3725" s="1">
        <v>39</v>
      </c>
      <c r="D3725" t="str">
        <f>VLOOKUP(B3725,Заказы!A:C,3,0)</f>
        <v>2023-08-30 22:44:00</v>
      </c>
      <c r="E3725" t="str">
        <f>VLOOKUP(C3725,Меню!A:E,4,0)</f>
        <v>Десерт</v>
      </c>
      <c r="F3725">
        <f>VLOOKUP(C3725,Меню!A:E,5,0)</f>
        <v>150</v>
      </c>
    </row>
    <row r="3726" spans="1:6" ht="15.75" hidden="1" customHeight="1" x14ac:dyDescent="0.35">
      <c r="A3726" s="1">
        <v>3725</v>
      </c>
      <c r="B3726" s="1">
        <v>715</v>
      </c>
      <c r="C3726" s="1">
        <v>3</v>
      </c>
      <c r="D3726" t="str">
        <f>VLOOKUP(B3726,Заказы!A:C,3,0)</f>
        <v>2023-08-30 22:44:00</v>
      </c>
      <c r="E3726" t="str">
        <f>VLOOKUP(C3726,Меню!A:E,4,0)</f>
        <v>Завтрак</v>
      </c>
      <c r="F3726">
        <f>VLOOKUP(C3726,Меню!A:E,5,0)</f>
        <v>150</v>
      </c>
    </row>
    <row r="3727" spans="1:6" ht="15.75" hidden="1" customHeight="1" x14ac:dyDescent="0.35">
      <c r="A3727" s="1">
        <v>3726</v>
      </c>
      <c r="B3727" s="1">
        <v>715</v>
      </c>
      <c r="C3727" s="1">
        <v>28</v>
      </c>
      <c r="D3727" t="str">
        <f>VLOOKUP(B3727,Заказы!A:C,3,0)</f>
        <v>2023-08-30 22:44:00</v>
      </c>
      <c r="E3727" t="str">
        <f>VLOOKUP(C3727,Меню!A:E,4,0)</f>
        <v>Салат</v>
      </c>
      <c r="F3727">
        <f>VLOOKUP(C3727,Меню!A:E,5,0)</f>
        <v>250</v>
      </c>
    </row>
    <row r="3728" spans="1:6" ht="15.75" hidden="1" customHeight="1" x14ac:dyDescent="0.35">
      <c r="A3728" s="1">
        <v>3727</v>
      </c>
      <c r="B3728" s="1">
        <v>715</v>
      </c>
      <c r="C3728" s="1">
        <v>43</v>
      </c>
      <c r="D3728" t="str">
        <f>VLOOKUP(B3728,Заказы!A:C,3,0)</f>
        <v>2023-08-30 22:44:00</v>
      </c>
      <c r="E3728" t="str">
        <f>VLOOKUP(C3728,Меню!A:E,4,0)</f>
        <v>Суши</v>
      </c>
      <c r="F3728">
        <f>VLOOKUP(C3728,Меню!A:E,5,0)</f>
        <v>250</v>
      </c>
    </row>
    <row r="3729" spans="1:6" ht="15.75" hidden="1" customHeight="1" x14ac:dyDescent="0.35">
      <c r="A3729" s="1">
        <v>3728</v>
      </c>
      <c r="B3729" s="1">
        <v>715</v>
      </c>
      <c r="C3729" s="1">
        <v>4</v>
      </c>
      <c r="D3729" t="str">
        <f>VLOOKUP(B3729,Заказы!A:C,3,0)</f>
        <v>2023-08-30 22:44:00</v>
      </c>
      <c r="E3729" t="str">
        <f>VLOOKUP(C3729,Меню!A:E,4,0)</f>
        <v>Завтрак</v>
      </c>
      <c r="F3729">
        <f>VLOOKUP(C3729,Меню!A:E,5,0)</f>
        <v>180</v>
      </c>
    </row>
    <row r="3730" spans="1:6" ht="15.75" hidden="1" customHeight="1" x14ac:dyDescent="0.35">
      <c r="A3730" s="1">
        <v>3729</v>
      </c>
      <c r="B3730" s="1">
        <v>716</v>
      </c>
      <c r="C3730" s="1">
        <v>12</v>
      </c>
      <c r="D3730" t="str">
        <f>VLOOKUP(B3730,Заказы!A:C,3,0)</f>
        <v>2023-08-31 16:00:00</v>
      </c>
      <c r="E3730" t="str">
        <f>VLOOKUP(C3730,Меню!A:E,4,0)</f>
        <v>Первое</v>
      </c>
      <c r="F3730">
        <f>VLOOKUP(C3730,Меню!A:E,5,0)</f>
        <v>300</v>
      </c>
    </row>
    <row r="3731" spans="1:6" ht="15.75" hidden="1" customHeight="1" x14ac:dyDescent="0.35">
      <c r="A3731" s="1">
        <v>3730</v>
      </c>
      <c r="B3731" s="1">
        <v>716</v>
      </c>
      <c r="C3731" s="1">
        <v>35</v>
      </c>
      <c r="D3731" t="str">
        <f>VLOOKUP(B3731,Заказы!A:C,3,0)</f>
        <v>2023-08-31 16:00:00</v>
      </c>
      <c r="E3731" t="str">
        <f>VLOOKUP(C3731,Меню!A:E,4,0)</f>
        <v>Десерт</v>
      </c>
      <c r="F3731">
        <f>VLOOKUP(C3731,Меню!A:E,5,0)</f>
        <v>150</v>
      </c>
    </row>
    <row r="3732" spans="1:6" ht="15.75" hidden="1" customHeight="1" x14ac:dyDescent="0.35">
      <c r="A3732" s="1">
        <v>3731</v>
      </c>
      <c r="B3732" s="1">
        <v>716</v>
      </c>
      <c r="C3732" s="1">
        <v>35</v>
      </c>
      <c r="D3732" t="str">
        <f>VLOOKUP(B3732,Заказы!A:C,3,0)</f>
        <v>2023-08-31 16:00:00</v>
      </c>
      <c r="E3732" t="str">
        <f>VLOOKUP(C3732,Меню!A:E,4,0)</f>
        <v>Десерт</v>
      </c>
      <c r="F3732">
        <f>VLOOKUP(C3732,Меню!A:E,5,0)</f>
        <v>150</v>
      </c>
    </row>
    <row r="3733" spans="1:6" ht="15.75" hidden="1" customHeight="1" x14ac:dyDescent="0.35">
      <c r="A3733" s="1">
        <v>3732</v>
      </c>
      <c r="B3733" s="1">
        <v>716</v>
      </c>
      <c r="C3733" s="1">
        <v>12</v>
      </c>
      <c r="D3733" t="str">
        <f>VLOOKUP(B3733,Заказы!A:C,3,0)</f>
        <v>2023-08-31 16:00:00</v>
      </c>
      <c r="E3733" t="str">
        <f>VLOOKUP(C3733,Меню!A:E,4,0)</f>
        <v>Первое</v>
      </c>
      <c r="F3733">
        <f>VLOOKUP(C3733,Меню!A:E,5,0)</f>
        <v>300</v>
      </c>
    </row>
    <row r="3734" spans="1:6" ht="15.75" hidden="1" customHeight="1" x14ac:dyDescent="0.35">
      <c r="A3734" s="1">
        <v>3733</v>
      </c>
      <c r="B3734" s="1">
        <v>716</v>
      </c>
      <c r="C3734" s="1">
        <v>42</v>
      </c>
      <c r="D3734" t="str">
        <f>VLOOKUP(B3734,Заказы!A:C,3,0)</f>
        <v>2023-08-31 16:00:00</v>
      </c>
      <c r="E3734" t="str">
        <f>VLOOKUP(C3734,Меню!A:E,4,0)</f>
        <v>Суши</v>
      </c>
      <c r="F3734">
        <f>VLOOKUP(C3734,Меню!A:E,5,0)</f>
        <v>250</v>
      </c>
    </row>
    <row r="3735" spans="1:6" ht="15.75" hidden="1" customHeight="1" x14ac:dyDescent="0.35">
      <c r="A3735" s="1">
        <v>3734</v>
      </c>
      <c r="B3735" s="1">
        <v>716</v>
      </c>
      <c r="C3735" s="1">
        <v>29</v>
      </c>
      <c r="D3735" t="str">
        <f>VLOOKUP(B3735,Заказы!A:C,3,0)</f>
        <v>2023-08-31 16:00:00</v>
      </c>
      <c r="E3735" t="str">
        <f>VLOOKUP(C3735,Меню!A:E,4,0)</f>
        <v>Салат</v>
      </c>
      <c r="F3735">
        <f>VLOOKUP(C3735,Меню!A:E,5,0)</f>
        <v>250</v>
      </c>
    </row>
    <row r="3736" spans="1:6" ht="15.75" hidden="1" customHeight="1" x14ac:dyDescent="0.35">
      <c r="A3736" s="1">
        <v>3735</v>
      </c>
      <c r="B3736" s="1">
        <v>717</v>
      </c>
      <c r="C3736" s="1">
        <v>21</v>
      </c>
      <c r="D3736" t="str">
        <f>VLOOKUP(B3736,Заказы!A:C,3,0)</f>
        <v>2023-08-31 16:51:00</v>
      </c>
      <c r="E3736" t="str">
        <f>VLOOKUP(C3736,Меню!A:E,4,0)</f>
        <v>Салат</v>
      </c>
      <c r="F3736">
        <f>VLOOKUP(C3736,Меню!A:E,5,0)</f>
        <v>250</v>
      </c>
    </row>
    <row r="3737" spans="1:6" ht="15.75" hidden="1" customHeight="1" x14ac:dyDescent="0.35">
      <c r="A3737" s="1">
        <v>3736</v>
      </c>
      <c r="B3737" s="1">
        <v>717</v>
      </c>
      <c r="C3737" s="1">
        <v>10</v>
      </c>
      <c r="D3737" t="str">
        <f>VLOOKUP(B3737,Заказы!A:C,3,0)</f>
        <v>2023-08-31 16:51:00</v>
      </c>
      <c r="E3737" t="str">
        <f>VLOOKUP(C3737,Меню!A:E,4,0)</f>
        <v>Завтрак</v>
      </c>
      <c r="F3737">
        <f>VLOOKUP(C3737,Меню!A:E,5,0)</f>
        <v>200</v>
      </c>
    </row>
    <row r="3738" spans="1:6" ht="15.75" hidden="1" customHeight="1" x14ac:dyDescent="0.35">
      <c r="A3738" s="1">
        <v>3737</v>
      </c>
      <c r="B3738" s="1">
        <v>717</v>
      </c>
      <c r="C3738" s="1">
        <v>50</v>
      </c>
      <c r="D3738" t="str">
        <f>VLOOKUP(B3738,Заказы!A:C,3,0)</f>
        <v>2023-08-31 16:51:00</v>
      </c>
      <c r="E3738" t="str">
        <f>VLOOKUP(C3738,Меню!A:E,4,0)</f>
        <v>Суши</v>
      </c>
      <c r="F3738">
        <f>VLOOKUP(C3738,Меню!A:E,5,0)</f>
        <v>200</v>
      </c>
    </row>
    <row r="3739" spans="1:6" ht="15.75" hidden="1" customHeight="1" x14ac:dyDescent="0.35">
      <c r="A3739" s="1">
        <v>3738</v>
      </c>
      <c r="B3739" s="1">
        <v>717</v>
      </c>
      <c r="C3739" s="1">
        <v>48</v>
      </c>
      <c r="D3739" t="str">
        <f>VLOOKUP(B3739,Заказы!A:C,3,0)</f>
        <v>2023-08-31 16:51:00</v>
      </c>
      <c r="E3739" t="str">
        <f>VLOOKUP(C3739,Меню!A:E,4,0)</f>
        <v>Суши</v>
      </c>
      <c r="F3739">
        <f>VLOOKUP(C3739,Меню!A:E,5,0)</f>
        <v>200</v>
      </c>
    </row>
    <row r="3740" spans="1:6" ht="15.75" hidden="1" customHeight="1" x14ac:dyDescent="0.35">
      <c r="A3740" s="1">
        <v>3739</v>
      </c>
      <c r="B3740" s="1">
        <v>717</v>
      </c>
      <c r="C3740" s="1">
        <v>21</v>
      </c>
      <c r="D3740" t="str">
        <f>VLOOKUP(B3740,Заказы!A:C,3,0)</f>
        <v>2023-08-31 16:51:00</v>
      </c>
      <c r="E3740" t="str">
        <f>VLOOKUP(C3740,Меню!A:E,4,0)</f>
        <v>Салат</v>
      </c>
      <c r="F3740">
        <f>VLOOKUP(C3740,Меню!A:E,5,0)</f>
        <v>250</v>
      </c>
    </row>
    <row r="3741" spans="1:6" ht="15.75" hidden="1" customHeight="1" x14ac:dyDescent="0.35">
      <c r="A3741" s="1">
        <v>3740</v>
      </c>
      <c r="B3741" s="1">
        <v>718</v>
      </c>
      <c r="C3741" s="1">
        <v>26</v>
      </c>
      <c r="D3741" t="str">
        <f>VLOOKUP(B3741,Заказы!A:C,3,0)</f>
        <v>2023-08-31 20:44:00</v>
      </c>
      <c r="E3741" t="str">
        <f>VLOOKUP(C3741,Меню!A:E,4,0)</f>
        <v>Салат</v>
      </c>
      <c r="F3741">
        <f>VLOOKUP(C3741,Меню!A:E,5,0)</f>
        <v>250</v>
      </c>
    </row>
    <row r="3742" spans="1:6" ht="15.75" hidden="1" customHeight="1" x14ac:dyDescent="0.35">
      <c r="A3742" s="1">
        <v>3741</v>
      </c>
      <c r="B3742" s="1">
        <v>718</v>
      </c>
      <c r="C3742" s="1">
        <v>17</v>
      </c>
      <c r="D3742" t="str">
        <f>VLOOKUP(B3742,Заказы!A:C,3,0)</f>
        <v>2023-08-31 20:44:00</v>
      </c>
      <c r="E3742" t="str">
        <f>VLOOKUP(C3742,Меню!A:E,4,0)</f>
        <v>Первое</v>
      </c>
      <c r="F3742">
        <f>VLOOKUP(C3742,Меню!A:E,5,0)</f>
        <v>250</v>
      </c>
    </row>
    <row r="3743" spans="1:6" ht="15.75" hidden="1" customHeight="1" x14ac:dyDescent="0.35">
      <c r="A3743" s="1">
        <v>3742</v>
      </c>
      <c r="B3743" s="1">
        <v>718</v>
      </c>
      <c r="C3743" s="1">
        <v>44</v>
      </c>
      <c r="D3743" t="str">
        <f>VLOOKUP(B3743,Заказы!A:C,3,0)</f>
        <v>2023-08-31 20:44:00</v>
      </c>
      <c r="E3743" t="str">
        <f>VLOOKUP(C3743,Меню!A:E,4,0)</f>
        <v>Суши</v>
      </c>
      <c r="F3743">
        <f>VLOOKUP(C3743,Меню!A:E,5,0)</f>
        <v>250</v>
      </c>
    </row>
    <row r="3744" spans="1:6" ht="15.75" hidden="1" customHeight="1" x14ac:dyDescent="0.35">
      <c r="A3744" s="1">
        <v>3743</v>
      </c>
      <c r="B3744" s="1">
        <v>718</v>
      </c>
      <c r="C3744" s="1">
        <v>48</v>
      </c>
      <c r="D3744" t="str">
        <f>VLOOKUP(B3744,Заказы!A:C,3,0)</f>
        <v>2023-08-31 20:44:00</v>
      </c>
      <c r="E3744" t="str">
        <f>VLOOKUP(C3744,Меню!A:E,4,0)</f>
        <v>Суши</v>
      </c>
      <c r="F3744">
        <f>VLOOKUP(C3744,Меню!A:E,5,0)</f>
        <v>200</v>
      </c>
    </row>
    <row r="3745" spans="1:6" ht="15.75" hidden="1" customHeight="1" x14ac:dyDescent="0.35">
      <c r="A3745" s="1">
        <v>3744</v>
      </c>
      <c r="B3745" s="1">
        <v>719</v>
      </c>
      <c r="C3745" s="1">
        <v>52</v>
      </c>
      <c r="D3745" t="str">
        <f>VLOOKUP(B3745,Заказы!A:C,3,0)</f>
        <v>2023-08-31 20:47:00</v>
      </c>
      <c r="E3745" t="str">
        <f>VLOOKUP(C3745,Меню!A:E,4,0)</f>
        <v>Суши</v>
      </c>
      <c r="F3745">
        <f>VLOOKUP(C3745,Меню!A:E,5,0)</f>
        <v>100</v>
      </c>
    </row>
    <row r="3746" spans="1:6" ht="15.75" hidden="1" customHeight="1" x14ac:dyDescent="0.35">
      <c r="A3746" s="1">
        <v>3745</v>
      </c>
      <c r="B3746" s="1">
        <v>719</v>
      </c>
      <c r="C3746" s="1">
        <v>29</v>
      </c>
      <c r="D3746" t="str">
        <f>VLOOKUP(B3746,Заказы!A:C,3,0)</f>
        <v>2023-08-31 20:47:00</v>
      </c>
      <c r="E3746" t="str">
        <f>VLOOKUP(C3746,Меню!A:E,4,0)</f>
        <v>Салат</v>
      </c>
      <c r="F3746">
        <f>VLOOKUP(C3746,Меню!A:E,5,0)</f>
        <v>250</v>
      </c>
    </row>
    <row r="3747" spans="1:6" ht="15.75" hidden="1" customHeight="1" x14ac:dyDescent="0.35">
      <c r="A3747" s="1">
        <v>3746</v>
      </c>
      <c r="B3747" s="1">
        <v>719</v>
      </c>
      <c r="C3747" s="1">
        <v>58</v>
      </c>
      <c r="D3747" t="str">
        <f>VLOOKUP(B3747,Заказы!A:C,3,0)</f>
        <v>2023-08-31 20:47:00</v>
      </c>
      <c r="E3747" t="str">
        <f>VLOOKUP(C3747,Меню!A:E,4,0)</f>
        <v>Суши</v>
      </c>
      <c r="F3747">
        <f>VLOOKUP(C3747,Меню!A:E,5,0)</f>
        <v>200</v>
      </c>
    </row>
    <row r="3748" spans="1:6" ht="15.75" hidden="1" customHeight="1" x14ac:dyDescent="0.35">
      <c r="A3748" s="1">
        <v>3747</v>
      </c>
      <c r="B3748" s="1">
        <v>720</v>
      </c>
      <c r="C3748" s="1">
        <v>11</v>
      </c>
      <c r="D3748" t="str">
        <f>VLOOKUP(B3748,Заказы!A:C,3,0)</f>
        <v>2023-09-01 15:32:00</v>
      </c>
      <c r="E3748" t="str">
        <f>VLOOKUP(C3748,Меню!A:E,4,0)</f>
        <v>Первое</v>
      </c>
      <c r="F3748">
        <f>VLOOKUP(C3748,Меню!A:E,5,0)</f>
        <v>300</v>
      </c>
    </row>
    <row r="3749" spans="1:6" ht="15.75" hidden="1" customHeight="1" x14ac:dyDescent="0.35">
      <c r="A3749" s="1">
        <v>3748</v>
      </c>
      <c r="B3749" s="1">
        <v>720</v>
      </c>
      <c r="C3749" s="1">
        <v>48</v>
      </c>
      <c r="D3749" t="str">
        <f>VLOOKUP(B3749,Заказы!A:C,3,0)</f>
        <v>2023-09-01 15:32:00</v>
      </c>
      <c r="E3749" t="str">
        <f>VLOOKUP(C3749,Меню!A:E,4,0)</f>
        <v>Суши</v>
      </c>
      <c r="F3749">
        <f>VLOOKUP(C3749,Меню!A:E,5,0)</f>
        <v>200</v>
      </c>
    </row>
    <row r="3750" spans="1:6" ht="15.75" hidden="1" customHeight="1" x14ac:dyDescent="0.35">
      <c r="A3750" s="1">
        <v>3749</v>
      </c>
      <c r="B3750" s="1">
        <v>721</v>
      </c>
      <c r="C3750" s="1">
        <v>45</v>
      </c>
      <c r="D3750" t="str">
        <f>VLOOKUP(B3750,Заказы!A:C,3,0)</f>
        <v>2023-09-01 18:39:00</v>
      </c>
      <c r="E3750" t="str">
        <f>VLOOKUP(C3750,Меню!A:E,4,0)</f>
        <v>Суши</v>
      </c>
      <c r="F3750">
        <f>VLOOKUP(C3750,Меню!A:E,5,0)</f>
        <v>200</v>
      </c>
    </row>
    <row r="3751" spans="1:6" ht="15.75" hidden="1" customHeight="1" x14ac:dyDescent="0.35">
      <c r="A3751" s="1">
        <v>3750</v>
      </c>
      <c r="B3751" s="1">
        <v>721</v>
      </c>
      <c r="C3751" s="1">
        <v>26</v>
      </c>
      <c r="D3751" t="str">
        <f>VLOOKUP(B3751,Заказы!A:C,3,0)</f>
        <v>2023-09-01 18:39:00</v>
      </c>
      <c r="E3751" t="str">
        <f>VLOOKUP(C3751,Меню!A:E,4,0)</f>
        <v>Салат</v>
      </c>
      <c r="F3751">
        <f>VLOOKUP(C3751,Меню!A:E,5,0)</f>
        <v>250</v>
      </c>
    </row>
    <row r="3752" spans="1:6" ht="15.75" hidden="1" customHeight="1" x14ac:dyDescent="0.35">
      <c r="A3752" s="1">
        <v>3751</v>
      </c>
      <c r="B3752" s="1">
        <v>721</v>
      </c>
      <c r="C3752" s="1">
        <v>3</v>
      </c>
      <c r="D3752" t="str">
        <f>VLOOKUP(B3752,Заказы!A:C,3,0)</f>
        <v>2023-09-01 18:39:00</v>
      </c>
      <c r="E3752" t="str">
        <f>VLOOKUP(C3752,Меню!A:E,4,0)</f>
        <v>Завтрак</v>
      </c>
      <c r="F3752">
        <f>VLOOKUP(C3752,Меню!A:E,5,0)</f>
        <v>150</v>
      </c>
    </row>
    <row r="3753" spans="1:6" ht="15.75" hidden="1" customHeight="1" x14ac:dyDescent="0.35">
      <c r="A3753" s="1">
        <v>3752</v>
      </c>
      <c r="B3753" s="1">
        <v>721</v>
      </c>
      <c r="C3753" s="1">
        <v>23</v>
      </c>
      <c r="D3753" t="str">
        <f>VLOOKUP(B3753,Заказы!A:C,3,0)</f>
        <v>2023-09-01 18:39:00</v>
      </c>
      <c r="E3753" t="str">
        <f>VLOOKUP(C3753,Меню!A:E,4,0)</f>
        <v>Салат</v>
      </c>
      <c r="F3753">
        <f>VLOOKUP(C3753,Меню!A:E,5,0)</f>
        <v>250</v>
      </c>
    </row>
    <row r="3754" spans="1:6" ht="15.75" hidden="1" customHeight="1" x14ac:dyDescent="0.35">
      <c r="A3754" s="1">
        <v>3753</v>
      </c>
      <c r="B3754" s="1">
        <v>722</v>
      </c>
      <c r="C3754" s="1">
        <v>57</v>
      </c>
      <c r="D3754" t="str">
        <f>VLOOKUP(B3754,Заказы!A:C,3,0)</f>
        <v>2023-09-01 21:36:00</v>
      </c>
      <c r="E3754" t="str">
        <f>VLOOKUP(C3754,Меню!A:E,4,0)</f>
        <v>Суши</v>
      </c>
      <c r="F3754">
        <f>VLOOKUP(C3754,Меню!A:E,5,0)</f>
        <v>200</v>
      </c>
    </row>
    <row r="3755" spans="1:6" ht="15.75" hidden="1" customHeight="1" x14ac:dyDescent="0.35">
      <c r="A3755" s="1">
        <v>3754</v>
      </c>
      <c r="B3755" s="1">
        <v>722</v>
      </c>
      <c r="C3755" s="1">
        <v>59</v>
      </c>
      <c r="D3755" t="str">
        <f>VLOOKUP(B3755,Заказы!A:C,3,0)</f>
        <v>2023-09-01 21:36:00</v>
      </c>
      <c r="E3755" t="str">
        <f>VLOOKUP(C3755,Меню!A:E,4,0)</f>
        <v>Суши</v>
      </c>
      <c r="F3755">
        <f>VLOOKUP(C3755,Меню!A:E,5,0)</f>
        <v>300</v>
      </c>
    </row>
    <row r="3756" spans="1:6" ht="15.75" hidden="1" customHeight="1" x14ac:dyDescent="0.35">
      <c r="A3756" s="1">
        <v>3755</v>
      </c>
      <c r="B3756" s="1">
        <v>722</v>
      </c>
      <c r="C3756" s="1">
        <v>21</v>
      </c>
      <c r="D3756" t="str">
        <f>VLOOKUP(B3756,Заказы!A:C,3,0)</f>
        <v>2023-09-01 21:36:00</v>
      </c>
      <c r="E3756" t="str">
        <f>VLOOKUP(C3756,Меню!A:E,4,0)</f>
        <v>Салат</v>
      </c>
      <c r="F3756">
        <f>VLOOKUP(C3756,Меню!A:E,5,0)</f>
        <v>250</v>
      </c>
    </row>
    <row r="3757" spans="1:6" ht="15.75" hidden="1" customHeight="1" x14ac:dyDescent="0.35">
      <c r="A3757" s="1">
        <v>3756</v>
      </c>
      <c r="B3757" s="1">
        <v>722</v>
      </c>
      <c r="C3757" s="1">
        <v>30</v>
      </c>
      <c r="D3757" t="str">
        <f>VLOOKUP(B3757,Заказы!A:C,3,0)</f>
        <v>2023-09-01 21:36:00</v>
      </c>
      <c r="E3757" t="str">
        <f>VLOOKUP(C3757,Меню!A:E,4,0)</f>
        <v>Салат</v>
      </c>
      <c r="F3757">
        <f>VLOOKUP(C3757,Меню!A:E,5,0)</f>
        <v>250</v>
      </c>
    </row>
    <row r="3758" spans="1:6" ht="15.75" hidden="1" customHeight="1" x14ac:dyDescent="0.35">
      <c r="A3758" s="1">
        <v>3757</v>
      </c>
      <c r="B3758" s="1">
        <v>722</v>
      </c>
      <c r="C3758" s="1">
        <v>34</v>
      </c>
      <c r="D3758" t="str">
        <f>VLOOKUP(B3758,Заказы!A:C,3,0)</f>
        <v>2023-09-01 21:36:00</v>
      </c>
      <c r="E3758" t="str">
        <f>VLOOKUP(C3758,Меню!A:E,4,0)</f>
        <v>Десерт</v>
      </c>
      <c r="F3758">
        <f>VLOOKUP(C3758,Меню!A:E,5,0)</f>
        <v>150</v>
      </c>
    </row>
    <row r="3759" spans="1:6" ht="15.75" hidden="1" customHeight="1" x14ac:dyDescent="0.35">
      <c r="A3759" s="1">
        <v>3758</v>
      </c>
      <c r="B3759" s="1">
        <v>722</v>
      </c>
      <c r="C3759" s="1">
        <v>36</v>
      </c>
      <c r="D3759" t="str">
        <f>VLOOKUP(B3759,Заказы!A:C,3,0)</f>
        <v>2023-09-01 21:36:00</v>
      </c>
      <c r="E3759" t="str">
        <f>VLOOKUP(C3759,Меню!A:E,4,0)</f>
        <v>Десерт</v>
      </c>
      <c r="F3759">
        <f>VLOOKUP(C3759,Меню!A:E,5,0)</f>
        <v>150</v>
      </c>
    </row>
    <row r="3760" spans="1:6" ht="15.75" hidden="1" customHeight="1" x14ac:dyDescent="0.35">
      <c r="A3760" s="1">
        <v>3759</v>
      </c>
      <c r="B3760" s="1">
        <v>723</v>
      </c>
      <c r="C3760" s="1">
        <v>44</v>
      </c>
      <c r="D3760" t="str">
        <f>VLOOKUP(B3760,Заказы!A:C,3,0)</f>
        <v>2023-09-01 21:49:00</v>
      </c>
      <c r="E3760" t="str">
        <f>VLOOKUP(C3760,Меню!A:E,4,0)</f>
        <v>Суши</v>
      </c>
      <c r="F3760">
        <f>VLOOKUP(C3760,Меню!A:E,5,0)</f>
        <v>250</v>
      </c>
    </row>
    <row r="3761" spans="1:6" ht="15.75" hidden="1" customHeight="1" x14ac:dyDescent="0.35">
      <c r="A3761" s="1">
        <v>3760</v>
      </c>
      <c r="B3761" s="1">
        <v>723</v>
      </c>
      <c r="C3761" s="1">
        <v>6</v>
      </c>
      <c r="D3761" t="str">
        <f>VLOOKUP(B3761,Заказы!A:C,3,0)</f>
        <v>2023-09-01 21:49:00</v>
      </c>
      <c r="E3761" t="str">
        <f>VLOOKUP(C3761,Меню!A:E,4,0)</f>
        <v>Завтрак</v>
      </c>
      <c r="F3761">
        <f>VLOOKUP(C3761,Меню!A:E,5,0)</f>
        <v>300</v>
      </c>
    </row>
    <row r="3762" spans="1:6" ht="15.75" hidden="1" customHeight="1" x14ac:dyDescent="0.35">
      <c r="A3762" s="1">
        <v>3761</v>
      </c>
      <c r="B3762" s="1">
        <v>724</v>
      </c>
      <c r="C3762" s="1">
        <v>25</v>
      </c>
      <c r="D3762" t="str">
        <f>VLOOKUP(B3762,Заказы!A:C,3,0)</f>
        <v>2023-09-01 21:53:00</v>
      </c>
      <c r="E3762" t="str">
        <f>VLOOKUP(C3762,Меню!A:E,4,0)</f>
        <v>Салат</v>
      </c>
      <c r="F3762">
        <f>VLOOKUP(C3762,Меню!A:E,5,0)</f>
        <v>250</v>
      </c>
    </row>
    <row r="3763" spans="1:6" ht="15.75" hidden="1" customHeight="1" x14ac:dyDescent="0.35">
      <c r="A3763" s="1">
        <v>3762</v>
      </c>
      <c r="B3763" s="1">
        <v>724</v>
      </c>
      <c r="C3763" s="1">
        <v>36</v>
      </c>
      <c r="D3763" t="str">
        <f>VLOOKUP(B3763,Заказы!A:C,3,0)</f>
        <v>2023-09-01 21:53:00</v>
      </c>
      <c r="E3763" t="str">
        <f>VLOOKUP(C3763,Меню!A:E,4,0)</f>
        <v>Десерт</v>
      </c>
      <c r="F3763">
        <f>VLOOKUP(C3763,Меню!A:E,5,0)</f>
        <v>150</v>
      </c>
    </row>
    <row r="3764" spans="1:6" ht="15.75" hidden="1" customHeight="1" x14ac:dyDescent="0.35">
      <c r="A3764" s="1">
        <v>3763</v>
      </c>
      <c r="B3764" s="1">
        <v>724</v>
      </c>
      <c r="C3764" s="1">
        <v>38</v>
      </c>
      <c r="D3764" t="str">
        <f>VLOOKUP(B3764,Заказы!A:C,3,0)</f>
        <v>2023-09-01 21:53:00</v>
      </c>
      <c r="E3764" t="str">
        <f>VLOOKUP(C3764,Меню!A:E,4,0)</f>
        <v>Десерт</v>
      </c>
      <c r="F3764">
        <f>VLOOKUP(C3764,Меню!A:E,5,0)</f>
        <v>150</v>
      </c>
    </row>
    <row r="3765" spans="1:6" ht="15.75" hidden="1" customHeight="1" x14ac:dyDescent="0.35">
      <c r="A3765" s="1">
        <v>3764</v>
      </c>
      <c r="B3765" s="1">
        <v>725</v>
      </c>
      <c r="C3765" s="1">
        <v>18</v>
      </c>
      <c r="D3765" t="str">
        <f>VLOOKUP(B3765,Заказы!A:C,3,0)</f>
        <v>2023-09-01 22:48:00</v>
      </c>
      <c r="E3765" t="str">
        <f>VLOOKUP(C3765,Меню!A:E,4,0)</f>
        <v>Первое</v>
      </c>
      <c r="F3765">
        <f>VLOOKUP(C3765,Меню!A:E,5,0)</f>
        <v>300</v>
      </c>
    </row>
    <row r="3766" spans="1:6" ht="15.75" hidden="1" customHeight="1" x14ac:dyDescent="0.35">
      <c r="A3766" s="1">
        <v>3765</v>
      </c>
      <c r="B3766" s="1">
        <v>725</v>
      </c>
      <c r="C3766" s="1">
        <v>19</v>
      </c>
      <c r="D3766" t="str">
        <f>VLOOKUP(B3766,Заказы!A:C,3,0)</f>
        <v>2023-09-01 22:48:00</v>
      </c>
      <c r="E3766" t="str">
        <f>VLOOKUP(C3766,Меню!A:E,4,0)</f>
        <v>Первое</v>
      </c>
      <c r="F3766">
        <f>VLOOKUP(C3766,Меню!A:E,5,0)</f>
        <v>300</v>
      </c>
    </row>
    <row r="3767" spans="1:6" ht="15.75" hidden="1" customHeight="1" x14ac:dyDescent="0.35">
      <c r="A3767" s="1">
        <v>3766</v>
      </c>
      <c r="B3767" s="1">
        <v>725</v>
      </c>
      <c r="C3767" s="1">
        <v>42</v>
      </c>
      <c r="D3767" t="str">
        <f>VLOOKUP(B3767,Заказы!A:C,3,0)</f>
        <v>2023-09-01 22:48:00</v>
      </c>
      <c r="E3767" t="str">
        <f>VLOOKUP(C3767,Меню!A:E,4,0)</f>
        <v>Суши</v>
      </c>
      <c r="F3767">
        <f>VLOOKUP(C3767,Меню!A:E,5,0)</f>
        <v>250</v>
      </c>
    </row>
    <row r="3768" spans="1:6" ht="15.75" hidden="1" customHeight="1" x14ac:dyDescent="0.35">
      <c r="A3768" s="1">
        <v>3767</v>
      </c>
      <c r="B3768" s="1">
        <v>726</v>
      </c>
      <c r="C3768" s="1">
        <v>41</v>
      </c>
      <c r="D3768" t="str">
        <f>VLOOKUP(B3768,Заказы!A:C,3,0)</f>
        <v>2023-09-02 15:17:00</v>
      </c>
      <c r="E3768" t="str">
        <f>VLOOKUP(C3768,Меню!A:E,4,0)</f>
        <v>Суши</v>
      </c>
      <c r="F3768">
        <f>VLOOKUP(C3768,Меню!A:E,5,0)</f>
        <v>220</v>
      </c>
    </row>
    <row r="3769" spans="1:6" ht="15.75" hidden="1" customHeight="1" x14ac:dyDescent="0.35">
      <c r="A3769" s="1">
        <v>3768</v>
      </c>
      <c r="B3769" s="1">
        <v>726</v>
      </c>
      <c r="C3769" s="1">
        <v>17</v>
      </c>
      <c r="D3769" t="str">
        <f>VLOOKUP(B3769,Заказы!A:C,3,0)</f>
        <v>2023-09-02 15:17:00</v>
      </c>
      <c r="E3769" t="str">
        <f>VLOOKUP(C3769,Меню!A:E,4,0)</f>
        <v>Первое</v>
      </c>
      <c r="F3769">
        <f>VLOOKUP(C3769,Меню!A:E,5,0)</f>
        <v>250</v>
      </c>
    </row>
    <row r="3770" spans="1:6" ht="15.75" hidden="1" customHeight="1" x14ac:dyDescent="0.35">
      <c r="A3770" s="1">
        <v>3769</v>
      </c>
      <c r="B3770" s="1">
        <v>726</v>
      </c>
      <c r="C3770" s="1">
        <v>21</v>
      </c>
      <c r="D3770" t="str">
        <f>VLOOKUP(B3770,Заказы!A:C,3,0)</f>
        <v>2023-09-02 15:17:00</v>
      </c>
      <c r="E3770" t="str">
        <f>VLOOKUP(C3770,Меню!A:E,4,0)</f>
        <v>Салат</v>
      </c>
      <c r="F3770">
        <f>VLOOKUP(C3770,Меню!A:E,5,0)</f>
        <v>250</v>
      </c>
    </row>
    <row r="3771" spans="1:6" ht="15.75" hidden="1" customHeight="1" x14ac:dyDescent="0.35">
      <c r="A3771" s="1">
        <v>3770</v>
      </c>
      <c r="B3771" s="1">
        <v>727</v>
      </c>
      <c r="C3771" s="1">
        <v>15</v>
      </c>
      <c r="D3771" t="str">
        <f>VLOOKUP(B3771,Заказы!A:C,3,0)</f>
        <v>2023-09-02 17:43:00</v>
      </c>
      <c r="E3771" t="str">
        <f>VLOOKUP(C3771,Меню!A:E,4,0)</f>
        <v>Первое</v>
      </c>
      <c r="F3771">
        <f>VLOOKUP(C3771,Меню!A:E,5,0)</f>
        <v>250</v>
      </c>
    </row>
    <row r="3772" spans="1:6" ht="15.75" hidden="1" customHeight="1" x14ac:dyDescent="0.35">
      <c r="A3772" s="1">
        <v>3771</v>
      </c>
      <c r="B3772" s="1">
        <v>727</v>
      </c>
      <c r="C3772" s="1">
        <v>23</v>
      </c>
      <c r="D3772" t="str">
        <f>VLOOKUP(B3772,Заказы!A:C,3,0)</f>
        <v>2023-09-02 17:43:00</v>
      </c>
      <c r="E3772" t="str">
        <f>VLOOKUP(C3772,Меню!A:E,4,0)</f>
        <v>Салат</v>
      </c>
      <c r="F3772">
        <f>VLOOKUP(C3772,Меню!A:E,5,0)</f>
        <v>250</v>
      </c>
    </row>
    <row r="3773" spans="1:6" ht="15.75" hidden="1" customHeight="1" x14ac:dyDescent="0.35">
      <c r="A3773" s="1">
        <v>3772</v>
      </c>
      <c r="B3773" s="1">
        <v>727</v>
      </c>
      <c r="C3773" s="1">
        <v>14</v>
      </c>
      <c r="D3773" t="str">
        <f>VLOOKUP(B3773,Заказы!A:C,3,0)</f>
        <v>2023-09-02 17:43:00</v>
      </c>
      <c r="E3773" t="str">
        <f>VLOOKUP(C3773,Меню!A:E,4,0)</f>
        <v>Первое</v>
      </c>
      <c r="F3773">
        <f>VLOOKUP(C3773,Меню!A:E,5,0)</f>
        <v>350</v>
      </c>
    </row>
    <row r="3774" spans="1:6" ht="15.75" hidden="1" customHeight="1" x14ac:dyDescent="0.35">
      <c r="A3774" s="1">
        <v>3773</v>
      </c>
      <c r="B3774" s="1">
        <v>728</v>
      </c>
      <c r="C3774" s="1">
        <v>60</v>
      </c>
      <c r="D3774" t="str">
        <f>VLOOKUP(B3774,Заказы!A:C,3,0)</f>
        <v>2023-09-03 15:53:00</v>
      </c>
      <c r="E3774" t="str">
        <f>VLOOKUP(C3774,Меню!A:E,4,0)</f>
        <v>Суши</v>
      </c>
      <c r="F3774">
        <f>VLOOKUP(C3774,Меню!A:E,5,0)</f>
        <v>250</v>
      </c>
    </row>
    <row r="3775" spans="1:6" ht="15.75" hidden="1" customHeight="1" x14ac:dyDescent="0.35">
      <c r="A3775" s="1">
        <v>3774</v>
      </c>
      <c r="B3775" s="1">
        <v>728</v>
      </c>
      <c r="C3775" s="1">
        <v>31</v>
      </c>
      <c r="D3775" t="str">
        <f>VLOOKUP(B3775,Заказы!A:C,3,0)</f>
        <v>2023-09-03 15:53:00</v>
      </c>
      <c r="E3775" t="str">
        <f>VLOOKUP(C3775,Меню!A:E,4,0)</f>
        <v>Десерт</v>
      </c>
      <c r="F3775">
        <f>VLOOKUP(C3775,Меню!A:E,5,0)</f>
        <v>150</v>
      </c>
    </row>
    <row r="3776" spans="1:6" ht="15.75" hidden="1" customHeight="1" x14ac:dyDescent="0.35">
      <c r="A3776" s="1">
        <v>3775</v>
      </c>
      <c r="B3776" s="1">
        <v>728</v>
      </c>
      <c r="C3776" s="1">
        <v>19</v>
      </c>
      <c r="D3776" t="str">
        <f>VLOOKUP(B3776,Заказы!A:C,3,0)</f>
        <v>2023-09-03 15:53:00</v>
      </c>
      <c r="E3776" t="str">
        <f>VLOOKUP(C3776,Меню!A:E,4,0)</f>
        <v>Первое</v>
      </c>
      <c r="F3776">
        <f>VLOOKUP(C3776,Меню!A:E,5,0)</f>
        <v>300</v>
      </c>
    </row>
    <row r="3777" spans="1:6" ht="15.75" hidden="1" customHeight="1" x14ac:dyDescent="0.35">
      <c r="A3777" s="1">
        <v>3776</v>
      </c>
      <c r="B3777" s="1">
        <v>728</v>
      </c>
      <c r="C3777" s="1">
        <v>43</v>
      </c>
      <c r="D3777" t="str">
        <f>VLOOKUP(B3777,Заказы!A:C,3,0)</f>
        <v>2023-09-03 15:53:00</v>
      </c>
      <c r="E3777" t="str">
        <f>VLOOKUP(C3777,Меню!A:E,4,0)</f>
        <v>Суши</v>
      </c>
      <c r="F3777">
        <f>VLOOKUP(C3777,Меню!A:E,5,0)</f>
        <v>250</v>
      </c>
    </row>
    <row r="3778" spans="1:6" ht="15.75" hidden="1" customHeight="1" x14ac:dyDescent="0.35">
      <c r="A3778" s="1">
        <v>3777</v>
      </c>
      <c r="B3778" s="1">
        <v>728</v>
      </c>
      <c r="C3778" s="1">
        <v>26</v>
      </c>
      <c r="D3778" t="str">
        <f>VLOOKUP(B3778,Заказы!A:C,3,0)</f>
        <v>2023-09-03 15:53:00</v>
      </c>
      <c r="E3778" t="str">
        <f>VLOOKUP(C3778,Меню!A:E,4,0)</f>
        <v>Салат</v>
      </c>
      <c r="F3778">
        <f>VLOOKUP(C3778,Меню!A:E,5,0)</f>
        <v>250</v>
      </c>
    </row>
    <row r="3779" spans="1:6" ht="15.75" hidden="1" customHeight="1" x14ac:dyDescent="0.35">
      <c r="A3779" s="1">
        <v>3778</v>
      </c>
      <c r="B3779" s="1">
        <v>728</v>
      </c>
      <c r="C3779" s="1">
        <v>60</v>
      </c>
      <c r="D3779" t="str">
        <f>VLOOKUP(B3779,Заказы!A:C,3,0)</f>
        <v>2023-09-03 15:53:00</v>
      </c>
      <c r="E3779" t="str">
        <f>VLOOKUP(C3779,Меню!A:E,4,0)</f>
        <v>Суши</v>
      </c>
      <c r="F3779">
        <f>VLOOKUP(C3779,Меню!A:E,5,0)</f>
        <v>250</v>
      </c>
    </row>
    <row r="3780" spans="1:6" ht="15.75" hidden="1" customHeight="1" x14ac:dyDescent="0.35">
      <c r="A3780" s="1">
        <v>3779</v>
      </c>
      <c r="B3780" s="1">
        <v>729</v>
      </c>
      <c r="C3780" s="1">
        <v>51</v>
      </c>
      <c r="D3780" t="str">
        <f>VLOOKUP(B3780,Заказы!A:C,3,0)</f>
        <v>2023-09-03 20:05:00</v>
      </c>
      <c r="E3780" t="str">
        <f>VLOOKUP(C3780,Меню!A:E,4,0)</f>
        <v>Суши</v>
      </c>
      <c r="F3780">
        <f>VLOOKUP(C3780,Меню!A:E,5,0)</f>
        <v>100</v>
      </c>
    </row>
    <row r="3781" spans="1:6" ht="15.75" hidden="1" customHeight="1" x14ac:dyDescent="0.35">
      <c r="A3781" s="1">
        <v>3780</v>
      </c>
      <c r="B3781" s="1">
        <v>729</v>
      </c>
      <c r="C3781" s="1">
        <v>27</v>
      </c>
      <c r="D3781" t="str">
        <f>VLOOKUP(B3781,Заказы!A:C,3,0)</f>
        <v>2023-09-03 20:05:00</v>
      </c>
      <c r="E3781" t="str">
        <f>VLOOKUP(C3781,Меню!A:E,4,0)</f>
        <v>Салат</v>
      </c>
      <c r="F3781">
        <f>VLOOKUP(C3781,Меню!A:E,5,0)</f>
        <v>250</v>
      </c>
    </row>
    <row r="3782" spans="1:6" ht="15.75" hidden="1" customHeight="1" x14ac:dyDescent="0.35">
      <c r="A3782" s="1">
        <v>3781</v>
      </c>
      <c r="B3782" s="1">
        <v>729</v>
      </c>
      <c r="C3782" s="1">
        <v>30</v>
      </c>
      <c r="D3782" t="str">
        <f>VLOOKUP(B3782,Заказы!A:C,3,0)</f>
        <v>2023-09-03 20:05:00</v>
      </c>
      <c r="E3782" t="str">
        <f>VLOOKUP(C3782,Меню!A:E,4,0)</f>
        <v>Салат</v>
      </c>
      <c r="F3782">
        <f>VLOOKUP(C3782,Меню!A:E,5,0)</f>
        <v>250</v>
      </c>
    </row>
    <row r="3783" spans="1:6" ht="15.75" hidden="1" customHeight="1" x14ac:dyDescent="0.35">
      <c r="A3783" s="1">
        <v>3782</v>
      </c>
      <c r="B3783" s="1">
        <v>729</v>
      </c>
      <c r="C3783" s="1">
        <v>40</v>
      </c>
      <c r="D3783" t="str">
        <f>VLOOKUP(B3783,Заказы!A:C,3,0)</f>
        <v>2023-09-03 20:05:00</v>
      </c>
      <c r="E3783" t="str">
        <f>VLOOKUP(C3783,Меню!A:E,4,0)</f>
        <v>Десерт</v>
      </c>
      <c r="F3783">
        <f>VLOOKUP(C3783,Меню!A:E,5,0)</f>
        <v>150</v>
      </c>
    </row>
    <row r="3784" spans="1:6" ht="15.75" hidden="1" customHeight="1" x14ac:dyDescent="0.35">
      <c r="A3784" s="1">
        <v>3783</v>
      </c>
      <c r="B3784" s="1">
        <v>729</v>
      </c>
      <c r="C3784" s="1">
        <v>42</v>
      </c>
      <c r="D3784" t="str">
        <f>VLOOKUP(B3784,Заказы!A:C,3,0)</f>
        <v>2023-09-03 20:05:00</v>
      </c>
      <c r="E3784" t="str">
        <f>VLOOKUP(C3784,Меню!A:E,4,0)</f>
        <v>Суши</v>
      </c>
      <c r="F3784">
        <f>VLOOKUP(C3784,Меню!A:E,5,0)</f>
        <v>250</v>
      </c>
    </row>
    <row r="3785" spans="1:6" ht="15.75" hidden="1" customHeight="1" x14ac:dyDescent="0.35">
      <c r="A3785" s="1">
        <v>3784</v>
      </c>
      <c r="B3785" s="1">
        <v>730</v>
      </c>
      <c r="C3785" s="1">
        <v>56</v>
      </c>
      <c r="D3785" t="str">
        <f>VLOOKUP(B3785,Заказы!A:C,3,0)</f>
        <v>2023-09-03 22:55:00</v>
      </c>
      <c r="E3785" t="str">
        <f>VLOOKUP(C3785,Меню!A:E,4,0)</f>
        <v>Суши</v>
      </c>
      <c r="F3785">
        <f>VLOOKUP(C3785,Меню!A:E,5,0)</f>
        <v>200</v>
      </c>
    </row>
    <row r="3786" spans="1:6" ht="15.75" hidden="1" customHeight="1" x14ac:dyDescent="0.35">
      <c r="A3786" s="1">
        <v>3785</v>
      </c>
      <c r="B3786" s="1">
        <v>730</v>
      </c>
      <c r="C3786" s="1">
        <v>46</v>
      </c>
      <c r="D3786" t="str">
        <f>VLOOKUP(B3786,Заказы!A:C,3,0)</f>
        <v>2023-09-03 22:55:00</v>
      </c>
      <c r="E3786" t="str">
        <f>VLOOKUP(C3786,Меню!A:E,4,0)</f>
        <v>Суши</v>
      </c>
      <c r="F3786">
        <f>VLOOKUP(C3786,Меню!A:E,5,0)</f>
        <v>200</v>
      </c>
    </row>
    <row r="3787" spans="1:6" ht="15.75" hidden="1" customHeight="1" x14ac:dyDescent="0.35">
      <c r="A3787" s="1">
        <v>3786</v>
      </c>
      <c r="B3787" s="1">
        <v>730</v>
      </c>
      <c r="C3787" s="1">
        <v>42</v>
      </c>
      <c r="D3787" t="str">
        <f>VLOOKUP(B3787,Заказы!A:C,3,0)</f>
        <v>2023-09-03 22:55:00</v>
      </c>
      <c r="E3787" t="str">
        <f>VLOOKUP(C3787,Меню!A:E,4,0)</f>
        <v>Суши</v>
      </c>
      <c r="F3787">
        <f>VLOOKUP(C3787,Меню!A:E,5,0)</f>
        <v>250</v>
      </c>
    </row>
    <row r="3788" spans="1:6" ht="15.75" hidden="1" customHeight="1" x14ac:dyDescent="0.35">
      <c r="A3788" s="1">
        <v>3787</v>
      </c>
      <c r="B3788" s="1">
        <v>730</v>
      </c>
      <c r="C3788" s="1">
        <v>6</v>
      </c>
      <c r="D3788" t="str">
        <f>VLOOKUP(B3788,Заказы!A:C,3,0)</f>
        <v>2023-09-03 22:55:00</v>
      </c>
      <c r="E3788" t="str">
        <f>VLOOKUP(C3788,Меню!A:E,4,0)</f>
        <v>Завтрак</v>
      </c>
      <c r="F3788">
        <f>VLOOKUP(C3788,Меню!A:E,5,0)</f>
        <v>300</v>
      </c>
    </row>
    <row r="3789" spans="1:6" ht="15.75" hidden="1" customHeight="1" x14ac:dyDescent="0.35">
      <c r="A3789" s="1">
        <v>3788</v>
      </c>
      <c r="B3789" s="1">
        <v>731</v>
      </c>
      <c r="C3789" s="1">
        <v>38</v>
      </c>
      <c r="D3789" t="str">
        <f>VLOOKUP(B3789,Заказы!A:C,3,0)</f>
        <v>2023-09-04 15:43:00</v>
      </c>
      <c r="E3789" t="str">
        <f>VLOOKUP(C3789,Меню!A:E,4,0)</f>
        <v>Десерт</v>
      </c>
      <c r="F3789">
        <f>VLOOKUP(C3789,Меню!A:E,5,0)</f>
        <v>150</v>
      </c>
    </row>
    <row r="3790" spans="1:6" ht="15.75" hidden="1" customHeight="1" x14ac:dyDescent="0.35">
      <c r="A3790" s="1">
        <v>3789</v>
      </c>
      <c r="B3790" s="1">
        <v>731</v>
      </c>
      <c r="C3790" s="1">
        <v>9</v>
      </c>
      <c r="D3790" t="str">
        <f>VLOOKUP(B3790,Заказы!A:C,3,0)</f>
        <v>2023-09-04 15:43:00</v>
      </c>
      <c r="E3790" t="str">
        <f>VLOOKUP(C3790,Меню!A:E,4,0)</f>
        <v>Завтрак</v>
      </c>
      <c r="F3790">
        <f>VLOOKUP(C3790,Меню!A:E,5,0)</f>
        <v>220</v>
      </c>
    </row>
    <row r="3791" spans="1:6" ht="15.75" hidden="1" customHeight="1" x14ac:dyDescent="0.35">
      <c r="A3791" s="1">
        <v>3790</v>
      </c>
      <c r="B3791" s="1">
        <v>731</v>
      </c>
      <c r="C3791" s="1">
        <v>40</v>
      </c>
      <c r="D3791" t="str">
        <f>VLOOKUP(B3791,Заказы!A:C,3,0)</f>
        <v>2023-09-04 15:43:00</v>
      </c>
      <c r="E3791" t="str">
        <f>VLOOKUP(C3791,Меню!A:E,4,0)</f>
        <v>Десерт</v>
      </c>
      <c r="F3791">
        <f>VLOOKUP(C3791,Меню!A:E,5,0)</f>
        <v>150</v>
      </c>
    </row>
    <row r="3792" spans="1:6" ht="15.75" hidden="1" customHeight="1" x14ac:dyDescent="0.35">
      <c r="A3792" s="1">
        <v>3791</v>
      </c>
      <c r="B3792" s="1">
        <v>732</v>
      </c>
      <c r="C3792" s="1">
        <v>24</v>
      </c>
      <c r="D3792" t="str">
        <f>VLOOKUP(B3792,Заказы!A:C,3,0)</f>
        <v>2023-09-04 15:46:00</v>
      </c>
      <c r="E3792" t="str">
        <f>VLOOKUP(C3792,Меню!A:E,4,0)</f>
        <v>Салат</v>
      </c>
      <c r="F3792">
        <f>VLOOKUP(C3792,Меню!A:E,5,0)</f>
        <v>250</v>
      </c>
    </row>
    <row r="3793" spans="1:6" ht="15.75" hidden="1" customHeight="1" x14ac:dyDescent="0.35">
      <c r="A3793" s="1">
        <v>3792</v>
      </c>
      <c r="B3793" s="1">
        <v>732</v>
      </c>
      <c r="C3793" s="1">
        <v>1</v>
      </c>
      <c r="D3793" t="str">
        <f>VLOOKUP(B3793,Заказы!A:C,3,0)</f>
        <v>2023-09-04 15:46:00</v>
      </c>
      <c r="E3793" t="str">
        <f>VLOOKUP(C3793,Меню!A:E,4,0)</f>
        <v>Завтрак</v>
      </c>
      <c r="F3793">
        <f>VLOOKUP(C3793,Меню!A:E,5,0)</f>
        <v>200</v>
      </c>
    </row>
    <row r="3794" spans="1:6" ht="15.75" hidden="1" customHeight="1" x14ac:dyDescent="0.35">
      <c r="A3794" s="1">
        <v>3793</v>
      </c>
      <c r="B3794" s="1">
        <v>732</v>
      </c>
      <c r="C3794" s="1">
        <v>9</v>
      </c>
      <c r="D3794" t="str">
        <f>VLOOKUP(B3794,Заказы!A:C,3,0)</f>
        <v>2023-09-04 15:46:00</v>
      </c>
      <c r="E3794" t="str">
        <f>VLOOKUP(C3794,Меню!A:E,4,0)</f>
        <v>Завтрак</v>
      </c>
      <c r="F3794">
        <f>VLOOKUP(C3794,Меню!A:E,5,0)</f>
        <v>220</v>
      </c>
    </row>
    <row r="3795" spans="1:6" ht="15.75" hidden="1" customHeight="1" x14ac:dyDescent="0.35">
      <c r="A3795" s="1">
        <v>3794</v>
      </c>
      <c r="B3795" s="1">
        <v>732</v>
      </c>
      <c r="C3795" s="1">
        <v>23</v>
      </c>
      <c r="D3795" t="str">
        <f>VLOOKUP(B3795,Заказы!A:C,3,0)</f>
        <v>2023-09-04 15:46:00</v>
      </c>
      <c r="E3795" t="str">
        <f>VLOOKUP(C3795,Меню!A:E,4,0)</f>
        <v>Салат</v>
      </c>
      <c r="F3795">
        <f>VLOOKUP(C3795,Меню!A:E,5,0)</f>
        <v>250</v>
      </c>
    </row>
    <row r="3796" spans="1:6" ht="15.75" hidden="1" customHeight="1" x14ac:dyDescent="0.35">
      <c r="A3796" s="1">
        <v>3795</v>
      </c>
      <c r="B3796" s="1">
        <v>732</v>
      </c>
      <c r="C3796" s="1">
        <v>37</v>
      </c>
      <c r="D3796" t="str">
        <f>VLOOKUP(B3796,Заказы!A:C,3,0)</f>
        <v>2023-09-04 15:46:00</v>
      </c>
      <c r="E3796" t="str">
        <f>VLOOKUP(C3796,Меню!A:E,4,0)</f>
        <v>Десерт</v>
      </c>
      <c r="F3796">
        <f>VLOOKUP(C3796,Меню!A:E,5,0)</f>
        <v>100</v>
      </c>
    </row>
    <row r="3797" spans="1:6" ht="15.75" hidden="1" customHeight="1" x14ac:dyDescent="0.35">
      <c r="A3797" s="1">
        <v>3796</v>
      </c>
      <c r="B3797" s="1">
        <v>732</v>
      </c>
      <c r="C3797" s="1">
        <v>24</v>
      </c>
      <c r="D3797" t="str">
        <f>VLOOKUP(B3797,Заказы!A:C,3,0)</f>
        <v>2023-09-04 15:46:00</v>
      </c>
      <c r="E3797" t="str">
        <f>VLOOKUP(C3797,Меню!A:E,4,0)</f>
        <v>Салат</v>
      </c>
      <c r="F3797">
        <f>VLOOKUP(C3797,Меню!A:E,5,0)</f>
        <v>250</v>
      </c>
    </row>
    <row r="3798" spans="1:6" ht="15.75" hidden="1" customHeight="1" x14ac:dyDescent="0.35">
      <c r="A3798" s="1">
        <v>3797</v>
      </c>
      <c r="B3798" s="1">
        <v>732</v>
      </c>
      <c r="C3798" s="1">
        <v>4</v>
      </c>
      <c r="D3798" t="str">
        <f>VLOOKUP(B3798,Заказы!A:C,3,0)</f>
        <v>2023-09-04 15:46:00</v>
      </c>
      <c r="E3798" t="str">
        <f>VLOOKUP(C3798,Меню!A:E,4,0)</f>
        <v>Завтрак</v>
      </c>
      <c r="F3798">
        <f>VLOOKUP(C3798,Меню!A:E,5,0)</f>
        <v>180</v>
      </c>
    </row>
    <row r="3799" spans="1:6" ht="15.75" hidden="1" customHeight="1" x14ac:dyDescent="0.35">
      <c r="A3799" s="1">
        <v>3798</v>
      </c>
      <c r="B3799" s="1">
        <v>732</v>
      </c>
      <c r="C3799" s="1">
        <v>39</v>
      </c>
      <c r="D3799" t="str">
        <f>VLOOKUP(B3799,Заказы!A:C,3,0)</f>
        <v>2023-09-04 15:46:00</v>
      </c>
      <c r="E3799" t="str">
        <f>VLOOKUP(C3799,Меню!A:E,4,0)</f>
        <v>Десерт</v>
      </c>
      <c r="F3799">
        <f>VLOOKUP(C3799,Меню!A:E,5,0)</f>
        <v>150</v>
      </c>
    </row>
    <row r="3800" spans="1:6" ht="15.75" hidden="1" customHeight="1" x14ac:dyDescent="0.35">
      <c r="A3800" s="1">
        <v>3799</v>
      </c>
      <c r="B3800" s="1">
        <v>732</v>
      </c>
      <c r="C3800" s="1">
        <v>25</v>
      </c>
      <c r="D3800" t="str">
        <f>VLOOKUP(B3800,Заказы!A:C,3,0)</f>
        <v>2023-09-04 15:46:00</v>
      </c>
      <c r="E3800" t="str">
        <f>VLOOKUP(C3800,Меню!A:E,4,0)</f>
        <v>Салат</v>
      </c>
      <c r="F3800">
        <f>VLOOKUP(C3800,Меню!A:E,5,0)</f>
        <v>250</v>
      </c>
    </row>
    <row r="3801" spans="1:6" ht="15.75" hidden="1" customHeight="1" x14ac:dyDescent="0.35">
      <c r="A3801" s="1">
        <v>3800</v>
      </c>
      <c r="B3801" s="1">
        <v>732</v>
      </c>
      <c r="C3801" s="1">
        <v>46</v>
      </c>
      <c r="D3801" t="str">
        <f>VLOOKUP(B3801,Заказы!A:C,3,0)</f>
        <v>2023-09-04 15:46:00</v>
      </c>
      <c r="E3801" t="str">
        <f>VLOOKUP(C3801,Меню!A:E,4,0)</f>
        <v>Суши</v>
      </c>
      <c r="F3801">
        <f>VLOOKUP(C3801,Меню!A:E,5,0)</f>
        <v>200</v>
      </c>
    </row>
    <row r="3802" spans="1:6" ht="15.75" hidden="1" customHeight="1" x14ac:dyDescent="0.35">
      <c r="A3802" s="1">
        <v>3801</v>
      </c>
      <c r="B3802" s="1">
        <v>733</v>
      </c>
      <c r="C3802" s="1">
        <v>60</v>
      </c>
      <c r="D3802" t="str">
        <f>VLOOKUP(B3802,Заказы!A:C,3,0)</f>
        <v>2023-09-04 15:58:00</v>
      </c>
      <c r="E3802" t="str">
        <f>VLOOKUP(C3802,Меню!A:E,4,0)</f>
        <v>Суши</v>
      </c>
      <c r="F3802">
        <f>VLOOKUP(C3802,Меню!A:E,5,0)</f>
        <v>250</v>
      </c>
    </row>
    <row r="3803" spans="1:6" ht="15.75" hidden="1" customHeight="1" x14ac:dyDescent="0.35">
      <c r="A3803" s="1">
        <v>3802</v>
      </c>
      <c r="B3803" s="1">
        <v>733</v>
      </c>
      <c r="C3803" s="1">
        <v>14</v>
      </c>
      <c r="D3803" t="str">
        <f>VLOOKUP(B3803,Заказы!A:C,3,0)</f>
        <v>2023-09-04 15:58:00</v>
      </c>
      <c r="E3803" t="str">
        <f>VLOOKUP(C3803,Меню!A:E,4,0)</f>
        <v>Первое</v>
      </c>
      <c r="F3803">
        <f>VLOOKUP(C3803,Меню!A:E,5,0)</f>
        <v>350</v>
      </c>
    </row>
    <row r="3804" spans="1:6" ht="15.75" hidden="1" customHeight="1" x14ac:dyDescent="0.35">
      <c r="A3804" s="1">
        <v>3803</v>
      </c>
      <c r="B3804" s="1">
        <v>733</v>
      </c>
      <c r="C3804" s="1">
        <v>42</v>
      </c>
      <c r="D3804" t="str">
        <f>VLOOKUP(B3804,Заказы!A:C,3,0)</f>
        <v>2023-09-04 15:58:00</v>
      </c>
      <c r="E3804" t="str">
        <f>VLOOKUP(C3804,Меню!A:E,4,0)</f>
        <v>Суши</v>
      </c>
      <c r="F3804">
        <f>VLOOKUP(C3804,Меню!A:E,5,0)</f>
        <v>250</v>
      </c>
    </row>
    <row r="3805" spans="1:6" ht="15.75" hidden="1" customHeight="1" x14ac:dyDescent="0.35">
      <c r="A3805" s="1">
        <v>3804</v>
      </c>
      <c r="B3805" s="1">
        <v>733</v>
      </c>
      <c r="C3805" s="1">
        <v>34</v>
      </c>
      <c r="D3805" t="str">
        <f>VLOOKUP(B3805,Заказы!A:C,3,0)</f>
        <v>2023-09-04 15:58:00</v>
      </c>
      <c r="E3805" t="str">
        <f>VLOOKUP(C3805,Меню!A:E,4,0)</f>
        <v>Десерт</v>
      </c>
      <c r="F3805">
        <f>VLOOKUP(C3805,Меню!A:E,5,0)</f>
        <v>150</v>
      </c>
    </row>
    <row r="3806" spans="1:6" ht="15.75" hidden="1" customHeight="1" x14ac:dyDescent="0.35">
      <c r="A3806" s="1">
        <v>3805</v>
      </c>
      <c r="B3806" s="1">
        <v>733</v>
      </c>
      <c r="C3806" s="1">
        <v>42</v>
      </c>
      <c r="D3806" t="str">
        <f>VLOOKUP(B3806,Заказы!A:C,3,0)</f>
        <v>2023-09-04 15:58:00</v>
      </c>
      <c r="E3806" t="str">
        <f>VLOOKUP(C3806,Меню!A:E,4,0)</f>
        <v>Суши</v>
      </c>
      <c r="F3806">
        <f>VLOOKUP(C3806,Меню!A:E,5,0)</f>
        <v>250</v>
      </c>
    </row>
    <row r="3807" spans="1:6" ht="15.75" hidden="1" customHeight="1" x14ac:dyDescent="0.35">
      <c r="A3807" s="1">
        <v>3806</v>
      </c>
      <c r="B3807" s="1">
        <v>733</v>
      </c>
      <c r="C3807" s="1">
        <v>2</v>
      </c>
      <c r="D3807" t="str">
        <f>VLOOKUP(B3807,Заказы!A:C,3,0)</f>
        <v>2023-09-04 15:58:00</v>
      </c>
      <c r="E3807" t="str">
        <f>VLOOKUP(C3807,Меню!A:E,4,0)</f>
        <v>Завтрак</v>
      </c>
      <c r="F3807">
        <f>VLOOKUP(C3807,Меню!A:E,5,0)</f>
        <v>250</v>
      </c>
    </row>
    <row r="3808" spans="1:6" ht="15.75" hidden="1" customHeight="1" x14ac:dyDescent="0.35">
      <c r="A3808" s="1">
        <v>3807</v>
      </c>
      <c r="B3808" s="1">
        <v>733</v>
      </c>
      <c r="C3808" s="1">
        <v>10</v>
      </c>
      <c r="D3808" t="str">
        <f>VLOOKUP(B3808,Заказы!A:C,3,0)</f>
        <v>2023-09-04 15:58:00</v>
      </c>
      <c r="E3808" t="str">
        <f>VLOOKUP(C3808,Меню!A:E,4,0)</f>
        <v>Завтрак</v>
      </c>
      <c r="F3808">
        <f>VLOOKUP(C3808,Меню!A:E,5,0)</f>
        <v>200</v>
      </c>
    </row>
    <row r="3809" spans="1:6" ht="15.75" hidden="1" customHeight="1" x14ac:dyDescent="0.35">
      <c r="A3809" s="1">
        <v>3808</v>
      </c>
      <c r="B3809" s="1">
        <v>733</v>
      </c>
      <c r="C3809" s="1">
        <v>8</v>
      </c>
      <c r="D3809" t="str">
        <f>VLOOKUP(B3809,Заказы!A:C,3,0)</f>
        <v>2023-09-04 15:58:00</v>
      </c>
      <c r="E3809" t="str">
        <f>VLOOKUP(C3809,Меню!A:E,4,0)</f>
        <v>Завтрак</v>
      </c>
      <c r="F3809">
        <f>VLOOKUP(C3809,Меню!A:E,5,0)</f>
        <v>180</v>
      </c>
    </row>
    <row r="3810" spans="1:6" ht="15.75" hidden="1" customHeight="1" x14ac:dyDescent="0.35">
      <c r="A3810" s="1">
        <v>3809</v>
      </c>
      <c r="B3810" s="1">
        <v>733</v>
      </c>
      <c r="C3810" s="1">
        <v>36</v>
      </c>
      <c r="D3810" t="str">
        <f>VLOOKUP(B3810,Заказы!A:C,3,0)</f>
        <v>2023-09-04 15:58:00</v>
      </c>
      <c r="E3810" t="str">
        <f>VLOOKUP(C3810,Меню!A:E,4,0)</f>
        <v>Десерт</v>
      </c>
      <c r="F3810">
        <f>VLOOKUP(C3810,Меню!A:E,5,0)</f>
        <v>150</v>
      </c>
    </row>
    <row r="3811" spans="1:6" ht="15.75" hidden="1" customHeight="1" x14ac:dyDescent="0.35">
      <c r="A3811" s="1">
        <v>3810</v>
      </c>
      <c r="B3811" s="1">
        <v>734</v>
      </c>
      <c r="C3811" s="1">
        <v>40</v>
      </c>
      <c r="D3811" t="str">
        <f>VLOOKUP(B3811,Заказы!A:C,3,0)</f>
        <v>2023-09-04 21:09:00</v>
      </c>
      <c r="E3811" t="str">
        <f>VLOOKUP(C3811,Меню!A:E,4,0)</f>
        <v>Десерт</v>
      </c>
      <c r="F3811">
        <f>VLOOKUP(C3811,Меню!A:E,5,0)</f>
        <v>150</v>
      </c>
    </row>
    <row r="3812" spans="1:6" ht="15.75" hidden="1" customHeight="1" x14ac:dyDescent="0.35">
      <c r="A3812" s="1">
        <v>3811</v>
      </c>
      <c r="B3812" s="1">
        <v>734</v>
      </c>
      <c r="C3812" s="1">
        <v>29</v>
      </c>
      <c r="D3812" t="str">
        <f>VLOOKUP(B3812,Заказы!A:C,3,0)</f>
        <v>2023-09-04 21:09:00</v>
      </c>
      <c r="E3812" t="str">
        <f>VLOOKUP(C3812,Меню!A:E,4,0)</f>
        <v>Салат</v>
      </c>
      <c r="F3812">
        <f>VLOOKUP(C3812,Меню!A:E,5,0)</f>
        <v>250</v>
      </c>
    </row>
    <row r="3813" spans="1:6" ht="15.75" hidden="1" customHeight="1" x14ac:dyDescent="0.35">
      <c r="A3813" s="1">
        <v>3812</v>
      </c>
      <c r="B3813" s="1">
        <v>735</v>
      </c>
      <c r="C3813" s="1">
        <v>25</v>
      </c>
      <c r="D3813" t="str">
        <f>VLOOKUP(B3813,Заказы!A:C,3,0)</f>
        <v>2023-09-04 21:45:00</v>
      </c>
      <c r="E3813" t="str">
        <f>VLOOKUP(C3813,Меню!A:E,4,0)</f>
        <v>Салат</v>
      </c>
      <c r="F3813">
        <f>VLOOKUP(C3813,Меню!A:E,5,0)</f>
        <v>250</v>
      </c>
    </row>
    <row r="3814" spans="1:6" ht="15.75" hidden="1" customHeight="1" x14ac:dyDescent="0.35">
      <c r="A3814" s="1">
        <v>3813</v>
      </c>
      <c r="B3814" s="1">
        <v>735</v>
      </c>
      <c r="C3814" s="1">
        <v>11</v>
      </c>
      <c r="D3814" t="str">
        <f>VLOOKUP(B3814,Заказы!A:C,3,0)</f>
        <v>2023-09-04 21:45:00</v>
      </c>
      <c r="E3814" t="str">
        <f>VLOOKUP(C3814,Меню!A:E,4,0)</f>
        <v>Первое</v>
      </c>
      <c r="F3814">
        <f>VLOOKUP(C3814,Меню!A:E,5,0)</f>
        <v>300</v>
      </c>
    </row>
    <row r="3815" spans="1:6" ht="15.75" hidden="1" customHeight="1" x14ac:dyDescent="0.35">
      <c r="A3815" s="1">
        <v>3814</v>
      </c>
      <c r="B3815" s="1">
        <v>735</v>
      </c>
      <c r="C3815" s="1">
        <v>35</v>
      </c>
      <c r="D3815" t="str">
        <f>VLOOKUP(B3815,Заказы!A:C,3,0)</f>
        <v>2023-09-04 21:45:00</v>
      </c>
      <c r="E3815" t="str">
        <f>VLOOKUP(C3815,Меню!A:E,4,0)</f>
        <v>Десерт</v>
      </c>
      <c r="F3815">
        <f>VLOOKUP(C3815,Меню!A:E,5,0)</f>
        <v>150</v>
      </c>
    </row>
    <row r="3816" spans="1:6" ht="15.75" hidden="1" customHeight="1" x14ac:dyDescent="0.35">
      <c r="A3816" s="1">
        <v>3815</v>
      </c>
      <c r="B3816" s="1">
        <v>735</v>
      </c>
      <c r="C3816" s="1">
        <v>48</v>
      </c>
      <c r="D3816" t="str">
        <f>VLOOKUP(B3816,Заказы!A:C,3,0)</f>
        <v>2023-09-04 21:45:00</v>
      </c>
      <c r="E3816" t="str">
        <f>VLOOKUP(C3816,Меню!A:E,4,0)</f>
        <v>Суши</v>
      </c>
      <c r="F3816">
        <f>VLOOKUP(C3816,Меню!A:E,5,0)</f>
        <v>200</v>
      </c>
    </row>
    <row r="3817" spans="1:6" ht="15.75" hidden="1" customHeight="1" x14ac:dyDescent="0.35">
      <c r="A3817" s="1">
        <v>3816</v>
      </c>
      <c r="B3817" s="1">
        <v>735</v>
      </c>
      <c r="C3817" s="1">
        <v>49</v>
      </c>
      <c r="D3817" t="str">
        <f>VLOOKUP(B3817,Заказы!A:C,3,0)</f>
        <v>2023-09-04 21:45:00</v>
      </c>
      <c r="E3817" t="str">
        <f>VLOOKUP(C3817,Меню!A:E,4,0)</f>
        <v>Суши</v>
      </c>
      <c r="F3817">
        <f>VLOOKUP(C3817,Меню!A:E,5,0)</f>
        <v>200</v>
      </c>
    </row>
    <row r="3818" spans="1:6" ht="15.75" hidden="1" customHeight="1" x14ac:dyDescent="0.35">
      <c r="A3818" s="1">
        <v>3817</v>
      </c>
      <c r="B3818" s="1">
        <v>735</v>
      </c>
      <c r="C3818" s="1">
        <v>35</v>
      </c>
      <c r="D3818" t="str">
        <f>VLOOKUP(B3818,Заказы!A:C,3,0)</f>
        <v>2023-09-04 21:45:00</v>
      </c>
      <c r="E3818" t="str">
        <f>VLOOKUP(C3818,Меню!A:E,4,0)</f>
        <v>Десерт</v>
      </c>
      <c r="F3818">
        <f>VLOOKUP(C3818,Меню!A:E,5,0)</f>
        <v>150</v>
      </c>
    </row>
    <row r="3819" spans="1:6" ht="15.75" hidden="1" customHeight="1" x14ac:dyDescent="0.35">
      <c r="A3819" s="1">
        <v>3818</v>
      </c>
      <c r="B3819" s="1">
        <v>735</v>
      </c>
      <c r="C3819" s="1">
        <v>9</v>
      </c>
      <c r="D3819" t="str">
        <f>VLOOKUP(B3819,Заказы!A:C,3,0)</f>
        <v>2023-09-04 21:45:00</v>
      </c>
      <c r="E3819" t="str">
        <f>VLOOKUP(C3819,Меню!A:E,4,0)</f>
        <v>Завтрак</v>
      </c>
      <c r="F3819">
        <f>VLOOKUP(C3819,Меню!A:E,5,0)</f>
        <v>220</v>
      </c>
    </row>
    <row r="3820" spans="1:6" ht="15.75" hidden="1" customHeight="1" x14ac:dyDescent="0.35">
      <c r="A3820" s="1">
        <v>3819</v>
      </c>
      <c r="B3820" s="1">
        <v>736</v>
      </c>
      <c r="C3820" s="1">
        <v>53</v>
      </c>
      <c r="D3820" t="str">
        <f>VLOOKUP(B3820,Заказы!A:C,3,0)</f>
        <v>2023-09-05 16:15:00</v>
      </c>
      <c r="E3820" t="str">
        <f>VLOOKUP(C3820,Меню!A:E,4,0)</f>
        <v>Суши</v>
      </c>
      <c r="F3820">
        <f>VLOOKUP(C3820,Меню!A:E,5,0)</f>
        <v>100</v>
      </c>
    </row>
    <row r="3821" spans="1:6" ht="15.75" hidden="1" customHeight="1" x14ac:dyDescent="0.35">
      <c r="A3821" s="1">
        <v>3820</v>
      </c>
      <c r="B3821" s="1">
        <v>737</v>
      </c>
      <c r="C3821" s="1">
        <v>13</v>
      </c>
      <c r="D3821" t="str">
        <f>VLOOKUP(B3821,Заказы!A:C,3,0)</f>
        <v>2023-09-05 16:51:00</v>
      </c>
      <c r="E3821" t="str">
        <f>VLOOKUP(C3821,Меню!A:E,4,0)</f>
        <v>Первое</v>
      </c>
      <c r="F3821">
        <f>VLOOKUP(C3821,Меню!A:E,5,0)</f>
        <v>280</v>
      </c>
    </row>
    <row r="3822" spans="1:6" ht="15.75" hidden="1" customHeight="1" x14ac:dyDescent="0.35">
      <c r="A3822" s="1">
        <v>3821</v>
      </c>
      <c r="B3822" s="1">
        <v>737</v>
      </c>
      <c r="C3822" s="1">
        <v>8</v>
      </c>
      <c r="D3822" t="str">
        <f>VLOOKUP(B3822,Заказы!A:C,3,0)</f>
        <v>2023-09-05 16:51:00</v>
      </c>
      <c r="E3822" t="str">
        <f>VLOOKUP(C3822,Меню!A:E,4,0)</f>
        <v>Завтрак</v>
      </c>
      <c r="F3822">
        <f>VLOOKUP(C3822,Меню!A:E,5,0)</f>
        <v>180</v>
      </c>
    </row>
    <row r="3823" spans="1:6" ht="15.75" hidden="1" customHeight="1" x14ac:dyDescent="0.35">
      <c r="A3823" s="1">
        <v>3822</v>
      </c>
      <c r="B3823" s="1">
        <v>737</v>
      </c>
      <c r="C3823" s="1">
        <v>39</v>
      </c>
      <c r="D3823" t="str">
        <f>VLOOKUP(B3823,Заказы!A:C,3,0)</f>
        <v>2023-09-05 16:51:00</v>
      </c>
      <c r="E3823" t="str">
        <f>VLOOKUP(C3823,Меню!A:E,4,0)</f>
        <v>Десерт</v>
      </c>
      <c r="F3823">
        <f>VLOOKUP(C3823,Меню!A:E,5,0)</f>
        <v>150</v>
      </c>
    </row>
    <row r="3824" spans="1:6" ht="15.75" hidden="1" customHeight="1" x14ac:dyDescent="0.35">
      <c r="A3824" s="1">
        <v>3823</v>
      </c>
      <c r="B3824" s="1">
        <v>737</v>
      </c>
      <c r="C3824" s="1">
        <v>7</v>
      </c>
      <c r="D3824" t="str">
        <f>VLOOKUP(B3824,Заказы!A:C,3,0)</f>
        <v>2023-09-05 16:51:00</v>
      </c>
      <c r="E3824" t="str">
        <f>VLOOKUP(C3824,Меню!A:E,4,0)</f>
        <v>Завтрак</v>
      </c>
      <c r="F3824">
        <f>VLOOKUP(C3824,Меню!A:E,5,0)</f>
        <v>200</v>
      </c>
    </row>
    <row r="3825" spans="1:6" ht="15.75" hidden="1" customHeight="1" x14ac:dyDescent="0.35">
      <c r="A3825" s="1">
        <v>3824</v>
      </c>
      <c r="B3825" s="1">
        <v>738</v>
      </c>
      <c r="C3825" s="1">
        <v>35</v>
      </c>
      <c r="D3825" t="str">
        <f>VLOOKUP(B3825,Заказы!A:C,3,0)</f>
        <v>2023-09-05 17:00:00</v>
      </c>
      <c r="E3825" t="str">
        <f>VLOOKUP(C3825,Меню!A:E,4,0)</f>
        <v>Десерт</v>
      </c>
      <c r="F3825">
        <f>VLOOKUP(C3825,Меню!A:E,5,0)</f>
        <v>150</v>
      </c>
    </row>
    <row r="3826" spans="1:6" ht="15.75" hidden="1" customHeight="1" x14ac:dyDescent="0.35">
      <c r="A3826" s="1">
        <v>3825</v>
      </c>
      <c r="B3826" s="1">
        <v>738</v>
      </c>
      <c r="C3826" s="1">
        <v>20</v>
      </c>
      <c r="D3826" t="str">
        <f>VLOOKUP(B3826,Заказы!A:C,3,0)</f>
        <v>2023-09-05 17:00:00</v>
      </c>
      <c r="E3826" t="str">
        <f>VLOOKUP(C3826,Меню!A:E,4,0)</f>
        <v>Первое</v>
      </c>
      <c r="F3826">
        <f>VLOOKUP(C3826,Меню!A:E,5,0)</f>
        <v>250</v>
      </c>
    </row>
    <row r="3827" spans="1:6" ht="15.75" hidden="1" customHeight="1" x14ac:dyDescent="0.35">
      <c r="A3827" s="1">
        <v>3826</v>
      </c>
      <c r="B3827" s="1">
        <v>738</v>
      </c>
      <c r="C3827" s="1">
        <v>55</v>
      </c>
      <c r="D3827" t="str">
        <f>VLOOKUP(B3827,Заказы!A:C,3,0)</f>
        <v>2023-09-05 17:00:00</v>
      </c>
      <c r="E3827" t="str">
        <f>VLOOKUP(C3827,Меню!A:E,4,0)</f>
        <v>Суши</v>
      </c>
      <c r="F3827">
        <f>VLOOKUP(C3827,Меню!A:E,5,0)</f>
        <v>100</v>
      </c>
    </row>
    <row r="3828" spans="1:6" ht="15.75" hidden="1" customHeight="1" x14ac:dyDescent="0.35">
      <c r="A3828" s="1">
        <v>3827</v>
      </c>
      <c r="B3828" s="1">
        <v>738</v>
      </c>
      <c r="C3828" s="1">
        <v>2</v>
      </c>
      <c r="D3828" t="str">
        <f>VLOOKUP(B3828,Заказы!A:C,3,0)</f>
        <v>2023-09-05 17:00:00</v>
      </c>
      <c r="E3828" t="str">
        <f>VLOOKUP(C3828,Меню!A:E,4,0)</f>
        <v>Завтрак</v>
      </c>
      <c r="F3828">
        <f>VLOOKUP(C3828,Меню!A:E,5,0)</f>
        <v>250</v>
      </c>
    </row>
    <row r="3829" spans="1:6" ht="15.75" hidden="1" customHeight="1" x14ac:dyDescent="0.35">
      <c r="A3829" s="1">
        <v>3828</v>
      </c>
      <c r="B3829" s="1">
        <v>738</v>
      </c>
      <c r="C3829" s="1">
        <v>38</v>
      </c>
      <c r="D3829" t="str">
        <f>VLOOKUP(B3829,Заказы!A:C,3,0)</f>
        <v>2023-09-05 17:00:00</v>
      </c>
      <c r="E3829" t="str">
        <f>VLOOKUP(C3829,Меню!A:E,4,0)</f>
        <v>Десерт</v>
      </c>
      <c r="F3829">
        <f>VLOOKUP(C3829,Меню!A:E,5,0)</f>
        <v>150</v>
      </c>
    </row>
    <row r="3830" spans="1:6" ht="15.75" hidden="1" customHeight="1" x14ac:dyDescent="0.35">
      <c r="A3830" s="1">
        <v>3829</v>
      </c>
      <c r="B3830" s="1">
        <v>738</v>
      </c>
      <c r="C3830" s="1">
        <v>14</v>
      </c>
      <c r="D3830" t="str">
        <f>VLOOKUP(B3830,Заказы!A:C,3,0)</f>
        <v>2023-09-05 17:00:00</v>
      </c>
      <c r="E3830" t="str">
        <f>VLOOKUP(C3830,Меню!A:E,4,0)</f>
        <v>Первое</v>
      </c>
      <c r="F3830">
        <f>VLOOKUP(C3830,Меню!A:E,5,0)</f>
        <v>350</v>
      </c>
    </row>
    <row r="3831" spans="1:6" ht="15.75" hidden="1" customHeight="1" x14ac:dyDescent="0.35">
      <c r="A3831" s="1">
        <v>3830</v>
      </c>
      <c r="B3831" s="1">
        <v>738</v>
      </c>
      <c r="C3831" s="1">
        <v>3</v>
      </c>
      <c r="D3831" t="str">
        <f>VLOOKUP(B3831,Заказы!A:C,3,0)</f>
        <v>2023-09-05 17:00:00</v>
      </c>
      <c r="E3831" t="str">
        <f>VLOOKUP(C3831,Меню!A:E,4,0)</f>
        <v>Завтрак</v>
      </c>
      <c r="F3831">
        <f>VLOOKUP(C3831,Меню!A:E,5,0)</f>
        <v>150</v>
      </c>
    </row>
    <row r="3832" spans="1:6" ht="15.75" hidden="1" customHeight="1" x14ac:dyDescent="0.35">
      <c r="A3832" s="1">
        <v>3831</v>
      </c>
      <c r="B3832" s="1">
        <v>739</v>
      </c>
      <c r="C3832" s="1">
        <v>57</v>
      </c>
      <c r="D3832" t="str">
        <f>VLOOKUP(B3832,Заказы!A:C,3,0)</f>
        <v>2023-09-05 17:47:00</v>
      </c>
      <c r="E3832" t="str">
        <f>VLOOKUP(C3832,Меню!A:E,4,0)</f>
        <v>Суши</v>
      </c>
      <c r="F3832">
        <f>VLOOKUP(C3832,Меню!A:E,5,0)</f>
        <v>200</v>
      </c>
    </row>
    <row r="3833" spans="1:6" ht="15.75" hidden="1" customHeight="1" x14ac:dyDescent="0.35">
      <c r="A3833" s="1">
        <v>3832</v>
      </c>
      <c r="B3833" s="1">
        <v>739</v>
      </c>
      <c r="C3833" s="1">
        <v>4</v>
      </c>
      <c r="D3833" t="str">
        <f>VLOOKUP(B3833,Заказы!A:C,3,0)</f>
        <v>2023-09-05 17:47:00</v>
      </c>
      <c r="E3833" t="str">
        <f>VLOOKUP(C3833,Меню!A:E,4,0)</f>
        <v>Завтрак</v>
      </c>
      <c r="F3833">
        <f>VLOOKUP(C3833,Меню!A:E,5,0)</f>
        <v>180</v>
      </c>
    </row>
    <row r="3834" spans="1:6" ht="15.75" hidden="1" customHeight="1" x14ac:dyDescent="0.35">
      <c r="A3834" s="1">
        <v>3833</v>
      </c>
      <c r="B3834" s="1">
        <v>739</v>
      </c>
      <c r="C3834" s="1">
        <v>40</v>
      </c>
      <c r="D3834" t="str">
        <f>VLOOKUP(B3834,Заказы!A:C,3,0)</f>
        <v>2023-09-05 17:47:00</v>
      </c>
      <c r="E3834" t="str">
        <f>VLOOKUP(C3834,Меню!A:E,4,0)</f>
        <v>Десерт</v>
      </c>
      <c r="F3834">
        <f>VLOOKUP(C3834,Меню!A:E,5,0)</f>
        <v>150</v>
      </c>
    </row>
    <row r="3835" spans="1:6" ht="15.75" hidden="1" customHeight="1" x14ac:dyDescent="0.35">
      <c r="A3835" s="1">
        <v>3834</v>
      </c>
      <c r="B3835" s="1">
        <v>740</v>
      </c>
      <c r="C3835" s="1">
        <v>1</v>
      </c>
      <c r="D3835" t="str">
        <f>VLOOKUP(B3835,Заказы!A:C,3,0)</f>
        <v>2023-09-05 19:26:00</v>
      </c>
      <c r="E3835" t="str">
        <f>VLOOKUP(C3835,Меню!A:E,4,0)</f>
        <v>Завтрак</v>
      </c>
      <c r="F3835">
        <f>VLOOKUP(C3835,Меню!A:E,5,0)</f>
        <v>200</v>
      </c>
    </row>
    <row r="3836" spans="1:6" ht="15.75" hidden="1" customHeight="1" x14ac:dyDescent="0.35">
      <c r="A3836" s="1">
        <v>3835</v>
      </c>
      <c r="B3836" s="1">
        <v>740</v>
      </c>
      <c r="C3836" s="1">
        <v>16</v>
      </c>
      <c r="D3836" t="str">
        <f>VLOOKUP(B3836,Заказы!A:C,3,0)</f>
        <v>2023-09-05 19:26:00</v>
      </c>
      <c r="E3836" t="str">
        <f>VLOOKUP(C3836,Меню!A:E,4,0)</f>
        <v>Первое</v>
      </c>
      <c r="F3836">
        <f>VLOOKUP(C3836,Меню!A:E,5,0)</f>
        <v>250</v>
      </c>
    </row>
    <row r="3837" spans="1:6" ht="15.75" hidden="1" customHeight="1" x14ac:dyDescent="0.35">
      <c r="A3837" s="1">
        <v>3836</v>
      </c>
      <c r="B3837" s="1">
        <v>740</v>
      </c>
      <c r="C3837" s="1">
        <v>58</v>
      </c>
      <c r="D3837" t="str">
        <f>VLOOKUP(B3837,Заказы!A:C,3,0)</f>
        <v>2023-09-05 19:26:00</v>
      </c>
      <c r="E3837" t="str">
        <f>VLOOKUP(C3837,Меню!A:E,4,0)</f>
        <v>Суши</v>
      </c>
      <c r="F3837">
        <f>VLOOKUP(C3837,Меню!A:E,5,0)</f>
        <v>200</v>
      </c>
    </row>
    <row r="3838" spans="1:6" ht="15.75" hidden="1" customHeight="1" x14ac:dyDescent="0.35">
      <c r="A3838" s="1">
        <v>3837</v>
      </c>
      <c r="B3838" s="1">
        <v>740</v>
      </c>
      <c r="C3838" s="1">
        <v>59</v>
      </c>
      <c r="D3838" t="str">
        <f>VLOOKUP(B3838,Заказы!A:C,3,0)</f>
        <v>2023-09-05 19:26:00</v>
      </c>
      <c r="E3838" t="str">
        <f>VLOOKUP(C3838,Меню!A:E,4,0)</f>
        <v>Суши</v>
      </c>
      <c r="F3838">
        <f>VLOOKUP(C3838,Меню!A:E,5,0)</f>
        <v>300</v>
      </c>
    </row>
    <row r="3839" spans="1:6" ht="15.75" hidden="1" customHeight="1" x14ac:dyDescent="0.35">
      <c r="A3839" s="1">
        <v>3838</v>
      </c>
      <c r="B3839" s="1">
        <v>740</v>
      </c>
      <c r="C3839" s="1">
        <v>39</v>
      </c>
      <c r="D3839" t="str">
        <f>VLOOKUP(B3839,Заказы!A:C,3,0)</f>
        <v>2023-09-05 19:26:00</v>
      </c>
      <c r="E3839" t="str">
        <f>VLOOKUP(C3839,Меню!A:E,4,0)</f>
        <v>Десерт</v>
      </c>
      <c r="F3839">
        <f>VLOOKUP(C3839,Меню!A:E,5,0)</f>
        <v>150</v>
      </c>
    </row>
    <row r="3840" spans="1:6" ht="15.75" hidden="1" customHeight="1" x14ac:dyDescent="0.35">
      <c r="A3840" s="1">
        <v>3839</v>
      </c>
      <c r="B3840" s="1">
        <v>741</v>
      </c>
      <c r="C3840" s="1">
        <v>45</v>
      </c>
      <c r="D3840" t="str">
        <f>VLOOKUP(B3840,Заказы!A:C,3,0)</f>
        <v>2023-09-05 21:48:00</v>
      </c>
      <c r="E3840" t="str">
        <f>VLOOKUP(C3840,Меню!A:E,4,0)</f>
        <v>Суши</v>
      </c>
      <c r="F3840">
        <f>VLOOKUP(C3840,Меню!A:E,5,0)</f>
        <v>200</v>
      </c>
    </row>
    <row r="3841" spans="1:6" ht="15.75" hidden="1" customHeight="1" x14ac:dyDescent="0.35">
      <c r="A3841" s="1">
        <v>3840</v>
      </c>
      <c r="B3841" s="1">
        <v>741</v>
      </c>
      <c r="C3841" s="1">
        <v>17</v>
      </c>
      <c r="D3841" t="str">
        <f>VLOOKUP(B3841,Заказы!A:C,3,0)</f>
        <v>2023-09-05 21:48:00</v>
      </c>
      <c r="E3841" t="str">
        <f>VLOOKUP(C3841,Меню!A:E,4,0)</f>
        <v>Первое</v>
      </c>
      <c r="F3841">
        <f>VLOOKUP(C3841,Меню!A:E,5,0)</f>
        <v>250</v>
      </c>
    </row>
    <row r="3842" spans="1:6" ht="15.75" hidden="1" customHeight="1" x14ac:dyDescent="0.35">
      <c r="A3842" s="1">
        <v>3841</v>
      </c>
      <c r="B3842" s="1">
        <v>742</v>
      </c>
      <c r="C3842" s="1">
        <v>14</v>
      </c>
      <c r="D3842" t="str">
        <f>VLOOKUP(B3842,Заказы!A:C,3,0)</f>
        <v>2023-09-05 22:32:00</v>
      </c>
      <c r="E3842" t="str">
        <f>VLOOKUP(C3842,Меню!A:E,4,0)</f>
        <v>Первое</v>
      </c>
      <c r="F3842">
        <f>VLOOKUP(C3842,Меню!A:E,5,0)</f>
        <v>350</v>
      </c>
    </row>
    <row r="3843" spans="1:6" ht="15.75" hidden="1" customHeight="1" x14ac:dyDescent="0.35">
      <c r="A3843" s="1">
        <v>3842</v>
      </c>
      <c r="B3843" s="1">
        <v>742</v>
      </c>
      <c r="C3843" s="1">
        <v>19</v>
      </c>
      <c r="D3843" t="str">
        <f>VLOOKUP(B3843,Заказы!A:C,3,0)</f>
        <v>2023-09-05 22:32:00</v>
      </c>
      <c r="E3843" t="str">
        <f>VLOOKUP(C3843,Меню!A:E,4,0)</f>
        <v>Первое</v>
      </c>
      <c r="F3843">
        <f>VLOOKUP(C3843,Меню!A:E,5,0)</f>
        <v>300</v>
      </c>
    </row>
    <row r="3844" spans="1:6" ht="15.75" hidden="1" customHeight="1" x14ac:dyDescent="0.35">
      <c r="A3844" s="1">
        <v>3843</v>
      </c>
      <c r="B3844" s="1">
        <v>742</v>
      </c>
      <c r="C3844" s="1">
        <v>46</v>
      </c>
      <c r="D3844" t="str">
        <f>VLOOKUP(B3844,Заказы!A:C,3,0)</f>
        <v>2023-09-05 22:32:00</v>
      </c>
      <c r="E3844" t="str">
        <f>VLOOKUP(C3844,Меню!A:E,4,0)</f>
        <v>Суши</v>
      </c>
      <c r="F3844">
        <f>VLOOKUP(C3844,Меню!A:E,5,0)</f>
        <v>200</v>
      </c>
    </row>
    <row r="3845" spans="1:6" ht="15.75" hidden="1" customHeight="1" x14ac:dyDescent="0.35">
      <c r="A3845" s="1">
        <v>3844</v>
      </c>
      <c r="B3845" s="1">
        <v>743</v>
      </c>
      <c r="C3845" s="1">
        <v>5</v>
      </c>
      <c r="D3845" t="str">
        <f>VLOOKUP(B3845,Заказы!A:C,3,0)</f>
        <v>2023-09-06 15:49:00</v>
      </c>
      <c r="E3845" t="str">
        <f>VLOOKUP(C3845,Меню!A:E,4,0)</f>
        <v>Завтрак</v>
      </c>
      <c r="F3845">
        <f>VLOOKUP(C3845,Меню!A:E,5,0)</f>
        <v>220</v>
      </c>
    </row>
    <row r="3846" spans="1:6" ht="15.75" hidden="1" customHeight="1" x14ac:dyDescent="0.35">
      <c r="A3846" s="1">
        <v>3845</v>
      </c>
      <c r="B3846" s="1">
        <v>743</v>
      </c>
      <c r="C3846" s="1">
        <v>55</v>
      </c>
      <c r="D3846" t="str">
        <f>VLOOKUP(B3846,Заказы!A:C,3,0)</f>
        <v>2023-09-06 15:49:00</v>
      </c>
      <c r="E3846" t="str">
        <f>VLOOKUP(C3846,Меню!A:E,4,0)</f>
        <v>Суши</v>
      </c>
      <c r="F3846">
        <f>VLOOKUP(C3846,Меню!A:E,5,0)</f>
        <v>100</v>
      </c>
    </row>
    <row r="3847" spans="1:6" ht="15.75" hidden="1" customHeight="1" x14ac:dyDescent="0.35">
      <c r="A3847" s="1">
        <v>3846</v>
      </c>
      <c r="B3847" s="1">
        <v>744</v>
      </c>
      <c r="C3847" s="1">
        <v>58</v>
      </c>
      <c r="D3847" t="str">
        <f>VLOOKUP(B3847,Заказы!A:C,3,0)</f>
        <v>2023-09-06 16:35:00</v>
      </c>
      <c r="E3847" t="str">
        <f>VLOOKUP(C3847,Меню!A:E,4,0)</f>
        <v>Суши</v>
      </c>
      <c r="F3847">
        <f>VLOOKUP(C3847,Меню!A:E,5,0)</f>
        <v>200</v>
      </c>
    </row>
    <row r="3848" spans="1:6" ht="15.75" hidden="1" customHeight="1" x14ac:dyDescent="0.35">
      <c r="A3848" s="1">
        <v>3847</v>
      </c>
      <c r="B3848" s="1">
        <v>744</v>
      </c>
      <c r="C3848" s="1">
        <v>60</v>
      </c>
      <c r="D3848" t="str">
        <f>VLOOKUP(B3848,Заказы!A:C,3,0)</f>
        <v>2023-09-06 16:35:00</v>
      </c>
      <c r="E3848" t="str">
        <f>VLOOKUP(C3848,Меню!A:E,4,0)</f>
        <v>Суши</v>
      </c>
      <c r="F3848">
        <f>VLOOKUP(C3848,Меню!A:E,5,0)</f>
        <v>250</v>
      </c>
    </row>
    <row r="3849" spans="1:6" ht="15.75" hidden="1" customHeight="1" x14ac:dyDescent="0.35">
      <c r="A3849" s="1">
        <v>3848</v>
      </c>
      <c r="B3849" s="1">
        <v>744</v>
      </c>
      <c r="C3849" s="1">
        <v>15</v>
      </c>
      <c r="D3849" t="str">
        <f>VLOOKUP(B3849,Заказы!A:C,3,0)</f>
        <v>2023-09-06 16:35:00</v>
      </c>
      <c r="E3849" t="str">
        <f>VLOOKUP(C3849,Меню!A:E,4,0)</f>
        <v>Первое</v>
      </c>
      <c r="F3849">
        <f>VLOOKUP(C3849,Меню!A:E,5,0)</f>
        <v>250</v>
      </c>
    </row>
    <row r="3850" spans="1:6" ht="15.75" hidden="1" customHeight="1" x14ac:dyDescent="0.35">
      <c r="A3850" s="1">
        <v>3849</v>
      </c>
      <c r="B3850" s="1">
        <v>744</v>
      </c>
      <c r="C3850" s="1">
        <v>16</v>
      </c>
      <c r="D3850" t="str">
        <f>VLOOKUP(B3850,Заказы!A:C,3,0)</f>
        <v>2023-09-06 16:35:00</v>
      </c>
      <c r="E3850" t="str">
        <f>VLOOKUP(C3850,Меню!A:E,4,0)</f>
        <v>Первое</v>
      </c>
      <c r="F3850">
        <f>VLOOKUP(C3850,Меню!A:E,5,0)</f>
        <v>250</v>
      </c>
    </row>
    <row r="3851" spans="1:6" ht="15.75" hidden="1" customHeight="1" x14ac:dyDescent="0.35">
      <c r="A3851" s="1">
        <v>3850</v>
      </c>
      <c r="B3851" s="1">
        <v>744</v>
      </c>
      <c r="C3851" s="1">
        <v>45</v>
      </c>
      <c r="D3851" t="str">
        <f>VLOOKUP(B3851,Заказы!A:C,3,0)</f>
        <v>2023-09-06 16:35:00</v>
      </c>
      <c r="E3851" t="str">
        <f>VLOOKUP(C3851,Меню!A:E,4,0)</f>
        <v>Суши</v>
      </c>
      <c r="F3851">
        <f>VLOOKUP(C3851,Меню!A:E,5,0)</f>
        <v>200</v>
      </c>
    </row>
    <row r="3852" spans="1:6" ht="15.75" hidden="1" customHeight="1" x14ac:dyDescent="0.35">
      <c r="A3852" s="1">
        <v>3851</v>
      </c>
      <c r="B3852" s="1">
        <v>744</v>
      </c>
      <c r="C3852" s="1">
        <v>8</v>
      </c>
      <c r="D3852" t="str">
        <f>VLOOKUP(B3852,Заказы!A:C,3,0)</f>
        <v>2023-09-06 16:35:00</v>
      </c>
      <c r="E3852" t="str">
        <f>VLOOKUP(C3852,Меню!A:E,4,0)</f>
        <v>Завтрак</v>
      </c>
      <c r="F3852">
        <f>VLOOKUP(C3852,Меню!A:E,5,0)</f>
        <v>180</v>
      </c>
    </row>
    <row r="3853" spans="1:6" ht="15.75" hidden="1" customHeight="1" x14ac:dyDescent="0.35">
      <c r="A3853" s="1">
        <v>3852</v>
      </c>
      <c r="B3853" s="1">
        <v>744</v>
      </c>
      <c r="C3853" s="1">
        <v>25</v>
      </c>
      <c r="D3853" t="str">
        <f>VLOOKUP(B3853,Заказы!A:C,3,0)</f>
        <v>2023-09-06 16:35:00</v>
      </c>
      <c r="E3853" t="str">
        <f>VLOOKUP(C3853,Меню!A:E,4,0)</f>
        <v>Салат</v>
      </c>
      <c r="F3853">
        <f>VLOOKUP(C3853,Меню!A:E,5,0)</f>
        <v>250</v>
      </c>
    </row>
    <row r="3854" spans="1:6" ht="15.75" hidden="1" customHeight="1" x14ac:dyDescent="0.35">
      <c r="A3854" s="1">
        <v>3853</v>
      </c>
      <c r="B3854" s="1">
        <v>744</v>
      </c>
      <c r="C3854" s="1">
        <v>26</v>
      </c>
      <c r="D3854" t="str">
        <f>VLOOKUP(B3854,Заказы!A:C,3,0)</f>
        <v>2023-09-06 16:35:00</v>
      </c>
      <c r="E3854" t="str">
        <f>VLOOKUP(C3854,Меню!A:E,4,0)</f>
        <v>Салат</v>
      </c>
      <c r="F3854">
        <f>VLOOKUP(C3854,Меню!A:E,5,0)</f>
        <v>250</v>
      </c>
    </row>
    <row r="3855" spans="1:6" ht="15.75" hidden="1" customHeight="1" x14ac:dyDescent="0.35">
      <c r="A3855" s="1">
        <v>3854</v>
      </c>
      <c r="B3855" s="1">
        <v>745</v>
      </c>
      <c r="C3855" s="1">
        <v>35</v>
      </c>
      <c r="D3855" t="str">
        <f>VLOOKUP(B3855,Заказы!A:C,3,0)</f>
        <v>2023-09-06 21:16:00</v>
      </c>
      <c r="E3855" t="str">
        <f>VLOOKUP(C3855,Меню!A:E,4,0)</f>
        <v>Десерт</v>
      </c>
      <c r="F3855">
        <f>VLOOKUP(C3855,Меню!A:E,5,0)</f>
        <v>150</v>
      </c>
    </row>
    <row r="3856" spans="1:6" ht="15.75" hidden="1" customHeight="1" x14ac:dyDescent="0.35">
      <c r="A3856" s="1">
        <v>3855</v>
      </c>
      <c r="B3856" s="1">
        <v>745</v>
      </c>
      <c r="C3856" s="1">
        <v>36</v>
      </c>
      <c r="D3856" t="str">
        <f>VLOOKUP(B3856,Заказы!A:C,3,0)</f>
        <v>2023-09-06 21:16:00</v>
      </c>
      <c r="E3856" t="str">
        <f>VLOOKUP(C3856,Меню!A:E,4,0)</f>
        <v>Десерт</v>
      </c>
      <c r="F3856">
        <f>VLOOKUP(C3856,Меню!A:E,5,0)</f>
        <v>150</v>
      </c>
    </row>
    <row r="3857" spans="1:6" ht="15.75" hidden="1" customHeight="1" x14ac:dyDescent="0.35">
      <c r="A3857" s="1">
        <v>3856</v>
      </c>
      <c r="B3857" s="1">
        <v>745</v>
      </c>
      <c r="C3857" s="1">
        <v>50</v>
      </c>
      <c r="D3857" t="str">
        <f>VLOOKUP(B3857,Заказы!A:C,3,0)</f>
        <v>2023-09-06 21:16:00</v>
      </c>
      <c r="E3857" t="str">
        <f>VLOOKUP(C3857,Меню!A:E,4,0)</f>
        <v>Суши</v>
      </c>
      <c r="F3857">
        <f>VLOOKUP(C3857,Меню!A:E,5,0)</f>
        <v>200</v>
      </c>
    </row>
    <row r="3858" spans="1:6" ht="15.75" hidden="1" customHeight="1" x14ac:dyDescent="0.35">
      <c r="A3858" s="1">
        <v>3857</v>
      </c>
      <c r="B3858" s="1">
        <v>745</v>
      </c>
      <c r="C3858" s="1">
        <v>9</v>
      </c>
      <c r="D3858" t="str">
        <f>VLOOKUP(B3858,Заказы!A:C,3,0)</f>
        <v>2023-09-06 21:16:00</v>
      </c>
      <c r="E3858" t="str">
        <f>VLOOKUP(C3858,Меню!A:E,4,0)</f>
        <v>Завтрак</v>
      </c>
      <c r="F3858">
        <f>VLOOKUP(C3858,Меню!A:E,5,0)</f>
        <v>220</v>
      </c>
    </row>
    <row r="3859" spans="1:6" ht="15.75" hidden="1" customHeight="1" x14ac:dyDescent="0.35">
      <c r="A3859" s="1">
        <v>3858</v>
      </c>
      <c r="B3859" s="1">
        <v>745</v>
      </c>
      <c r="C3859" s="1">
        <v>41</v>
      </c>
      <c r="D3859" t="str">
        <f>VLOOKUP(B3859,Заказы!A:C,3,0)</f>
        <v>2023-09-06 21:16:00</v>
      </c>
      <c r="E3859" t="str">
        <f>VLOOKUP(C3859,Меню!A:E,4,0)</f>
        <v>Суши</v>
      </c>
      <c r="F3859">
        <f>VLOOKUP(C3859,Меню!A:E,5,0)</f>
        <v>220</v>
      </c>
    </row>
    <row r="3860" spans="1:6" ht="15.75" hidden="1" customHeight="1" x14ac:dyDescent="0.35">
      <c r="A3860" s="1">
        <v>3859</v>
      </c>
      <c r="B3860" s="1">
        <v>745</v>
      </c>
      <c r="C3860" s="1">
        <v>54</v>
      </c>
      <c r="D3860" t="str">
        <f>VLOOKUP(B3860,Заказы!A:C,3,0)</f>
        <v>2023-09-06 21:16:00</v>
      </c>
      <c r="E3860" t="str">
        <f>VLOOKUP(C3860,Меню!A:E,4,0)</f>
        <v>Суши</v>
      </c>
      <c r="F3860">
        <f>VLOOKUP(C3860,Меню!A:E,5,0)</f>
        <v>100</v>
      </c>
    </row>
    <row r="3861" spans="1:6" ht="15.75" hidden="1" customHeight="1" x14ac:dyDescent="0.35">
      <c r="A3861" s="1">
        <v>3860</v>
      </c>
      <c r="B3861" s="1">
        <v>745</v>
      </c>
      <c r="C3861" s="1">
        <v>12</v>
      </c>
      <c r="D3861" t="str">
        <f>VLOOKUP(B3861,Заказы!A:C,3,0)</f>
        <v>2023-09-06 21:16:00</v>
      </c>
      <c r="E3861" t="str">
        <f>VLOOKUP(C3861,Меню!A:E,4,0)</f>
        <v>Первое</v>
      </c>
      <c r="F3861">
        <f>VLOOKUP(C3861,Меню!A:E,5,0)</f>
        <v>300</v>
      </c>
    </row>
    <row r="3862" spans="1:6" ht="15.75" hidden="1" customHeight="1" x14ac:dyDescent="0.35">
      <c r="A3862" s="1">
        <v>3861</v>
      </c>
      <c r="B3862" s="1">
        <v>745</v>
      </c>
      <c r="C3862" s="1">
        <v>29</v>
      </c>
      <c r="D3862" t="str">
        <f>VLOOKUP(B3862,Заказы!A:C,3,0)</f>
        <v>2023-09-06 21:16:00</v>
      </c>
      <c r="E3862" t="str">
        <f>VLOOKUP(C3862,Меню!A:E,4,0)</f>
        <v>Салат</v>
      </c>
      <c r="F3862">
        <f>VLOOKUP(C3862,Меню!A:E,5,0)</f>
        <v>250</v>
      </c>
    </row>
    <row r="3863" spans="1:6" ht="15.75" hidden="1" customHeight="1" x14ac:dyDescent="0.35">
      <c r="A3863" s="1">
        <v>3862</v>
      </c>
      <c r="B3863" s="1">
        <v>746</v>
      </c>
      <c r="C3863" s="1">
        <v>18</v>
      </c>
      <c r="D3863" t="str">
        <f>VLOOKUP(B3863,Заказы!A:C,3,0)</f>
        <v>2023-09-06 21:57:00</v>
      </c>
      <c r="E3863" t="str">
        <f>VLOOKUP(C3863,Меню!A:E,4,0)</f>
        <v>Первое</v>
      </c>
      <c r="F3863">
        <f>VLOOKUP(C3863,Меню!A:E,5,0)</f>
        <v>300</v>
      </c>
    </row>
    <row r="3864" spans="1:6" ht="15.75" hidden="1" customHeight="1" x14ac:dyDescent="0.35">
      <c r="A3864" s="1">
        <v>3863</v>
      </c>
      <c r="B3864" s="1">
        <v>746</v>
      </c>
      <c r="C3864" s="1">
        <v>31</v>
      </c>
      <c r="D3864" t="str">
        <f>VLOOKUP(B3864,Заказы!A:C,3,0)</f>
        <v>2023-09-06 21:57:00</v>
      </c>
      <c r="E3864" t="str">
        <f>VLOOKUP(C3864,Меню!A:E,4,0)</f>
        <v>Десерт</v>
      </c>
      <c r="F3864">
        <f>VLOOKUP(C3864,Меню!A:E,5,0)</f>
        <v>150</v>
      </c>
    </row>
    <row r="3865" spans="1:6" ht="15.75" hidden="1" customHeight="1" x14ac:dyDescent="0.35">
      <c r="A3865" s="1">
        <v>3864</v>
      </c>
      <c r="B3865" s="1">
        <v>746</v>
      </c>
      <c r="C3865" s="1">
        <v>30</v>
      </c>
      <c r="D3865" t="str">
        <f>VLOOKUP(B3865,Заказы!A:C,3,0)</f>
        <v>2023-09-06 21:57:00</v>
      </c>
      <c r="E3865" t="str">
        <f>VLOOKUP(C3865,Меню!A:E,4,0)</f>
        <v>Салат</v>
      </c>
      <c r="F3865">
        <f>VLOOKUP(C3865,Меню!A:E,5,0)</f>
        <v>250</v>
      </c>
    </row>
    <row r="3866" spans="1:6" ht="15.75" hidden="1" customHeight="1" x14ac:dyDescent="0.35">
      <c r="A3866" s="1">
        <v>3865</v>
      </c>
      <c r="B3866" s="1">
        <v>746</v>
      </c>
      <c r="C3866" s="1">
        <v>31</v>
      </c>
      <c r="D3866" t="str">
        <f>VLOOKUP(B3866,Заказы!A:C,3,0)</f>
        <v>2023-09-06 21:57:00</v>
      </c>
      <c r="E3866" t="str">
        <f>VLOOKUP(C3866,Меню!A:E,4,0)</f>
        <v>Десерт</v>
      </c>
      <c r="F3866">
        <f>VLOOKUP(C3866,Меню!A:E,5,0)</f>
        <v>150</v>
      </c>
    </row>
    <row r="3867" spans="1:6" ht="15.75" hidden="1" customHeight="1" x14ac:dyDescent="0.35">
      <c r="A3867" s="1">
        <v>3866</v>
      </c>
      <c r="B3867" s="1">
        <v>746</v>
      </c>
      <c r="C3867" s="1">
        <v>4</v>
      </c>
      <c r="D3867" t="str">
        <f>VLOOKUP(B3867,Заказы!A:C,3,0)</f>
        <v>2023-09-06 21:57:00</v>
      </c>
      <c r="E3867" t="str">
        <f>VLOOKUP(C3867,Меню!A:E,4,0)</f>
        <v>Завтрак</v>
      </c>
      <c r="F3867">
        <f>VLOOKUP(C3867,Меню!A:E,5,0)</f>
        <v>180</v>
      </c>
    </row>
    <row r="3868" spans="1:6" ht="15.75" hidden="1" customHeight="1" x14ac:dyDescent="0.35">
      <c r="A3868" s="1">
        <v>3867</v>
      </c>
      <c r="B3868" s="1">
        <v>746</v>
      </c>
      <c r="C3868" s="1">
        <v>33</v>
      </c>
      <c r="D3868" t="str">
        <f>VLOOKUP(B3868,Заказы!A:C,3,0)</f>
        <v>2023-09-06 21:57:00</v>
      </c>
      <c r="E3868" t="str">
        <f>VLOOKUP(C3868,Меню!A:E,4,0)</f>
        <v>Десерт</v>
      </c>
      <c r="F3868">
        <f>VLOOKUP(C3868,Меню!A:E,5,0)</f>
        <v>150</v>
      </c>
    </row>
    <row r="3869" spans="1:6" ht="15.75" hidden="1" customHeight="1" x14ac:dyDescent="0.35">
      <c r="A3869" s="1">
        <v>3868</v>
      </c>
      <c r="B3869" s="1">
        <v>746</v>
      </c>
      <c r="C3869" s="1">
        <v>2</v>
      </c>
      <c r="D3869" t="str">
        <f>VLOOKUP(B3869,Заказы!A:C,3,0)</f>
        <v>2023-09-06 21:57:00</v>
      </c>
      <c r="E3869" t="str">
        <f>VLOOKUP(C3869,Меню!A:E,4,0)</f>
        <v>Завтрак</v>
      </c>
      <c r="F3869">
        <f>VLOOKUP(C3869,Меню!A:E,5,0)</f>
        <v>250</v>
      </c>
    </row>
    <row r="3870" spans="1:6" ht="15.75" hidden="1" customHeight="1" x14ac:dyDescent="0.35">
      <c r="A3870" s="1">
        <v>3869</v>
      </c>
      <c r="B3870" s="1">
        <v>746</v>
      </c>
      <c r="C3870" s="1">
        <v>46</v>
      </c>
      <c r="D3870" t="str">
        <f>VLOOKUP(B3870,Заказы!A:C,3,0)</f>
        <v>2023-09-06 21:57:00</v>
      </c>
      <c r="E3870" t="str">
        <f>VLOOKUP(C3870,Меню!A:E,4,0)</f>
        <v>Суши</v>
      </c>
      <c r="F3870">
        <f>VLOOKUP(C3870,Меню!A:E,5,0)</f>
        <v>200</v>
      </c>
    </row>
    <row r="3871" spans="1:6" ht="15.75" hidden="1" customHeight="1" x14ac:dyDescent="0.35">
      <c r="A3871" s="1">
        <v>3870</v>
      </c>
      <c r="B3871" s="1">
        <v>747</v>
      </c>
      <c r="C3871" s="1">
        <v>53</v>
      </c>
      <c r="D3871" t="str">
        <f>VLOOKUP(B3871,Заказы!A:C,3,0)</f>
        <v>2023-09-06 22:03:00</v>
      </c>
      <c r="E3871" t="str">
        <f>VLOOKUP(C3871,Меню!A:E,4,0)</f>
        <v>Суши</v>
      </c>
      <c r="F3871">
        <f>VLOOKUP(C3871,Меню!A:E,5,0)</f>
        <v>100</v>
      </c>
    </row>
    <row r="3872" spans="1:6" ht="15.75" hidden="1" customHeight="1" x14ac:dyDescent="0.35">
      <c r="A3872" s="1">
        <v>3871</v>
      </c>
      <c r="B3872" s="1">
        <v>747</v>
      </c>
      <c r="C3872" s="1">
        <v>36</v>
      </c>
      <c r="D3872" t="str">
        <f>VLOOKUP(B3872,Заказы!A:C,3,0)</f>
        <v>2023-09-06 22:03:00</v>
      </c>
      <c r="E3872" t="str">
        <f>VLOOKUP(C3872,Меню!A:E,4,0)</f>
        <v>Десерт</v>
      </c>
      <c r="F3872">
        <f>VLOOKUP(C3872,Меню!A:E,5,0)</f>
        <v>150</v>
      </c>
    </row>
    <row r="3873" spans="1:6" ht="15.75" hidden="1" customHeight="1" x14ac:dyDescent="0.35">
      <c r="A3873" s="1">
        <v>3872</v>
      </c>
      <c r="B3873" s="1">
        <v>747</v>
      </c>
      <c r="C3873" s="1">
        <v>7</v>
      </c>
      <c r="D3873" t="str">
        <f>VLOOKUP(B3873,Заказы!A:C,3,0)</f>
        <v>2023-09-06 22:03:00</v>
      </c>
      <c r="E3873" t="str">
        <f>VLOOKUP(C3873,Меню!A:E,4,0)</f>
        <v>Завтрак</v>
      </c>
      <c r="F3873">
        <f>VLOOKUP(C3873,Меню!A:E,5,0)</f>
        <v>200</v>
      </c>
    </row>
    <row r="3874" spans="1:6" ht="15.75" hidden="1" customHeight="1" x14ac:dyDescent="0.35">
      <c r="A3874" s="1">
        <v>3873</v>
      </c>
      <c r="B3874" s="1">
        <v>747</v>
      </c>
      <c r="C3874" s="1">
        <v>2</v>
      </c>
      <c r="D3874" t="str">
        <f>VLOOKUP(B3874,Заказы!A:C,3,0)</f>
        <v>2023-09-06 22:03:00</v>
      </c>
      <c r="E3874" t="str">
        <f>VLOOKUP(C3874,Меню!A:E,4,0)</f>
        <v>Завтрак</v>
      </c>
      <c r="F3874">
        <f>VLOOKUP(C3874,Меню!A:E,5,0)</f>
        <v>250</v>
      </c>
    </row>
    <row r="3875" spans="1:6" ht="15.75" hidden="1" customHeight="1" x14ac:dyDescent="0.35">
      <c r="A3875" s="1">
        <v>3874</v>
      </c>
      <c r="B3875" s="1">
        <v>748</v>
      </c>
      <c r="C3875" s="1">
        <v>16</v>
      </c>
      <c r="D3875" t="str">
        <f>VLOOKUP(B3875,Заказы!A:C,3,0)</f>
        <v>2023-09-06 22:11:00</v>
      </c>
      <c r="E3875" t="str">
        <f>VLOOKUP(C3875,Меню!A:E,4,0)</f>
        <v>Первое</v>
      </c>
      <c r="F3875">
        <f>VLOOKUP(C3875,Меню!A:E,5,0)</f>
        <v>250</v>
      </c>
    </row>
    <row r="3876" spans="1:6" ht="15.75" hidden="1" customHeight="1" x14ac:dyDescent="0.35">
      <c r="A3876" s="1">
        <v>3875</v>
      </c>
      <c r="B3876" s="1">
        <v>748</v>
      </c>
      <c r="C3876" s="1">
        <v>7</v>
      </c>
      <c r="D3876" t="str">
        <f>VLOOKUP(B3876,Заказы!A:C,3,0)</f>
        <v>2023-09-06 22:11:00</v>
      </c>
      <c r="E3876" t="str">
        <f>VLOOKUP(C3876,Меню!A:E,4,0)</f>
        <v>Завтрак</v>
      </c>
      <c r="F3876">
        <f>VLOOKUP(C3876,Меню!A:E,5,0)</f>
        <v>200</v>
      </c>
    </row>
    <row r="3877" spans="1:6" ht="15.75" hidden="1" customHeight="1" x14ac:dyDescent="0.35">
      <c r="A3877" s="1">
        <v>3876</v>
      </c>
      <c r="B3877" s="1">
        <v>748</v>
      </c>
      <c r="C3877" s="1">
        <v>12</v>
      </c>
      <c r="D3877" t="str">
        <f>VLOOKUP(B3877,Заказы!A:C,3,0)</f>
        <v>2023-09-06 22:11:00</v>
      </c>
      <c r="E3877" t="str">
        <f>VLOOKUP(C3877,Меню!A:E,4,0)</f>
        <v>Первое</v>
      </c>
      <c r="F3877">
        <f>VLOOKUP(C3877,Меню!A:E,5,0)</f>
        <v>300</v>
      </c>
    </row>
    <row r="3878" spans="1:6" ht="15.75" hidden="1" customHeight="1" x14ac:dyDescent="0.35">
      <c r="A3878" s="1">
        <v>3877</v>
      </c>
      <c r="B3878" s="1">
        <v>749</v>
      </c>
      <c r="C3878" s="1">
        <v>16</v>
      </c>
      <c r="D3878" t="str">
        <f>VLOOKUP(B3878,Заказы!A:C,3,0)</f>
        <v>2023-09-06 22:32:00</v>
      </c>
      <c r="E3878" t="str">
        <f>VLOOKUP(C3878,Меню!A:E,4,0)</f>
        <v>Первое</v>
      </c>
      <c r="F3878">
        <f>VLOOKUP(C3878,Меню!A:E,5,0)</f>
        <v>250</v>
      </c>
    </row>
    <row r="3879" spans="1:6" ht="15.75" hidden="1" customHeight="1" x14ac:dyDescent="0.35">
      <c r="A3879" s="1">
        <v>3878</v>
      </c>
      <c r="B3879" s="1">
        <v>749</v>
      </c>
      <c r="C3879" s="1">
        <v>8</v>
      </c>
      <c r="D3879" t="str">
        <f>VLOOKUP(B3879,Заказы!A:C,3,0)</f>
        <v>2023-09-06 22:32:00</v>
      </c>
      <c r="E3879" t="str">
        <f>VLOOKUP(C3879,Меню!A:E,4,0)</f>
        <v>Завтрак</v>
      </c>
      <c r="F3879">
        <f>VLOOKUP(C3879,Меню!A:E,5,0)</f>
        <v>180</v>
      </c>
    </row>
    <row r="3880" spans="1:6" ht="15.75" hidden="1" customHeight="1" x14ac:dyDescent="0.35">
      <c r="A3880" s="1">
        <v>3879</v>
      </c>
      <c r="B3880" s="1">
        <v>749</v>
      </c>
      <c r="C3880" s="1">
        <v>27</v>
      </c>
      <c r="D3880" t="str">
        <f>VLOOKUP(B3880,Заказы!A:C,3,0)</f>
        <v>2023-09-06 22:32:00</v>
      </c>
      <c r="E3880" t="str">
        <f>VLOOKUP(C3880,Меню!A:E,4,0)</f>
        <v>Салат</v>
      </c>
      <c r="F3880">
        <f>VLOOKUP(C3880,Меню!A:E,5,0)</f>
        <v>250</v>
      </c>
    </row>
    <row r="3881" spans="1:6" ht="15.75" hidden="1" customHeight="1" x14ac:dyDescent="0.35">
      <c r="A3881" s="1">
        <v>3880</v>
      </c>
      <c r="B3881" s="1">
        <v>749</v>
      </c>
      <c r="C3881" s="1">
        <v>6</v>
      </c>
      <c r="D3881" t="str">
        <f>VLOOKUP(B3881,Заказы!A:C,3,0)</f>
        <v>2023-09-06 22:32:00</v>
      </c>
      <c r="E3881" t="str">
        <f>VLOOKUP(C3881,Меню!A:E,4,0)</f>
        <v>Завтрак</v>
      </c>
      <c r="F3881">
        <f>VLOOKUP(C3881,Меню!A:E,5,0)</f>
        <v>300</v>
      </c>
    </row>
    <row r="3882" spans="1:6" ht="15.75" hidden="1" customHeight="1" x14ac:dyDescent="0.35">
      <c r="A3882" s="1">
        <v>3881</v>
      </c>
      <c r="B3882" s="1">
        <v>749</v>
      </c>
      <c r="C3882" s="1">
        <v>9</v>
      </c>
      <c r="D3882" t="str">
        <f>VLOOKUP(B3882,Заказы!A:C,3,0)</f>
        <v>2023-09-06 22:32:00</v>
      </c>
      <c r="E3882" t="str">
        <f>VLOOKUP(C3882,Меню!A:E,4,0)</f>
        <v>Завтрак</v>
      </c>
      <c r="F3882">
        <f>VLOOKUP(C3882,Меню!A:E,5,0)</f>
        <v>220</v>
      </c>
    </row>
    <row r="3883" spans="1:6" ht="15.75" hidden="1" customHeight="1" x14ac:dyDescent="0.35">
      <c r="A3883" s="1">
        <v>3882</v>
      </c>
      <c r="B3883" s="1">
        <v>750</v>
      </c>
      <c r="C3883" s="1">
        <v>18</v>
      </c>
      <c r="D3883" t="str">
        <f>VLOOKUP(B3883,Заказы!A:C,3,0)</f>
        <v>2023-09-07 15:01:00</v>
      </c>
      <c r="E3883" t="str">
        <f>VLOOKUP(C3883,Меню!A:E,4,0)</f>
        <v>Первое</v>
      </c>
      <c r="F3883">
        <f>VLOOKUP(C3883,Меню!A:E,5,0)</f>
        <v>300</v>
      </c>
    </row>
    <row r="3884" spans="1:6" ht="15.75" hidden="1" customHeight="1" x14ac:dyDescent="0.35">
      <c r="A3884" s="1">
        <v>3883</v>
      </c>
      <c r="B3884" s="1">
        <v>750</v>
      </c>
      <c r="C3884" s="1">
        <v>15</v>
      </c>
      <c r="D3884" t="str">
        <f>VLOOKUP(B3884,Заказы!A:C,3,0)</f>
        <v>2023-09-07 15:01:00</v>
      </c>
      <c r="E3884" t="str">
        <f>VLOOKUP(C3884,Меню!A:E,4,0)</f>
        <v>Первое</v>
      </c>
      <c r="F3884">
        <f>VLOOKUP(C3884,Меню!A:E,5,0)</f>
        <v>250</v>
      </c>
    </row>
    <row r="3885" spans="1:6" ht="15.75" hidden="1" customHeight="1" x14ac:dyDescent="0.35">
      <c r="A3885" s="1">
        <v>3884</v>
      </c>
      <c r="B3885" s="1">
        <v>750</v>
      </c>
      <c r="C3885" s="1">
        <v>5</v>
      </c>
      <c r="D3885" t="str">
        <f>VLOOKUP(B3885,Заказы!A:C,3,0)</f>
        <v>2023-09-07 15:01:00</v>
      </c>
      <c r="E3885" t="str">
        <f>VLOOKUP(C3885,Меню!A:E,4,0)</f>
        <v>Завтрак</v>
      </c>
      <c r="F3885">
        <f>VLOOKUP(C3885,Меню!A:E,5,0)</f>
        <v>220</v>
      </c>
    </row>
    <row r="3886" spans="1:6" ht="15.75" hidden="1" customHeight="1" x14ac:dyDescent="0.35">
      <c r="A3886" s="1">
        <v>3885</v>
      </c>
      <c r="B3886" s="1">
        <v>750</v>
      </c>
      <c r="C3886" s="1">
        <v>36</v>
      </c>
      <c r="D3886" t="str">
        <f>VLOOKUP(B3886,Заказы!A:C,3,0)</f>
        <v>2023-09-07 15:01:00</v>
      </c>
      <c r="E3886" t="str">
        <f>VLOOKUP(C3886,Меню!A:E,4,0)</f>
        <v>Десерт</v>
      </c>
      <c r="F3886">
        <f>VLOOKUP(C3886,Меню!A:E,5,0)</f>
        <v>150</v>
      </c>
    </row>
    <row r="3887" spans="1:6" ht="15.75" hidden="1" customHeight="1" x14ac:dyDescent="0.35">
      <c r="A3887" s="1">
        <v>3886</v>
      </c>
      <c r="B3887" s="1">
        <v>751</v>
      </c>
      <c r="C3887" s="1">
        <v>54</v>
      </c>
      <c r="D3887" t="str">
        <f>VLOOKUP(B3887,Заказы!A:C,3,0)</f>
        <v>2023-09-07 15:17:00</v>
      </c>
      <c r="E3887" t="str">
        <f>VLOOKUP(C3887,Меню!A:E,4,0)</f>
        <v>Суши</v>
      </c>
      <c r="F3887">
        <f>VLOOKUP(C3887,Меню!A:E,5,0)</f>
        <v>100</v>
      </c>
    </row>
    <row r="3888" spans="1:6" ht="15.75" hidden="1" customHeight="1" x14ac:dyDescent="0.35">
      <c r="A3888" s="1">
        <v>3887</v>
      </c>
      <c r="B3888" s="1">
        <v>751</v>
      </c>
      <c r="C3888" s="1">
        <v>33</v>
      </c>
      <c r="D3888" t="str">
        <f>VLOOKUP(B3888,Заказы!A:C,3,0)</f>
        <v>2023-09-07 15:17:00</v>
      </c>
      <c r="E3888" t="str">
        <f>VLOOKUP(C3888,Меню!A:E,4,0)</f>
        <v>Десерт</v>
      </c>
      <c r="F3888">
        <f>VLOOKUP(C3888,Меню!A:E,5,0)</f>
        <v>150</v>
      </c>
    </row>
    <row r="3889" spans="1:6" ht="15.75" hidden="1" customHeight="1" x14ac:dyDescent="0.35">
      <c r="A3889" s="1">
        <v>3888</v>
      </c>
      <c r="B3889" s="1">
        <v>751</v>
      </c>
      <c r="C3889" s="1">
        <v>13</v>
      </c>
      <c r="D3889" t="str">
        <f>VLOOKUP(B3889,Заказы!A:C,3,0)</f>
        <v>2023-09-07 15:17:00</v>
      </c>
      <c r="E3889" t="str">
        <f>VLOOKUP(C3889,Меню!A:E,4,0)</f>
        <v>Первое</v>
      </c>
      <c r="F3889">
        <f>VLOOKUP(C3889,Меню!A:E,5,0)</f>
        <v>280</v>
      </c>
    </row>
    <row r="3890" spans="1:6" ht="15.75" hidden="1" customHeight="1" x14ac:dyDescent="0.35">
      <c r="A3890" s="1">
        <v>3889</v>
      </c>
      <c r="B3890" s="1">
        <v>751</v>
      </c>
      <c r="C3890" s="1">
        <v>19</v>
      </c>
      <c r="D3890" t="str">
        <f>VLOOKUP(B3890,Заказы!A:C,3,0)</f>
        <v>2023-09-07 15:17:00</v>
      </c>
      <c r="E3890" t="str">
        <f>VLOOKUP(C3890,Меню!A:E,4,0)</f>
        <v>Первое</v>
      </c>
      <c r="F3890">
        <f>VLOOKUP(C3890,Меню!A:E,5,0)</f>
        <v>300</v>
      </c>
    </row>
    <row r="3891" spans="1:6" ht="15.75" hidden="1" customHeight="1" x14ac:dyDescent="0.35">
      <c r="A3891" s="1">
        <v>3890</v>
      </c>
      <c r="B3891" s="1">
        <v>751</v>
      </c>
      <c r="C3891" s="1">
        <v>22</v>
      </c>
      <c r="D3891" t="str">
        <f>VLOOKUP(B3891,Заказы!A:C,3,0)</f>
        <v>2023-09-07 15:17:00</v>
      </c>
      <c r="E3891" t="str">
        <f>VLOOKUP(C3891,Меню!A:E,4,0)</f>
        <v>Салат</v>
      </c>
      <c r="F3891">
        <f>VLOOKUP(C3891,Меню!A:E,5,0)</f>
        <v>250</v>
      </c>
    </row>
    <row r="3892" spans="1:6" ht="15.75" hidden="1" customHeight="1" x14ac:dyDescent="0.35">
      <c r="A3892" s="1">
        <v>3891</v>
      </c>
      <c r="B3892" s="1">
        <v>751</v>
      </c>
      <c r="C3892" s="1">
        <v>50</v>
      </c>
      <c r="D3892" t="str">
        <f>VLOOKUP(B3892,Заказы!A:C,3,0)</f>
        <v>2023-09-07 15:17:00</v>
      </c>
      <c r="E3892" t="str">
        <f>VLOOKUP(C3892,Меню!A:E,4,0)</f>
        <v>Суши</v>
      </c>
      <c r="F3892">
        <f>VLOOKUP(C3892,Меню!A:E,5,0)</f>
        <v>200</v>
      </c>
    </row>
    <row r="3893" spans="1:6" ht="15.75" hidden="1" customHeight="1" x14ac:dyDescent="0.35">
      <c r="A3893" s="1">
        <v>3892</v>
      </c>
      <c r="B3893" s="1">
        <v>751</v>
      </c>
      <c r="C3893" s="1">
        <v>3</v>
      </c>
      <c r="D3893" t="str">
        <f>VLOOKUP(B3893,Заказы!A:C,3,0)</f>
        <v>2023-09-07 15:17:00</v>
      </c>
      <c r="E3893" t="str">
        <f>VLOOKUP(C3893,Меню!A:E,4,0)</f>
        <v>Завтрак</v>
      </c>
      <c r="F3893">
        <f>VLOOKUP(C3893,Меню!A:E,5,0)</f>
        <v>150</v>
      </c>
    </row>
    <row r="3894" spans="1:6" ht="15.75" hidden="1" customHeight="1" x14ac:dyDescent="0.35">
      <c r="A3894" s="1">
        <v>3893</v>
      </c>
      <c r="B3894" s="1">
        <v>752</v>
      </c>
      <c r="C3894" s="1">
        <v>49</v>
      </c>
      <c r="D3894" t="str">
        <f>VLOOKUP(B3894,Заказы!A:C,3,0)</f>
        <v>2023-09-07 19:33:00</v>
      </c>
      <c r="E3894" t="str">
        <f>VLOOKUP(C3894,Меню!A:E,4,0)</f>
        <v>Суши</v>
      </c>
      <c r="F3894">
        <f>VLOOKUP(C3894,Меню!A:E,5,0)</f>
        <v>200</v>
      </c>
    </row>
    <row r="3895" spans="1:6" ht="15.75" hidden="1" customHeight="1" x14ac:dyDescent="0.35">
      <c r="A3895" s="1">
        <v>3894</v>
      </c>
      <c r="B3895" s="1">
        <v>752</v>
      </c>
      <c r="C3895" s="1">
        <v>12</v>
      </c>
      <c r="D3895" t="str">
        <f>VLOOKUP(B3895,Заказы!A:C,3,0)</f>
        <v>2023-09-07 19:33:00</v>
      </c>
      <c r="E3895" t="str">
        <f>VLOOKUP(C3895,Меню!A:E,4,0)</f>
        <v>Первое</v>
      </c>
      <c r="F3895">
        <f>VLOOKUP(C3895,Меню!A:E,5,0)</f>
        <v>300</v>
      </c>
    </row>
    <row r="3896" spans="1:6" ht="15.75" hidden="1" customHeight="1" x14ac:dyDescent="0.35">
      <c r="A3896" s="1">
        <v>3895</v>
      </c>
      <c r="B3896" s="1">
        <v>752</v>
      </c>
      <c r="C3896" s="1">
        <v>19</v>
      </c>
      <c r="D3896" t="str">
        <f>VLOOKUP(B3896,Заказы!A:C,3,0)</f>
        <v>2023-09-07 19:33:00</v>
      </c>
      <c r="E3896" t="str">
        <f>VLOOKUP(C3896,Меню!A:E,4,0)</f>
        <v>Первое</v>
      </c>
      <c r="F3896">
        <f>VLOOKUP(C3896,Меню!A:E,5,0)</f>
        <v>300</v>
      </c>
    </row>
    <row r="3897" spans="1:6" ht="15.75" hidden="1" customHeight="1" x14ac:dyDescent="0.35">
      <c r="A3897" s="1">
        <v>3896</v>
      </c>
      <c r="B3897" s="1">
        <v>752</v>
      </c>
      <c r="C3897" s="1">
        <v>46</v>
      </c>
      <c r="D3897" t="str">
        <f>VLOOKUP(B3897,Заказы!A:C,3,0)</f>
        <v>2023-09-07 19:33:00</v>
      </c>
      <c r="E3897" t="str">
        <f>VLOOKUP(C3897,Меню!A:E,4,0)</f>
        <v>Суши</v>
      </c>
      <c r="F3897">
        <f>VLOOKUP(C3897,Меню!A:E,5,0)</f>
        <v>200</v>
      </c>
    </row>
    <row r="3898" spans="1:6" ht="15.75" hidden="1" customHeight="1" x14ac:dyDescent="0.35">
      <c r="A3898" s="1">
        <v>3897</v>
      </c>
      <c r="B3898" s="1">
        <v>753</v>
      </c>
      <c r="C3898" s="1">
        <v>36</v>
      </c>
      <c r="D3898" t="str">
        <f>VLOOKUP(B3898,Заказы!A:C,3,0)</f>
        <v>2023-09-07 20:44:00</v>
      </c>
      <c r="E3898" t="str">
        <f>VLOOKUP(C3898,Меню!A:E,4,0)</f>
        <v>Десерт</v>
      </c>
      <c r="F3898">
        <f>VLOOKUP(C3898,Меню!A:E,5,0)</f>
        <v>150</v>
      </c>
    </row>
    <row r="3899" spans="1:6" ht="15.75" hidden="1" customHeight="1" x14ac:dyDescent="0.35">
      <c r="A3899" s="1">
        <v>3898</v>
      </c>
      <c r="B3899" s="1">
        <v>753</v>
      </c>
      <c r="C3899" s="1">
        <v>11</v>
      </c>
      <c r="D3899" t="str">
        <f>VLOOKUP(B3899,Заказы!A:C,3,0)</f>
        <v>2023-09-07 20:44:00</v>
      </c>
      <c r="E3899" t="str">
        <f>VLOOKUP(C3899,Меню!A:E,4,0)</f>
        <v>Первое</v>
      </c>
      <c r="F3899">
        <f>VLOOKUP(C3899,Меню!A:E,5,0)</f>
        <v>300</v>
      </c>
    </row>
    <row r="3900" spans="1:6" ht="15.75" hidden="1" customHeight="1" x14ac:dyDescent="0.35">
      <c r="A3900" s="1">
        <v>3899</v>
      </c>
      <c r="B3900" s="1">
        <v>753</v>
      </c>
      <c r="C3900" s="1">
        <v>45</v>
      </c>
      <c r="D3900" t="str">
        <f>VLOOKUP(B3900,Заказы!A:C,3,0)</f>
        <v>2023-09-07 20:44:00</v>
      </c>
      <c r="E3900" t="str">
        <f>VLOOKUP(C3900,Меню!A:E,4,0)</f>
        <v>Суши</v>
      </c>
      <c r="F3900">
        <f>VLOOKUP(C3900,Меню!A:E,5,0)</f>
        <v>200</v>
      </c>
    </row>
    <row r="3901" spans="1:6" ht="15.75" hidden="1" customHeight="1" x14ac:dyDescent="0.35">
      <c r="A3901" s="1">
        <v>3900</v>
      </c>
      <c r="B3901" s="1">
        <v>753</v>
      </c>
      <c r="C3901" s="1">
        <v>1</v>
      </c>
      <c r="D3901" t="str">
        <f>VLOOKUP(B3901,Заказы!A:C,3,0)</f>
        <v>2023-09-07 20:44:00</v>
      </c>
      <c r="E3901" t="str">
        <f>VLOOKUP(C3901,Меню!A:E,4,0)</f>
        <v>Завтрак</v>
      </c>
      <c r="F3901">
        <f>VLOOKUP(C3901,Меню!A:E,5,0)</f>
        <v>200</v>
      </c>
    </row>
    <row r="3902" spans="1:6" ht="15.75" hidden="1" customHeight="1" x14ac:dyDescent="0.35">
      <c r="A3902" s="1">
        <v>3901</v>
      </c>
      <c r="B3902" s="1">
        <v>753</v>
      </c>
      <c r="C3902" s="1">
        <v>31</v>
      </c>
      <c r="D3902" t="str">
        <f>VLOOKUP(B3902,Заказы!A:C,3,0)</f>
        <v>2023-09-07 20:44:00</v>
      </c>
      <c r="E3902" t="str">
        <f>VLOOKUP(C3902,Меню!A:E,4,0)</f>
        <v>Десерт</v>
      </c>
      <c r="F3902">
        <f>VLOOKUP(C3902,Меню!A:E,5,0)</f>
        <v>150</v>
      </c>
    </row>
    <row r="3903" spans="1:6" ht="15.75" hidden="1" customHeight="1" x14ac:dyDescent="0.35">
      <c r="A3903" s="1">
        <v>3902</v>
      </c>
      <c r="B3903" s="1">
        <v>754</v>
      </c>
      <c r="C3903" s="1">
        <v>34</v>
      </c>
      <c r="D3903" t="str">
        <f>VLOOKUP(B3903,Заказы!A:C,3,0)</f>
        <v>2023-09-07 21:40:00</v>
      </c>
      <c r="E3903" t="str">
        <f>VLOOKUP(C3903,Меню!A:E,4,0)</f>
        <v>Десерт</v>
      </c>
      <c r="F3903">
        <f>VLOOKUP(C3903,Меню!A:E,5,0)</f>
        <v>150</v>
      </c>
    </row>
    <row r="3904" spans="1:6" ht="15.75" hidden="1" customHeight="1" x14ac:dyDescent="0.35">
      <c r="A3904" s="1">
        <v>3903</v>
      </c>
      <c r="B3904" s="1">
        <v>754</v>
      </c>
      <c r="C3904" s="1">
        <v>26</v>
      </c>
      <c r="D3904" t="str">
        <f>VLOOKUP(B3904,Заказы!A:C,3,0)</f>
        <v>2023-09-07 21:40:00</v>
      </c>
      <c r="E3904" t="str">
        <f>VLOOKUP(C3904,Меню!A:E,4,0)</f>
        <v>Салат</v>
      </c>
      <c r="F3904">
        <f>VLOOKUP(C3904,Меню!A:E,5,0)</f>
        <v>250</v>
      </c>
    </row>
    <row r="3905" spans="1:6" ht="15.75" hidden="1" customHeight="1" x14ac:dyDescent="0.35">
      <c r="A3905" s="1">
        <v>3904</v>
      </c>
      <c r="B3905" s="1">
        <v>754</v>
      </c>
      <c r="C3905" s="1">
        <v>26</v>
      </c>
      <c r="D3905" t="str">
        <f>VLOOKUP(B3905,Заказы!A:C,3,0)</f>
        <v>2023-09-07 21:40:00</v>
      </c>
      <c r="E3905" t="str">
        <f>VLOOKUP(C3905,Меню!A:E,4,0)</f>
        <v>Салат</v>
      </c>
      <c r="F3905">
        <f>VLOOKUP(C3905,Меню!A:E,5,0)</f>
        <v>250</v>
      </c>
    </row>
    <row r="3906" spans="1:6" ht="15.75" hidden="1" customHeight="1" x14ac:dyDescent="0.35">
      <c r="A3906" s="1">
        <v>3905</v>
      </c>
      <c r="B3906" s="1">
        <v>755</v>
      </c>
      <c r="C3906" s="1">
        <v>37</v>
      </c>
      <c r="D3906" t="str">
        <f>VLOOKUP(B3906,Заказы!A:C,3,0)</f>
        <v>2023-09-07 22:35:00</v>
      </c>
      <c r="E3906" t="str">
        <f>VLOOKUP(C3906,Меню!A:E,4,0)</f>
        <v>Десерт</v>
      </c>
      <c r="F3906">
        <f>VLOOKUP(C3906,Меню!A:E,5,0)</f>
        <v>100</v>
      </c>
    </row>
    <row r="3907" spans="1:6" ht="15.75" hidden="1" customHeight="1" x14ac:dyDescent="0.35">
      <c r="A3907" s="1">
        <v>3906</v>
      </c>
      <c r="B3907" s="1">
        <v>755</v>
      </c>
      <c r="C3907" s="1">
        <v>51</v>
      </c>
      <c r="D3907" t="str">
        <f>VLOOKUP(B3907,Заказы!A:C,3,0)</f>
        <v>2023-09-07 22:35:00</v>
      </c>
      <c r="E3907" t="str">
        <f>VLOOKUP(C3907,Меню!A:E,4,0)</f>
        <v>Суши</v>
      </c>
      <c r="F3907">
        <f>VLOOKUP(C3907,Меню!A:E,5,0)</f>
        <v>100</v>
      </c>
    </row>
    <row r="3908" spans="1:6" ht="15.75" hidden="1" customHeight="1" x14ac:dyDescent="0.35">
      <c r="A3908" s="1">
        <v>3907</v>
      </c>
      <c r="B3908" s="1">
        <v>755</v>
      </c>
      <c r="C3908" s="1">
        <v>10</v>
      </c>
      <c r="D3908" t="str">
        <f>VLOOKUP(B3908,Заказы!A:C,3,0)</f>
        <v>2023-09-07 22:35:00</v>
      </c>
      <c r="E3908" t="str">
        <f>VLOOKUP(C3908,Меню!A:E,4,0)</f>
        <v>Завтрак</v>
      </c>
      <c r="F3908">
        <f>VLOOKUP(C3908,Меню!A:E,5,0)</f>
        <v>200</v>
      </c>
    </row>
    <row r="3909" spans="1:6" ht="15.75" hidden="1" customHeight="1" x14ac:dyDescent="0.35">
      <c r="A3909" s="1">
        <v>3908</v>
      </c>
      <c r="B3909" s="1">
        <v>755</v>
      </c>
      <c r="C3909" s="1">
        <v>13</v>
      </c>
      <c r="D3909" t="str">
        <f>VLOOKUP(B3909,Заказы!A:C,3,0)</f>
        <v>2023-09-07 22:35:00</v>
      </c>
      <c r="E3909" t="str">
        <f>VLOOKUP(C3909,Меню!A:E,4,0)</f>
        <v>Первое</v>
      </c>
      <c r="F3909">
        <f>VLOOKUP(C3909,Меню!A:E,5,0)</f>
        <v>280</v>
      </c>
    </row>
    <row r="3910" spans="1:6" ht="15.75" hidden="1" customHeight="1" x14ac:dyDescent="0.35">
      <c r="A3910" s="1">
        <v>3909</v>
      </c>
      <c r="B3910" s="1">
        <v>755</v>
      </c>
      <c r="C3910" s="1">
        <v>10</v>
      </c>
      <c r="D3910" t="str">
        <f>VLOOKUP(B3910,Заказы!A:C,3,0)</f>
        <v>2023-09-07 22:35:00</v>
      </c>
      <c r="E3910" t="str">
        <f>VLOOKUP(C3910,Меню!A:E,4,0)</f>
        <v>Завтрак</v>
      </c>
      <c r="F3910">
        <f>VLOOKUP(C3910,Меню!A:E,5,0)</f>
        <v>200</v>
      </c>
    </row>
    <row r="3911" spans="1:6" ht="15.75" hidden="1" customHeight="1" x14ac:dyDescent="0.35">
      <c r="A3911" s="1">
        <v>3910</v>
      </c>
      <c r="B3911" s="1">
        <v>755</v>
      </c>
      <c r="C3911" s="1">
        <v>27</v>
      </c>
      <c r="D3911" t="str">
        <f>VLOOKUP(B3911,Заказы!A:C,3,0)</f>
        <v>2023-09-07 22:35:00</v>
      </c>
      <c r="E3911" t="str">
        <f>VLOOKUP(C3911,Меню!A:E,4,0)</f>
        <v>Салат</v>
      </c>
      <c r="F3911">
        <f>VLOOKUP(C3911,Меню!A:E,5,0)</f>
        <v>250</v>
      </c>
    </row>
    <row r="3912" spans="1:6" ht="15.75" hidden="1" customHeight="1" x14ac:dyDescent="0.35">
      <c r="A3912" s="1">
        <v>3911</v>
      </c>
      <c r="B3912" s="1">
        <v>755</v>
      </c>
      <c r="C3912" s="1">
        <v>50</v>
      </c>
      <c r="D3912" t="str">
        <f>VLOOKUP(B3912,Заказы!A:C,3,0)</f>
        <v>2023-09-07 22:35:00</v>
      </c>
      <c r="E3912" t="str">
        <f>VLOOKUP(C3912,Меню!A:E,4,0)</f>
        <v>Суши</v>
      </c>
      <c r="F3912">
        <f>VLOOKUP(C3912,Меню!A:E,5,0)</f>
        <v>200</v>
      </c>
    </row>
    <row r="3913" spans="1:6" ht="15.75" hidden="1" customHeight="1" x14ac:dyDescent="0.35">
      <c r="A3913" s="1">
        <v>3912</v>
      </c>
      <c r="B3913" s="1">
        <v>756</v>
      </c>
      <c r="C3913" s="1">
        <v>17</v>
      </c>
      <c r="D3913" t="str">
        <f>VLOOKUP(B3913,Заказы!A:C,3,0)</f>
        <v>2023-09-07 22:52:00</v>
      </c>
      <c r="E3913" t="str">
        <f>VLOOKUP(C3913,Меню!A:E,4,0)</f>
        <v>Первое</v>
      </c>
      <c r="F3913">
        <f>VLOOKUP(C3913,Меню!A:E,5,0)</f>
        <v>250</v>
      </c>
    </row>
    <row r="3914" spans="1:6" ht="15.75" hidden="1" customHeight="1" x14ac:dyDescent="0.35">
      <c r="A3914" s="1">
        <v>3913</v>
      </c>
      <c r="B3914" s="1">
        <v>756</v>
      </c>
      <c r="C3914" s="1">
        <v>9</v>
      </c>
      <c r="D3914" t="str">
        <f>VLOOKUP(B3914,Заказы!A:C,3,0)</f>
        <v>2023-09-07 22:52:00</v>
      </c>
      <c r="E3914" t="str">
        <f>VLOOKUP(C3914,Меню!A:E,4,0)</f>
        <v>Завтрак</v>
      </c>
      <c r="F3914">
        <f>VLOOKUP(C3914,Меню!A:E,5,0)</f>
        <v>220</v>
      </c>
    </row>
    <row r="3915" spans="1:6" ht="15.75" hidden="1" customHeight="1" x14ac:dyDescent="0.35">
      <c r="A3915" s="1">
        <v>3914</v>
      </c>
      <c r="B3915" s="1">
        <v>756</v>
      </c>
      <c r="C3915" s="1">
        <v>38</v>
      </c>
      <c r="D3915" t="str">
        <f>VLOOKUP(B3915,Заказы!A:C,3,0)</f>
        <v>2023-09-07 22:52:00</v>
      </c>
      <c r="E3915" t="str">
        <f>VLOOKUP(C3915,Меню!A:E,4,0)</f>
        <v>Десерт</v>
      </c>
      <c r="F3915">
        <f>VLOOKUP(C3915,Меню!A:E,5,0)</f>
        <v>150</v>
      </c>
    </row>
    <row r="3916" spans="1:6" ht="15.75" hidden="1" customHeight="1" x14ac:dyDescent="0.35">
      <c r="A3916" s="1">
        <v>3915</v>
      </c>
      <c r="B3916" s="1">
        <v>756</v>
      </c>
      <c r="C3916" s="1">
        <v>60</v>
      </c>
      <c r="D3916" t="str">
        <f>VLOOKUP(B3916,Заказы!A:C,3,0)</f>
        <v>2023-09-07 22:52:00</v>
      </c>
      <c r="E3916" t="str">
        <f>VLOOKUP(C3916,Меню!A:E,4,0)</f>
        <v>Суши</v>
      </c>
      <c r="F3916">
        <f>VLOOKUP(C3916,Меню!A:E,5,0)</f>
        <v>250</v>
      </c>
    </row>
    <row r="3917" spans="1:6" ht="15.75" hidden="1" customHeight="1" x14ac:dyDescent="0.35">
      <c r="A3917" s="1">
        <v>3916</v>
      </c>
      <c r="B3917" s="1">
        <v>756</v>
      </c>
      <c r="C3917" s="1">
        <v>18</v>
      </c>
      <c r="D3917" t="str">
        <f>VLOOKUP(B3917,Заказы!A:C,3,0)</f>
        <v>2023-09-07 22:52:00</v>
      </c>
      <c r="E3917" t="str">
        <f>VLOOKUP(C3917,Меню!A:E,4,0)</f>
        <v>Первое</v>
      </c>
      <c r="F3917">
        <f>VLOOKUP(C3917,Меню!A:E,5,0)</f>
        <v>300</v>
      </c>
    </row>
    <row r="3918" spans="1:6" ht="15.75" hidden="1" customHeight="1" x14ac:dyDescent="0.35">
      <c r="A3918" s="1">
        <v>3917</v>
      </c>
      <c r="B3918" s="1">
        <v>756</v>
      </c>
      <c r="C3918" s="1">
        <v>20</v>
      </c>
      <c r="D3918" t="str">
        <f>VLOOKUP(B3918,Заказы!A:C,3,0)</f>
        <v>2023-09-07 22:52:00</v>
      </c>
      <c r="E3918" t="str">
        <f>VLOOKUP(C3918,Меню!A:E,4,0)</f>
        <v>Первое</v>
      </c>
      <c r="F3918">
        <f>VLOOKUP(C3918,Меню!A:E,5,0)</f>
        <v>250</v>
      </c>
    </row>
    <row r="3919" spans="1:6" ht="15.75" hidden="1" customHeight="1" x14ac:dyDescent="0.35">
      <c r="A3919" s="1">
        <v>3918</v>
      </c>
      <c r="B3919" s="1">
        <v>756</v>
      </c>
      <c r="C3919" s="1">
        <v>25</v>
      </c>
      <c r="D3919" t="str">
        <f>VLOOKUP(B3919,Заказы!A:C,3,0)</f>
        <v>2023-09-07 22:52:00</v>
      </c>
      <c r="E3919" t="str">
        <f>VLOOKUP(C3919,Меню!A:E,4,0)</f>
        <v>Салат</v>
      </c>
      <c r="F3919">
        <f>VLOOKUP(C3919,Меню!A:E,5,0)</f>
        <v>250</v>
      </c>
    </row>
    <row r="3920" spans="1:6" ht="15.75" hidden="1" customHeight="1" x14ac:dyDescent="0.35">
      <c r="A3920" s="1">
        <v>3919</v>
      </c>
      <c r="B3920" s="1">
        <v>756</v>
      </c>
      <c r="C3920" s="1">
        <v>34</v>
      </c>
      <c r="D3920" t="str">
        <f>VLOOKUP(B3920,Заказы!A:C,3,0)</f>
        <v>2023-09-07 22:52:00</v>
      </c>
      <c r="E3920" t="str">
        <f>VLOOKUP(C3920,Меню!A:E,4,0)</f>
        <v>Десерт</v>
      </c>
      <c r="F3920">
        <f>VLOOKUP(C3920,Меню!A:E,5,0)</f>
        <v>150</v>
      </c>
    </row>
    <row r="3921" spans="1:6" ht="15.75" hidden="1" customHeight="1" x14ac:dyDescent="0.35">
      <c r="A3921" s="1">
        <v>3920</v>
      </c>
      <c r="B3921" s="1">
        <v>756</v>
      </c>
      <c r="C3921" s="1">
        <v>59</v>
      </c>
      <c r="D3921" t="str">
        <f>VLOOKUP(B3921,Заказы!A:C,3,0)</f>
        <v>2023-09-07 22:52:00</v>
      </c>
      <c r="E3921" t="str">
        <f>VLOOKUP(C3921,Меню!A:E,4,0)</f>
        <v>Суши</v>
      </c>
      <c r="F3921">
        <f>VLOOKUP(C3921,Меню!A:E,5,0)</f>
        <v>300</v>
      </c>
    </row>
    <row r="3922" spans="1:6" ht="15.75" hidden="1" customHeight="1" x14ac:dyDescent="0.35">
      <c r="A3922" s="1">
        <v>3921</v>
      </c>
      <c r="B3922" s="1">
        <v>757</v>
      </c>
      <c r="C3922" s="1">
        <v>55</v>
      </c>
      <c r="D3922" t="str">
        <f>VLOOKUP(B3922,Заказы!A:C,3,0)</f>
        <v>2023-09-07 22:55:00</v>
      </c>
      <c r="E3922" t="str">
        <f>VLOOKUP(C3922,Меню!A:E,4,0)</f>
        <v>Суши</v>
      </c>
      <c r="F3922">
        <f>VLOOKUP(C3922,Меню!A:E,5,0)</f>
        <v>100</v>
      </c>
    </row>
    <row r="3923" spans="1:6" ht="15.75" hidden="1" customHeight="1" x14ac:dyDescent="0.35">
      <c r="A3923" s="1">
        <v>3922</v>
      </c>
      <c r="B3923" s="1">
        <v>757</v>
      </c>
      <c r="C3923" s="1">
        <v>56</v>
      </c>
      <c r="D3923" t="str">
        <f>VLOOKUP(B3923,Заказы!A:C,3,0)</f>
        <v>2023-09-07 22:55:00</v>
      </c>
      <c r="E3923" t="str">
        <f>VLOOKUP(C3923,Меню!A:E,4,0)</f>
        <v>Суши</v>
      </c>
      <c r="F3923">
        <f>VLOOKUP(C3923,Меню!A:E,5,0)</f>
        <v>200</v>
      </c>
    </row>
    <row r="3924" spans="1:6" ht="15.75" hidden="1" customHeight="1" x14ac:dyDescent="0.35">
      <c r="A3924" s="1">
        <v>3923</v>
      </c>
      <c r="B3924" s="1">
        <v>757</v>
      </c>
      <c r="C3924" s="1">
        <v>47</v>
      </c>
      <c r="D3924" t="str">
        <f>VLOOKUP(B3924,Заказы!A:C,3,0)</f>
        <v>2023-09-07 22:55:00</v>
      </c>
      <c r="E3924" t="str">
        <f>VLOOKUP(C3924,Меню!A:E,4,0)</f>
        <v>Суши</v>
      </c>
      <c r="F3924">
        <f>VLOOKUP(C3924,Меню!A:E,5,0)</f>
        <v>200</v>
      </c>
    </row>
    <row r="3925" spans="1:6" ht="15.75" hidden="1" customHeight="1" x14ac:dyDescent="0.35">
      <c r="A3925" s="1">
        <v>3924</v>
      </c>
      <c r="B3925" s="1">
        <v>757</v>
      </c>
      <c r="C3925" s="1">
        <v>36</v>
      </c>
      <c r="D3925" t="str">
        <f>VLOOKUP(B3925,Заказы!A:C,3,0)</f>
        <v>2023-09-07 22:55:00</v>
      </c>
      <c r="E3925" t="str">
        <f>VLOOKUP(C3925,Меню!A:E,4,0)</f>
        <v>Десерт</v>
      </c>
      <c r="F3925">
        <f>VLOOKUP(C3925,Меню!A:E,5,0)</f>
        <v>150</v>
      </c>
    </row>
    <row r="3926" spans="1:6" ht="15.75" hidden="1" customHeight="1" x14ac:dyDescent="0.35">
      <c r="A3926" s="1">
        <v>3925</v>
      </c>
      <c r="B3926" s="1">
        <v>757</v>
      </c>
      <c r="C3926" s="1">
        <v>52</v>
      </c>
      <c r="D3926" t="str">
        <f>VLOOKUP(B3926,Заказы!A:C,3,0)</f>
        <v>2023-09-07 22:55:00</v>
      </c>
      <c r="E3926" t="str">
        <f>VLOOKUP(C3926,Меню!A:E,4,0)</f>
        <v>Суши</v>
      </c>
      <c r="F3926">
        <f>VLOOKUP(C3926,Меню!A:E,5,0)</f>
        <v>100</v>
      </c>
    </row>
    <row r="3927" spans="1:6" ht="15.75" hidden="1" customHeight="1" x14ac:dyDescent="0.35">
      <c r="A3927" s="1">
        <v>3926</v>
      </c>
      <c r="B3927" s="1">
        <v>757</v>
      </c>
      <c r="C3927" s="1">
        <v>21</v>
      </c>
      <c r="D3927" t="str">
        <f>VLOOKUP(B3927,Заказы!A:C,3,0)</f>
        <v>2023-09-07 22:55:00</v>
      </c>
      <c r="E3927" t="str">
        <f>VLOOKUP(C3927,Меню!A:E,4,0)</f>
        <v>Салат</v>
      </c>
      <c r="F3927">
        <f>VLOOKUP(C3927,Меню!A:E,5,0)</f>
        <v>250</v>
      </c>
    </row>
    <row r="3928" spans="1:6" ht="15.75" hidden="1" customHeight="1" x14ac:dyDescent="0.35">
      <c r="A3928" s="1">
        <v>3927</v>
      </c>
      <c r="B3928" s="1">
        <v>758</v>
      </c>
      <c r="C3928" s="1">
        <v>28</v>
      </c>
      <c r="D3928" t="str">
        <f>VLOOKUP(B3928,Заказы!A:C,3,0)</f>
        <v>2023-09-08 15:41:00</v>
      </c>
      <c r="E3928" t="str">
        <f>VLOOKUP(C3928,Меню!A:E,4,0)</f>
        <v>Салат</v>
      </c>
      <c r="F3928">
        <f>VLOOKUP(C3928,Меню!A:E,5,0)</f>
        <v>250</v>
      </c>
    </row>
    <row r="3929" spans="1:6" ht="15.75" hidden="1" customHeight="1" x14ac:dyDescent="0.35">
      <c r="A3929" s="1">
        <v>3928</v>
      </c>
      <c r="B3929" s="1">
        <v>758</v>
      </c>
      <c r="C3929" s="1">
        <v>56</v>
      </c>
      <c r="D3929" t="str">
        <f>VLOOKUP(B3929,Заказы!A:C,3,0)</f>
        <v>2023-09-08 15:41:00</v>
      </c>
      <c r="E3929" t="str">
        <f>VLOOKUP(C3929,Меню!A:E,4,0)</f>
        <v>Суши</v>
      </c>
      <c r="F3929">
        <f>VLOOKUP(C3929,Меню!A:E,5,0)</f>
        <v>200</v>
      </c>
    </row>
    <row r="3930" spans="1:6" ht="15.75" hidden="1" customHeight="1" x14ac:dyDescent="0.35">
      <c r="A3930" s="1">
        <v>3929</v>
      </c>
      <c r="B3930" s="1">
        <v>759</v>
      </c>
      <c r="C3930" s="1">
        <v>13</v>
      </c>
      <c r="D3930" t="str">
        <f>VLOOKUP(B3930,Заказы!A:C,3,0)</f>
        <v>2023-09-08 16:10:00</v>
      </c>
      <c r="E3930" t="str">
        <f>VLOOKUP(C3930,Меню!A:E,4,0)</f>
        <v>Первое</v>
      </c>
      <c r="F3930">
        <f>VLOOKUP(C3930,Меню!A:E,5,0)</f>
        <v>280</v>
      </c>
    </row>
    <row r="3931" spans="1:6" ht="15.75" hidden="1" customHeight="1" x14ac:dyDescent="0.35">
      <c r="A3931" s="1">
        <v>3930</v>
      </c>
      <c r="B3931" s="1">
        <v>759</v>
      </c>
      <c r="C3931" s="1">
        <v>15</v>
      </c>
      <c r="D3931" t="str">
        <f>VLOOKUP(B3931,Заказы!A:C,3,0)</f>
        <v>2023-09-08 16:10:00</v>
      </c>
      <c r="E3931" t="str">
        <f>VLOOKUP(C3931,Меню!A:E,4,0)</f>
        <v>Первое</v>
      </c>
      <c r="F3931">
        <f>VLOOKUP(C3931,Меню!A:E,5,0)</f>
        <v>250</v>
      </c>
    </row>
    <row r="3932" spans="1:6" ht="15.75" hidden="1" customHeight="1" x14ac:dyDescent="0.35">
      <c r="A3932" s="1">
        <v>3931</v>
      </c>
      <c r="B3932" s="1">
        <v>759</v>
      </c>
      <c r="C3932" s="1">
        <v>22</v>
      </c>
      <c r="D3932" t="str">
        <f>VLOOKUP(B3932,Заказы!A:C,3,0)</f>
        <v>2023-09-08 16:10:00</v>
      </c>
      <c r="E3932" t="str">
        <f>VLOOKUP(C3932,Меню!A:E,4,0)</f>
        <v>Салат</v>
      </c>
      <c r="F3932">
        <f>VLOOKUP(C3932,Меню!A:E,5,0)</f>
        <v>250</v>
      </c>
    </row>
    <row r="3933" spans="1:6" ht="15.75" hidden="1" customHeight="1" x14ac:dyDescent="0.35">
      <c r="A3933" s="1">
        <v>3932</v>
      </c>
      <c r="B3933" s="1">
        <v>759</v>
      </c>
      <c r="C3933" s="1">
        <v>15</v>
      </c>
      <c r="D3933" t="str">
        <f>VLOOKUP(B3933,Заказы!A:C,3,0)</f>
        <v>2023-09-08 16:10:00</v>
      </c>
      <c r="E3933" t="str">
        <f>VLOOKUP(C3933,Меню!A:E,4,0)</f>
        <v>Первое</v>
      </c>
      <c r="F3933">
        <f>VLOOKUP(C3933,Меню!A:E,5,0)</f>
        <v>250</v>
      </c>
    </row>
    <row r="3934" spans="1:6" ht="15.75" hidden="1" customHeight="1" x14ac:dyDescent="0.35">
      <c r="A3934" s="1">
        <v>3933</v>
      </c>
      <c r="B3934" s="1">
        <v>760</v>
      </c>
      <c r="C3934" s="1">
        <v>14</v>
      </c>
      <c r="D3934" t="str">
        <f>VLOOKUP(B3934,Заказы!A:C,3,0)</f>
        <v>2023-09-08 16:21:00</v>
      </c>
      <c r="E3934" t="str">
        <f>VLOOKUP(C3934,Меню!A:E,4,0)</f>
        <v>Первое</v>
      </c>
      <c r="F3934">
        <f>VLOOKUP(C3934,Меню!A:E,5,0)</f>
        <v>350</v>
      </c>
    </row>
    <row r="3935" spans="1:6" ht="15.75" hidden="1" customHeight="1" x14ac:dyDescent="0.35">
      <c r="A3935" s="1">
        <v>3934</v>
      </c>
      <c r="B3935" s="1">
        <v>760</v>
      </c>
      <c r="C3935" s="1">
        <v>26</v>
      </c>
      <c r="D3935" t="str">
        <f>VLOOKUP(B3935,Заказы!A:C,3,0)</f>
        <v>2023-09-08 16:21:00</v>
      </c>
      <c r="E3935" t="str">
        <f>VLOOKUP(C3935,Меню!A:E,4,0)</f>
        <v>Салат</v>
      </c>
      <c r="F3935">
        <f>VLOOKUP(C3935,Меню!A:E,5,0)</f>
        <v>250</v>
      </c>
    </row>
    <row r="3936" spans="1:6" ht="15.75" hidden="1" customHeight="1" x14ac:dyDescent="0.35">
      <c r="A3936" s="1">
        <v>3935</v>
      </c>
      <c r="B3936" s="1">
        <v>760</v>
      </c>
      <c r="C3936" s="1">
        <v>54</v>
      </c>
      <c r="D3936" t="str">
        <f>VLOOKUP(B3936,Заказы!A:C,3,0)</f>
        <v>2023-09-08 16:21:00</v>
      </c>
      <c r="E3936" t="str">
        <f>VLOOKUP(C3936,Меню!A:E,4,0)</f>
        <v>Суши</v>
      </c>
      <c r="F3936">
        <f>VLOOKUP(C3936,Меню!A:E,5,0)</f>
        <v>100</v>
      </c>
    </row>
    <row r="3937" spans="1:6" ht="15.75" hidden="1" customHeight="1" x14ac:dyDescent="0.35">
      <c r="A3937" s="1">
        <v>3936</v>
      </c>
      <c r="B3937" s="1">
        <v>760</v>
      </c>
      <c r="C3937" s="1">
        <v>38</v>
      </c>
      <c r="D3937" t="str">
        <f>VLOOKUP(B3937,Заказы!A:C,3,0)</f>
        <v>2023-09-08 16:21:00</v>
      </c>
      <c r="E3937" t="str">
        <f>VLOOKUP(C3937,Меню!A:E,4,0)</f>
        <v>Десерт</v>
      </c>
      <c r="F3937">
        <f>VLOOKUP(C3937,Меню!A:E,5,0)</f>
        <v>150</v>
      </c>
    </row>
    <row r="3938" spans="1:6" ht="15.75" hidden="1" customHeight="1" x14ac:dyDescent="0.35">
      <c r="A3938" s="1">
        <v>3937</v>
      </c>
      <c r="B3938" s="1">
        <v>761</v>
      </c>
      <c r="C3938" s="1">
        <v>46</v>
      </c>
      <c r="D3938" t="str">
        <f>VLOOKUP(B3938,Заказы!A:C,3,0)</f>
        <v>2023-09-08 17:46:00</v>
      </c>
      <c r="E3938" t="str">
        <f>VLOOKUP(C3938,Меню!A:E,4,0)</f>
        <v>Суши</v>
      </c>
      <c r="F3938">
        <f>VLOOKUP(C3938,Меню!A:E,5,0)</f>
        <v>200</v>
      </c>
    </row>
    <row r="3939" spans="1:6" ht="15.75" hidden="1" customHeight="1" x14ac:dyDescent="0.35">
      <c r="A3939" s="1">
        <v>3938</v>
      </c>
      <c r="B3939" s="1">
        <v>761</v>
      </c>
      <c r="C3939" s="1">
        <v>24</v>
      </c>
      <c r="D3939" t="str">
        <f>VLOOKUP(B3939,Заказы!A:C,3,0)</f>
        <v>2023-09-08 17:46:00</v>
      </c>
      <c r="E3939" t="str">
        <f>VLOOKUP(C3939,Меню!A:E,4,0)</f>
        <v>Салат</v>
      </c>
      <c r="F3939">
        <f>VLOOKUP(C3939,Меню!A:E,5,0)</f>
        <v>250</v>
      </c>
    </row>
    <row r="3940" spans="1:6" ht="15.75" hidden="1" customHeight="1" x14ac:dyDescent="0.35">
      <c r="A3940" s="1">
        <v>3939</v>
      </c>
      <c r="B3940" s="1">
        <v>761</v>
      </c>
      <c r="C3940" s="1">
        <v>28</v>
      </c>
      <c r="D3940" t="str">
        <f>VLOOKUP(B3940,Заказы!A:C,3,0)</f>
        <v>2023-09-08 17:46:00</v>
      </c>
      <c r="E3940" t="str">
        <f>VLOOKUP(C3940,Меню!A:E,4,0)</f>
        <v>Салат</v>
      </c>
      <c r="F3940">
        <f>VLOOKUP(C3940,Меню!A:E,5,0)</f>
        <v>250</v>
      </c>
    </row>
    <row r="3941" spans="1:6" ht="15.75" hidden="1" customHeight="1" x14ac:dyDescent="0.35">
      <c r="A3941" s="1">
        <v>3940</v>
      </c>
      <c r="B3941" s="1">
        <v>761</v>
      </c>
      <c r="C3941" s="1">
        <v>56</v>
      </c>
      <c r="D3941" t="str">
        <f>VLOOKUP(B3941,Заказы!A:C,3,0)</f>
        <v>2023-09-08 17:46:00</v>
      </c>
      <c r="E3941" t="str">
        <f>VLOOKUP(C3941,Меню!A:E,4,0)</f>
        <v>Суши</v>
      </c>
      <c r="F3941">
        <f>VLOOKUP(C3941,Меню!A:E,5,0)</f>
        <v>200</v>
      </c>
    </row>
    <row r="3942" spans="1:6" ht="15.75" hidden="1" customHeight="1" x14ac:dyDescent="0.35">
      <c r="A3942" s="1">
        <v>3941</v>
      </c>
      <c r="B3942" s="1">
        <v>761</v>
      </c>
      <c r="C3942" s="1">
        <v>10</v>
      </c>
      <c r="D3942" t="str">
        <f>VLOOKUP(B3942,Заказы!A:C,3,0)</f>
        <v>2023-09-08 17:46:00</v>
      </c>
      <c r="E3942" t="str">
        <f>VLOOKUP(C3942,Меню!A:E,4,0)</f>
        <v>Завтрак</v>
      </c>
      <c r="F3942">
        <f>VLOOKUP(C3942,Меню!A:E,5,0)</f>
        <v>200</v>
      </c>
    </row>
    <row r="3943" spans="1:6" ht="15.75" hidden="1" customHeight="1" x14ac:dyDescent="0.35">
      <c r="A3943" s="1">
        <v>3942</v>
      </c>
      <c r="B3943" s="1">
        <v>761</v>
      </c>
      <c r="C3943" s="1">
        <v>2</v>
      </c>
      <c r="D3943" t="str">
        <f>VLOOKUP(B3943,Заказы!A:C,3,0)</f>
        <v>2023-09-08 17:46:00</v>
      </c>
      <c r="E3943" t="str">
        <f>VLOOKUP(C3943,Меню!A:E,4,0)</f>
        <v>Завтрак</v>
      </c>
      <c r="F3943">
        <f>VLOOKUP(C3943,Меню!A:E,5,0)</f>
        <v>250</v>
      </c>
    </row>
    <row r="3944" spans="1:6" ht="15.75" hidden="1" customHeight="1" x14ac:dyDescent="0.35">
      <c r="A3944" s="1">
        <v>3943</v>
      </c>
      <c r="B3944" s="1">
        <v>762</v>
      </c>
      <c r="C3944" s="1">
        <v>26</v>
      </c>
      <c r="D3944" t="str">
        <f>VLOOKUP(B3944,Заказы!A:C,3,0)</f>
        <v>2023-09-08 20:30:00</v>
      </c>
      <c r="E3944" t="str">
        <f>VLOOKUP(C3944,Меню!A:E,4,0)</f>
        <v>Салат</v>
      </c>
      <c r="F3944">
        <f>VLOOKUP(C3944,Меню!A:E,5,0)</f>
        <v>250</v>
      </c>
    </row>
    <row r="3945" spans="1:6" ht="15.75" hidden="1" customHeight="1" x14ac:dyDescent="0.35">
      <c r="A3945" s="1">
        <v>3944</v>
      </c>
      <c r="B3945" s="1">
        <v>762</v>
      </c>
      <c r="C3945" s="1">
        <v>18</v>
      </c>
      <c r="D3945" t="str">
        <f>VLOOKUP(B3945,Заказы!A:C,3,0)</f>
        <v>2023-09-08 20:30:00</v>
      </c>
      <c r="E3945" t="str">
        <f>VLOOKUP(C3945,Меню!A:E,4,0)</f>
        <v>Первое</v>
      </c>
      <c r="F3945">
        <f>VLOOKUP(C3945,Меню!A:E,5,0)</f>
        <v>300</v>
      </c>
    </row>
    <row r="3946" spans="1:6" ht="15.75" hidden="1" customHeight="1" x14ac:dyDescent="0.35">
      <c r="A3946" s="1">
        <v>3945</v>
      </c>
      <c r="B3946" s="1">
        <v>762</v>
      </c>
      <c r="C3946" s="1">
        <v>58</v>
      </c>
      <c r="D3946" t="str">
        <f>VLOOKUP(B3946,Заказы!A:C,3,0)</f>
        <v>2023-09-08 20:30:00</v>
      </c>
      <c r="E3946" t="str">
        <f>VLOOKUP(C3946,Меню!A:E,4,0)</f>
        <v>Суши</v>
      </c>
      <c r="F3946">
        <f>VLOOKUP(C3946,Меню!A:E,5,0)</f>
        <v>200</v>
      </c>
    </row>
    <row r="3947" spans="1:6" ht="15.75" hidden="1" customHeight="1" x14ac:dyDescent="0.35">
      <c r="A3947" s="1">
        <v>3946</v>
      </c>
      <c r="B3947" s="1">
        <v>762</v>
      </c>
      <c r="C3947" s="1">
        <v>18</v>
      </c>
      <c r="D3947" t="str">
        <f>VLOOKUP(B3947,Заказы!A:C,3,0)</f>
        <v>2023-09-08 20:30:00</v>
      </c>
      <c r="E3947" t="str">
        <f>VLOOKUP(C3947,Меню!A:E,4,0)</f>
        <v>Первое</v>
      </c>
      <c r="F3947">
        <f>VLOOKUP(C3947,Меню!A:E,5,0)</f>
        <v>300</v>
      </c>
    </row>
    <row r="3948" spans="1:6" ht="15.75" hidden="1" customHeight="1" x14ac:dyDescent="0.35">
      <c r="A3948" s="1">
        <v>3947</v>
      </c>
      <c r="B3948" s="1">
        <v>762</v>
      </c>
      <c r="C3948" s="1">
        <v>9</v>
      </c>
      <c r="D3948" t="str">
        <f>VLOOKUP(B3948,Заказы!A:C,3,0)</f>
        <v>2023-09-08 20:30:00</v>
      </c>
      <c r="E3948" t="str">
        <f>VLOOKUP(C3948,Меню!A:E,4,0)</f>
        <v>Завтрак</v>
      </c>
      <c r="F3948">
        <f>VLOOKUP(C3948,Меню!A:E,5,0)</f>
        <v>220</v>
      </c>
    </row>
    <row r="3949" spans="1:6" ht="15.75" hidden="1" customHeight="1" x14ac:dyDescent="0.35">
      <c r="A3949" s="1">
        <v>3948</v>
      </c>
      <c r="B3949" s="1">
        <v>762</v>
      </c>
      <c r="C3949" s="1">
        <v>48</v>
      </c>
      <c r="D3949" t="str">
        <f>VLOOKUP(B3949,Заказы!A:C,3,0)</f>
        <v>2023-09-08 20:30:00</v>
      </c>
      <c r="E3949" t="str">
        <f>VLOOKUP(C3949,Меню!A:E,4,0)</f>
        <v>Суши</v>
      </c>
      <c r="F3949">
        <f>VLOOKUP(C3949,Меню!A:E,5,0)</f>
        <v>200</v>
      </c>
    </row>
    <row r="3950" spans="1:6" ht="15.75" hidden="1" customHeight="1" x14ac:dyDescent="0.35">
      <c r="A3950" s="1">
        <v>3949</v>
      </c>
      <c r="B3950" s="1">
        <v>763</v>
      </c>
      <c r="C3950" s="1">
        <v>31</v>
      </c>
      <c r="D3950" t="str">
        <f>VLOOKUP(B3950,Заказы!A:C,3,0)</f>
        <v>2023-09-08 20:54:00</v>
      </c>
      <c r="E3950" t="str">
        <f>VLOOKUP(C3950,Меню!A:E,4,0)</f>
        <v>Десерт</v>
      </c>
      <c r="F3950">
        <f>VLOOKUP(C3950,Меню!A:E,5,0)</f>
        <v>150</v>
      </c>
    </row>
    <row r="3951" spans="1:6" ht="15.75" hidden="1" customHeight="1" x14ac:dyDescent="0.35">
      <c r="A3951" s="1">
        <v>3950</v>
      </c>
      <c r="B3951" s="1">
        <v>763</v>
      </c>
      <c r="C3951" s="1">
        <v>10</v>
      </c>
      <c r="D3951" t="str">
        <f>VLOOKUP(B3951,Заказы!A:C,3,0)</f>
        <v>2023-09-08 20:54:00</v>
      </c>
      <c r="E3951" t="str">
        <f>VLOOKUP(C3951,Меню!A:E,4,0)</f>
        <v>Завтрак</v>
      </c>
      <c r="F3951">
        <f>VLOOKUP(C3951,Меню!A:E,5,0)</f>
        <v>200</v>
      </c>
    </row>
    <row r="3952" spans="1:6" ht="15.75" hidden="1" customHeight="1" x14ac:dyDescent="0.35">
      <c r="A3952" s="1">
        <v>3951</v>
      </c>
      <c r="B3952" s="1">
        <v>763</v>
      </c>
      <c r="C3952" s="1">
        <v>24</v>
      </c>
      <c r="D3952" t="str">
        <f>VLOOKUP(B3952,Заказы!A:C,3,0)</f>
        <v>2023-09-08 20:54:00</v>
      </c>
      <c r="E3952" t="str">
        <f>VLOOKUP(C3952,Меню!A:E,4,0)</f>
        <v>Салат</v>
      </c>
      <c r="F3952">
        <f>VLOOKUP(C3952,Меню!A:E,5,0)</f>
        <v>250</v>
      </c>
    </row>
    <row r="3953" spans="1:6" ht="15.75" hidden="1" customHeight="1" x14ac:dyDescent="0.35">
      <c r="A3953" s="1">
        <v>3952</v>
      </c>
      <c r="B3953" s="1">
        <v>763</v>
      </c>
      <c r="C3953" s="1">
        <v>6</v>
      </c>
      <c r="D3953" t="str">
        <f>VLOOKUP(B3953,Заказы!A:C,3,0)</f>
        <v>2023-09-08 20:54:00</v>
      </c>
      <c r="E3953" t="str">
        <f>VLOOKUP(C3953,Меню!A:E,4,0)</f>
        <v>Завтрак</v>
      </c>
      <c r="F3953">
        <f>VLOOKUP(C3953,Меню!A:E,5,0)</f>
        <v>300</v>
      </c>
    </row>
    <row r="3954" spans="1:6" ht="15.75" hidden="1" customHeight="1" x14ac:dyDescent="0.35">
      <c r="A3954" s="1">
        <v>3953</v>
      </c>
      <c r="B3954" s="1">
        <v>763</v>
      </c>
      <c r="C3954" s="1">
        <v>34</v>
      </c>
      <c r="D3954" t="str">
        <f>VLOOKUP(B3954,Заказы!A:C,3,0)</f>
        <v>2023-09-08 20:54:00</v>
      </c>
      <c r="E3954" t="str">
        <f>VLOOKUP(C3954,Меню!A:E,4,0)</f>
        <v>Десерт</v>
      </c>
      <c r="F3954">
        <f>VLOOKUP(C3954,Меню!A:E,5,0)</f>
        <v>150</v>
      </c>
    </row>
    <row r="3955" spans="1:6" ht="15.75" hidden="1" customHeight="1" x14ac:dyDescent="0.35">
      <c r="A3955" s="1">
        <v>3954</v>
      </c>
      <c r="B3955" s="1">
        <v>764</v>
      </c>
      <c r="C3955" s="1">
        <v>12</v>
      </c>
      <c r="D3955" t="str">
        <f>VLOOKUP(B3955,Заказы!A:C,3,0)</f>
        <v>2023-09-08 21:21:00</v>
      </c>
      <c r="E3955" t="str">
        <f>VLOOKUP(C3955,Меню!A:E,4,0)</f>
        <v>Первое</v>
      </c>
      <c r="F3955">
        <f>VLOOKUP(C3955,Меню!A:E,5,0)</f>
        <v>300</v>
      </c>
    </row>
    <row r="3956" spans="1:6" ht="15.75" hidden="1" customHeight="1" x14ac:dyDescent="0.35">
      <c r="A3956" s="1">
        <v>3955</v>
      </c>
      <c r="B3956" s="1">
        <v>765</v>
      </c>
      <c r="C3956" s="1">
        <v>29</v>
      </c>
      <c r="D3956" t="str">
        <f>VLOOKUP(B3956,Заказы!A:C,3,0)</f>
        <v>2023-09-09 15:55:00</v>
      </c>
      <c r="E3956" t="str">
        <f>VLOOKUP(C3956,Меню!A:E,4,0)</f>
        <v>Салат</v>
      </c>
      <c r="F3956">
        <f>VLOOKUP(C3956,Меню!A:E,5,0)</f>
        <v>250</v>
      </c>
    </row>
    <row r="3957" spans="1:6" ht="15.75" hidden="1" customHeight="1" x14ac:dyDescent="0.35">
      <c r="A3957" s="1">
        <v>3956</v>
      </c>
      <c r="B3957" s="1">
        <v>766</v>
      </c>
      <c r="C3957" s="1">
        <v>22</v>
      </c>
      <c r="D3957" t="str">
        <f>VLOOKUP(B3957,Заказы!A:C,3,0)</f>
        <v>2023-09-09 16:19:00</v>
      </c>
      <c r="E3957" t="str">
        <f>VLOOKUP(C3957,Меню!A:E,4,0)</f>
        <v>Салат</v>
      </c>
      <c r="F3957">
        <f>VLOOKUP(C3957,Меню!A:E,5,0)</f>
        <v>250</v>
      </c>
    </row>
    <row r="3958" spans="1:6" ht="15.75" hidden="1" customHeight="1" x14ac:dyDescent="0.35">
      <c r="A3958" s="1">
        <v>3957</v>
      </c>
      <c r="B3958" s="1">
        <v>766</v>
      </c>
      <c r="C3958" s="1">
        <v>51</v>
      </c>
      <c r="D3958" t="str">
        <f>VLOOKUP(B3958,Заказы!A:C,3,0)</f>
        <v>2023-09-09 16:19:00</v>
      </c>
      <c r="E3958" t="str">
        <f>VLOOKUP(C3958,Меню!A:E,4,0)</f>
        <v>Суши</v>
      </c>
      <c r="F3958">
        <f>VLOOKUP(C3958,Меню!A:E,5,0)</f>
        <v>100</v>
      </c>
    </row>
    <row r="3959" spans="1:6" ht="15.75" hidden="1" customHeight="1" x14ac:dyDescent="0.35">
      <c r="A3959" s="1">
        <v>3958</v>
      </c>
      <c r="B3959" s="1">
        <v>766</v>
      </c>
      <c r="C3959" s="1">
        <v>22</v>
      </c>
      <c r="D3959" t="str">
        <f>VLOOKUP(B3959,Заказы!A:C,3,0)</f>
        <v>2023-09-09 16:19:00</v>
      </c>
      <c r="E3959" t="str">
        <f>VLOOKUP(C3959,Меню!A:E,4,0)</f>
        <v>Салат</v>
      </c>
      <c r="F3959">
        <f>VLOOKUP(C3959,Меню!A:E,5,0)</f>
        <v>250</v>
      </c>
    </row>
    <row r="3960" spans="1:6" ht="15.75" hidden="1" customHeight="1" x14ac:dyDescent="0.35">
      <c r="A3960" s="1">
        <v>3959</v>
      </c>
      <c r="B3960" s="1">
        <v>766</v>
      </c>
      <c r="C3960" s="1">
        <v>43</v>
      </c>
      <c r="D3960" t="str">
        <f>VLOOKUP(B3960,Заказы!A:C,3,0)</f>
        <v>2023-09-09 16:19:00</v>
      </c>
      <c r="E3960" t="str">
        <f>VLOOKUP(C3960,Меню!A:E,4,0)</f>
        <v>Суши</v>
      </c>
      <c r="F3960">
        <f>VLOOKUP(C3960,Меню!A:E,5,0)</f>
        <v>250</v>
      </c>
    </row>
    <row r="3961" spans="1:6" ht="15.75" hidden="1" customHeight="1" x14ac:dyDescent="0.35">
      <c r="A3961" s="1">
        <v>3960</v>
      </c>
      <c r="B3961" s="1">
        <v>766</v>
      </c>
      <c r="C3961" s="1">
        <v>23</v>
      </c>
      <c r="D3961" t="str">
        <f>VLOOKUP(B3961,Заказы!A:C,3,0)</f>
        <v>2023-09-09 16:19:00</v>
      </c>
      <c r="E3961" t="str">
        <f>VLOOKUP(C3961,Меню!A:E,4,0)</f>
        <v>Салат</v>
      </c>
      <c r="F3961">
        <f>VLOOKUP(C3961,Меню!A:E,5,0)</f>
        <v>250</v>
      </c>
    </row>
    <row r="3962" spans="1:6" ht="15.75" hidden="1" customHeight="1" x14ac:dyDescent="0.35">
      <c r="A3962" s="1">
        <v>3961</v>
      </c>
      <c r="B3962" s="1">
        <v>767</v>
      </c>
      <c r="C3962" s="1">
        <v>34</v>
      </c>
      <c r="D3962" t="str">
        <f>VLOOKUP(B3962,Заказы!A:C,3,0)</f>
        <v>2023-09-09 19:14:00</v>
      </c>
      <c r="E3962" t="str">
        <f>VLOOKUP(C3962,Меню!A:E,4,0)</f>
        <v>Десерт</v>
      </c>
      <c r="F3962">
        <f>VLOOKUP(C3962,Меню!A:E,5,0)</f>
        <v>150</v>
      </c>
    </row>
    <row r="3963" spans="1:6" ht="15.75" hidden="1" customHeight="1" x14ac:dyDescent="0.35">
      <c r="A3963" s="1">
        <v>3962</v>
      </c>
      <c r="B3963" s="1">
        <v>767</v>
      </c>
      <c r="C3963" s="1">
        <v>40</v>
      </c>
      <c r="D3963" t="str">
        <f>VLOOKUP(B3963,Заказы!A:C,3,0)</f>
        <v>2023-09-09 19:14:00</v>
      </c>
      <c r="E3963" t="str">
        <f>VLOOKUP(C3963,Меню!A:E,4,0)</f>
        <v>Десерт</v>
      </c>
      <c r="F3963">
        <f>VLOOKUP(C3963,Меню!A:E,5,0)</f>
        <v>150</v>
      </c>
    </row>
    <row r="3964" spans="1:6" ht="15.75" hidden="1" customHeight="1" x14ac:dyDescent="0.35">
      <c r="A3964" s="1">
        <v>3963</v>
      </c>
      <c r="B3964" s="1">
        <v>767</v>
      </c>
      <c r="C3964" s="1">
        <v>38</v>
      </c>
      <c r="D3964" t="str">
        <f>VLOOKUP(B3964,Заказы!A:C,3,0)</f>
        <v>2023-09-09 19:14:00</v>
      </c>
      <c r="E3964" t="str">
        <f>VLOOKUP(C3964,Меню!A:E,4,0)</f>
        <v>Десерт</v>
      </c>
      <c r="F3964">
        <f>VLOOKUP(C3964,Меню!A:E,5,0)</f>
        <v>150</v>
      </c>
    </row>
    <row r="3965" spans="1:6" ht="15.75" hidden="1" customHeight="1" x14ac:dyDescent="0.35">
      <c r="A3965" s="1">
        <v>3964</v>
      </c>
      <c r="B3965" s="1">
        <v>768</v>
      </c>
      <c r="C3965" s="1">
        <v>12</v>
      </c>
      <c r="D3965" t="str">
        <f>VLOOKUP(B3965,Заказы!A:C,3,0)</f>
        <v>2023-09-09 21:32:00</v>
      </c>
      <c r="E3965" t="str">
        <f>VLOOKUP(C3965,Меню!A:E,4,0)</f>
        <v>Первое</v>
      </c>
      <c r="F3965">
        <f>VLOOKUP(C3965,Меню!A:E,5,0)</f>
        <v>300</v>
      </c>
    </row>
    <row r="3966" spans="1:6" ht="15.75" hidden="1" customHeight="1" x14ac:dyDescent="0.35">
      <c r="A3966" s="1">
        <v>3965</v>
      </c>
      <c r="B3966" s="1">
        <v>768</v>
      </c>
      <c r="C3966" s="1">
        <v>24</v>
      </c>
      <c r="D3966" t="str">
        <f>VLOOKUP(B3966,Заказы!A:C,3,0)</f>
        <v>2023-09-09 21:32:00</v>
      </c>
      <c r="E3966" t="str">
        <f>VLOOKUP(C3966,Меню!A:E,4,0)</f>
        <v>Салат</v>
      </c>
      <c r="F3966">
        <f>VLOOKUP(C3966,Меню!A:E,5,0)</f>
        <v>250</v>
      </c>
    </row>
    <row r="3967" spans="1:6" ht="15.75" hidden="1" customHeight="1" x14ac:dyDescent="0.35">
      <c r="A3967" s="1">
        <v>3966</v>
      </c>
      <c r="B3967" s="1">
        <v>768</v>
      </c>
      <c r="C3967" s="1">
        <v>6</v>
      </c>
      <c r="D3967" t="str">
        <f>VLOOKUP(B3967,Заказы!A:C,3,0)</f>
        <v>2023-09-09 21:32:00</v>
      </c>
      <c r="E3967" t="str">
        <f>VLOOKUP(C3967,Меню!A:E,4,0)</f>
        <v>Завтрак</v>
      </c>
      <c r="F3967">
        <f>VLOOKUP(C3967,Меню!A:E,5,0)</f>
        <v>300</v>
      </c>
    </row>
    <row r="3968" spans="1:6" ht="15.75" hidden="1" customHeight="1" x14ac:dyDescent="0.35">
      <c r="A3968" s="1">
        <v>3967</v>
      </c>
      <c r="B3968" s="1">
        <v>768</v>
      </c>
      <c r="C3968" s="1">
        <v>59</v>
      </c>
      <c r="D3968" t="str">
        <f>VLOOKUP(B3968,Заказы!A:C,3,0)</f>
        <v>2023-09-09 21:32:00</v>
      </c>
      <c r="E3968" t="str">
        <f>VLOOKUP(C3968,Меню!A:E,4,0)</f>
        <v>Суши</v>
      </c>
      <c r="F3968">
        <f>VLOOKUP(C3968,Меню!A:E,5,0)</f>
        <v>300</v>
      </c>
    </row>
    <row r="3969" spans="1:6" ht="15.75" hidden="1" customHeight="1" x14ac:dyDescent="0.35">
      <c r="A3969" s="1">
        <v>3968</v>
      </c>
      <c r="B3969" s="1">
        <v>768</v>
      </c>
      <c r="C3969" s="1">
        <v>13</v>
      </c>
      <c r="D3969" t="str">
        <f>VLOOKUP(B3969,Заказы!A:C,3,0)</f>
        <v>2023-09-09 21:32:00</v>
      </c>
      <c r="E3969" t="str">
        <f>VLOOKUP(C3969,Меню!A:E,4,0)</f>
        <v>Первое</v>
      </c>
      <c r="F3969">
        <f>VLOOKUP(C3969,Меню!A:E,5,0)</f>
        <v>280</v>
      </c>
    </row>
    <row r="3970" spans="1:6" ht="15.75" hidden="1" customHeight="1" x14ac:dyDescent="0.35">
      <c r="A3970" s="1">
        <v>3969</v>
      </c>
      <c r="B3970" s="1">
        <v>769</v>
      </c>
      <c r="C3970" s="1">
        <v>33</v>
      </c>
      <c r="D3970" t="str">
        <f>VLOOKUP(B3970,Заказы!A:C,3,0)</f>
        <v>2023-09-10 15:15:00</v>
      </c>
      <c r="E3970" t="str">
        <f>VLOOKUP(C3970,Меню!A:E,4,0)</f>
        <v>Десерт</v>
      </c>
      <c r="F3970">
        <f>VLOOKUP(C3970,Меню!A:E,5,0)</f>
        <v>150</v>
      </c>
    </row>
    <row r="3971" spans="1:6" ht="15.75" hidden="1" customHeight="1" x14ac:dyDescent="0.35">
      <c r="A3971" s="1">
        <v>3970</v>
      </c>
      <c r="B3971" s="1">
        <v>769</v>
      </c>
      <c r="C3971" s="1">
        <v>39</v>
      </c>
      <c r="D3971" t="str">
        <f>VLOOKUP(B3971,Заказы!A:C,3,0)</f>
        <v>2023-09-10 15:15:00</v>
      </c>
      <c r="E3971" t="str">
        <f>VLOOKUP(C3971,Меню!A:E,4,0)</f>
        <v>Десерт</v>
      </c>
      <c r="F3971">
        <f>VLOOKUP(C3971,Меню!A:E,5,0)</f>
        <v>150</v>
      </c>
    </row>
    <row r="3972" spans="1:6" ht="15.75" hidden="1" customHeight="1" x14ac:dyDescent="0.35">
      <c r="A3972" s="1">
        <v>3971</v>
      </c>
      <c r="B3972" s="1">
        <v>769</v>
      </c>
      <c r="C3972" s="1">
        <v>41</v>
      </c>
      <c r="D3972" t="str">
        <f>VLOOKUP(B3972,Заказы!A:C,3,0)</f>
        <v>2023-09-10 15:15:00</v>
      </c>
      <c r="E3972" t="str">
        <f>VLOOKUP(C3972,Меню!A:E,4,0)</f>
        <v>Суши</v>
      </c>
      <c r="F3972">
        <f>VLOOKUP(C3972,Меню!A:E,5,0)</f>
        <v>220</v>
      </c>
    </row>
    <row r="3973" spans="1:6" ht="15.75" hidden="1" customHeight="1" x14ac:dyDescent="0.35">
      <c r="A3973" s="1">
        <v>3972</v>
      </c>
      <c r="B3973" s="1">
        <v>769</v>
      </c>
      <c r="C3973" s="1">
        <v>21</v>
      </c>
      <c r="D3973" t="str">
        <f>VLOOKUP(B3973,Заказы!A:C,3,0)</f>
        <v>2023-09-10 15:15:00</v>
      </c>
      <c r="E3973" t="str">
        <f>VLOOKUP(C3973,Меню!A:E,4,0)</f>
        <v>Салат</v>
      </c>
      <c r="F3973">
        <f>VLOOKUP(C3973,Меню!A:E,5,0)</f>
        <v>250</v>
      </c>
    </row>
    <row r="3974" spans="1:6" ht="15.75" hidden="1" customHeight="1" x14ac:dyDescent="0.35">
      <c r="A3974" s="1">
        <v>3973</v>
      </c>
      <c r="B3974" s="1">
        <v>769</v>
      </c>
      <c r="C3974" s="1">
        <v>6</v>
      </c>
      <c r="D3974" t="str">
        <f>VLOOKUP(B3974,Заказы!A:C,3,0)</f>
        <v>2023-09-10 15:15:00</v>
      </c>
      <c r="E3974" t="str">
        <f>VLOOKUP(C3974,Меню!A:E,4,0)</f>
        <v>Завтрак</v>
      </c>
      <c r="F3974">
        <f>VLOOKUP(C3974,Меню!A:E,5,0)</f>
        <v>300</v>
      </c>
    </row>
    <row r="3975" spans="1:6" ht="15.75" hidden="1" customHeight="1" x14ac:dyDescent="0.35">
      <c r="A3975" s="1">
        <v>3974</v>
      </c>
      <c r="B3975" s="1">
        <v>769</v>
      </c>
      <c r="C3975" s="1">
        <v>27</v>
      </c>
      <c r="D3975" t="str">
        <f>VLOOKUP(B3975,Заказы!A:C,3,0)</f>
        <v>2023-09-10 15:15:00</v>
      </c>
      <c r="E3975" t="str">
        <f>VLOOKUP(C3975,Меню!A:E,4,0)</f>
        <v>Салат</v>
      </c>
      <c r="F3975">
        <f>VLOOKUP(C3975,Меню!A:E,5,0)</f>
        <v>250</v>
      </c>
    </row>
    <row r="3976" spans="1:6" ht="15.75" hidden="1" customHeight="1" x14ac:dyDescent="0.35">
      <c r="A3976" s="1">
        <v>3975</v>
      </c>
      <c r="B3976" s="1">
        <v>770</v>
      </c>
      <c r="C3976" s="1">
        <v>13</v>
      </c>
      <c r="D3976" t="str">
        <f>VLOOKUP(B3976,Заказы!A:C,3,0)</f>
        <v>2023-09-10 15:53:00</v>
      </c>
      <c r="E3976" t="str">
        <f>VLOOKUP(C3976,Меню!A:E,4,0)</f>
        <v>Первое</v>
      </c>
      <c r="F3976">
        <f>VLOOKUP(C3976,Меню!A:E,5,0)</f>
        <v>280</v>
      </c>
    </row>
    <row r="3977" spans="1:6" ht="15.75" hidden="1" customHeight="1" x14ac:dyDescent="0.35">
      <c r="A3977" s="1">
        <v>3976</v>
      </c>
      <c r="B3977" s="1">
        <v>770</v>
      </c>
      <c r="C3977" s="1">
        <v>51</v>
      </c>
      <c r="D3977" t="str">
        <f>VLOOKUP(B3977,Заказы!A:C,3,0)</f>
        <v>2023-09-10 15:53:00</v>
      </c>
      <c r="E3977" t="str">
        <f>VLOOKUP(C3977,Меню!A:E,4,0)</f>
        <v>Суши</v>
      </c>
      <c r="F3977">
        <f>VLOOKUP(C3977,Меню!A:E,5,0)</f>
        <v>100</v>
      </c>
    </row>
    <row r="3978" spans="1:6" ht="15.75" hidden="1" customHeight="1" x14ac:dyDescent="0.35">
      <c r="A3978" s="1">
        <v>3977</v>
      </c>
      <c r="B3978" s="1">
        <v>770</v>
      </c>
      <c r="C3978" s="1">
        <v>10</v>
      </c>
      <c r="D3978" t="str">
        <f>VLOOKUP(B3978,Заказы!A:C,3,0)</f>
        <v>2023-09-10 15:53:00</v>
      </c>
      <c r="E3978" t="str">
        <f>VLOOKUP(C3978,Меню!A:E,4,0)</f>
        <v>Завтрак</v>
      </c>
      <c r="F3978">
        <f>VLOOKUP(C3978,Меню!A:E,5,0)</f>
        <v>200</v>
      </c>
    </row>
    <row r="3979" spans="1:6" ht="15.75" hidden="1" customHeight="1" x14ac:dyDescent="0.35">
      <c r="A3979" s="1">
        <v>3978</v>
      </c>
      <c r="B3979" s="1">
        <v>770</v>
      </c>
      <c r="C3979" s="1">
        <v>25</v>
      </c>
      <c r="D3979" t="str">
        <f>VLOOKUP(B3979,Заказы!A:C,3,0)</f>
        <v>2023-09-10 15:53:00</v>
      </c>
      <c r="E3979" t="str">
        <f>VLOOKUP(C3979,Меню!A:E,4,0)</f>
        <v>Салат</v>
      </c>
      <c r="F3979">
        <f>VLOOKUP(C3979,Меню!A:E,5,0)</f>
        <v>250</v>
      </c>
    </row>
    <row r="3980" spans="1:6" ht="15.75" hidden="1" customHeight="1" x14ac:dyDescent="0.35">
      <c r="A3980" s="1">
        <v>3979</v>
      </c>
      <c r="B3980" s="1">
        <v>770</v>
      </c>
      <c r="C3980" s="1">
        <v>29</v>
      </c>
      <c r="D3980" t="str">
        <f>VLOOKUP(B3980,Заказы!A:C,3,0)</f>
        <v>2023-09-10 15:53:00</v>
      </c>
      <c r="E3980" t="str">
        <f>VLOOKUP(C3980,Меню!A:E,4,0)</f>
        <v>Салат</v>
      </c>
      <c r="F3980">
        <f>VLOOKUP(C3980,Меню!A:E,5,0)</f>
        <v>250</v>
      </c>
    </row>
    <row r="3981" spans="1:6" ht="15.75" hidden="1" customHeight="1" x14ac:dyDescent="0.35">
      <c r="A3981" s="1">
        <v>3980</v>
      </c>
      <c r="B3981" s="1">
        <v>770</v>
      </c>
      <c r="C3981" s="1">
        <v>35</v>
      </c>
      <c r="D3981" t="str">
        <f>VLOOKUP(B3981,Заказы!A:C,3,0)</f>
        <v>2023-09-10 15:53:00</v>
      </c>
      <c r="E3981" t="str">
        <f>VLOOKUP(C3981,Меню!A:E,4,0)</f>
        <v>Десерт</v>
      </c>
      <c r="F3981">
        <f>VLOOKUP(C3981,Меню!A:E,5,0)</f>
        <v>150</v>
      </c>
    </row>
    <row r="3982" spans="1:6" ht="15.75" hidden="1" customHeight="1" x14ac:dyDescent="0.35">
      <c r="A3982" s="1">
        <v>3981</v>
      </c>
      <c r="B3982" s="1">
        <v>770</v>
      </c>
      <c r="C3982" s="1">
        <v>45</v>
      </c>
      <c r="D3982" t="str">
        <f>VLOOKUP(B3982,Заказы!A:C,3,0)</f>
        <v>2023-09-10 15:53:00</v>
      </c>
      <c r="E3982" t="str">
        <f>VLOOKUP(C3982,Меню!A:E,4,0)</f>
        <v>Суши</v>
      </c>
      <c r="F3982">
        <f>VLOOKUP(C3982,Меню!A:E,5,0)</f>
        <v>200</v>
      </c>
    </row>
    <row r="3983" spans="1:6" ht="15.75" hidden="1" customHeight="1" x14ac:dyDescent="0.35">
      <c r="A3983" s="1">
        <v>3982</v>
      </c>
      <c r="B3983" s="1">
        <v>770</v>
      </c>
      <c r="C3983" s="1">
        <v>27</v>
      </c>
      <c r="D3983" t="str">
        <f>VLOOKUP(B3983,Заказы!A:C,3,0)</f>
        <v>2023-09-10 15:53:00</v>
      </c>
      <c r="E3983" t="str">
        <f>VLOOKUP(C3983,Меню!A:E,4,0)</f>
        <v>Салат</v>
      </c>
      <c r="F3983">
        <f>VLOOKUP(C3983,Меню!A:E,5,0)</f>
        <v>250</v>
      </c>
    </row>
    <row r="3984" spans="1:6" ht="15.75" hidden="1" customHeight="1" x14ac:dyDescent="0.35">
      <c r="A3984" s="1">
        <v>3983</v>
      </c>
      <c r="B3984" s="1">
        <v>770</v>
      </c>
      <c r="C3984" s="1">
        <v>58</v>
      </c>
      <c r="D3984" t="str">
        <f>VLOOKUP(B3984,Заказы!A:C,3,0)</f>
        <v>2023-09-10 15:53:00</v>
      </c>
      <c r="E3984" t="str">
        <f>VLOOKUP(C3984,Меню!A:E,4,0)</f>
        <v>Суши</v>
      </c>
      <c r="F3984">
        <f>VLOOKUP(C3984,Меню!A:E,5,0)</f>
        <v>200</v>
      </c>
    </row>
    <row r="3985" spans="1:6" ht="15.75" hidden="1" customHeight="1" x14ac:dyDescent="0.35">
      <c r="A3985" s="1">
        <v>3984</v>
      </c>
      <c r="B3985" s="1">
        <v>770</v>
      </c>
      <c r="C3985" s="1">
        <v>19</v>
      </c>
      <c r="D3985" t="str">
        <f>VLOOKUP(B3985,Заказы!A:C,3,0)</f>
        <v>2023-09-10 15:53:00</v>
      </c>
      <c r="E3985" t="str">
        <f>VLOOKUP(C3985,Меню!A:E,4,0)</f>
        <v>Первое</v>
      </c>
      <c r="F3985">
        <f>VLOOKUP(C3985,Меню!A:E,5,0)</f>
        <v>300</v>
      </c>
    </row>
    <row r="3986" spans="1:6" ht="15.75" hidden="1" customHeight="1" x14ac:dyDescent="0.35">
      <c r="A3986" s="1">
        <v>3985</v>
      </c>
      <c r="B3986" s="1">
        <v>770</v>
      </c>
      <c r="C3986" s="1">
        <v>33</v>
      </c>
      <c r="D3986" t="str">
        <f>VLOOKUP(B3986,Заказы!A:C,3,0)</f>
        <v>2023-09-10 15:53:00</v>
      </c>
      <c r="E3986" t="str">
        <f>VLOOKUP(C3986,Меню!A:E,4,0)</f>
        <v>Десерт</v>
      </c>
      <c r="F3986">
        <f>VLOOKUP(C3986,Меню!A:E,5,0)</f>
        <v>150</v>
      </c>
    </row>
    <row r="3987" spans="1:6" ht="15.75" hidden="1" customHeight="1" x14ac:dyDescent="0.35">
      <c r="A3987" s="1">
        <v>3986</v>
      </c>
      <c r="B3987" s="1">
        <v>771</v>
      </c>
      <c r="C3987" s="1">
        <v>3</v>
      </c>
      <c r="D3987" t="str">
        <f>VLOOKUP(B3987,Заказы!A:C,3,0)</f>
        <v>2023-09-10 17:44:00</v>
      </c>
      <c r="E3987" t="str">
        <f>VLOOKUP(C3987,Меню!A:E,4,0)</f>
        <v>Завтрак</v>
      </c>
      <c r="F3987">
        <f>VLOOKUP(C3987,Меню!A:E,5,0)</f>
        <v>150</v>
      </c>
    </row>
    <row r="3988" spans="1:6" ht="15.75" hidden="1" customHeight="1" x14ac:dyDescent="0.35">
      <c r="A3988" s="1">
        <v>3987</v>
      </c>
      <c r="B3988" s="1">
        <v>771</v>
      </c>
      <c r="C3988" s="1">
        <v>18</v>
      </c>
      <c r="D3988" t="str">
        <f>VLOOKUP(B3988,Заказы!A:C,3,0)</f>
        <v>2023-09-10 17:44:00</v>
      </c>
      <c r="E3988" t="str">
        <f>VLOOKUP(C3988,Меню!A:E,4,0)</f>
        <v>Первое</v>
      </c>
      <c r="F3988">
        <f>VLOOKUP(C3988,Меню!A:E,5,0)</f>
        <v>300</v>
      </c>
    </row>
    <row r="3989" spans="1:6" ht="15.75" hidden="1" customHeight="1" x14ac:dyDescent="0.35">
      <c r="A3989" s="1">
        <v>3988</v>
      </c>
      <c r="B3989" s="1">
        <v>771</v>
      </c>
      <c r="C3989" s="1">
        <v>9</v>
      </c>
      <c r="D3989" t="str">
        <f>VLOOKUP(B3989,Заказы!A:C,3,0)</f>
        <v>2023-09-10 17:44:00</v>
      </c>
      <c r="E3989" t="str">
        <f>VLOOKUP(C3989,Меню!A:E,4,0)</f>
        <v>Завтрак</v>
      </c>
      <c r="F3989">
        <f>VLOOKUP(C3989,Меню!A:E,5,0)</f>
        <v>220</v>
      </c>
    </row>
    <row r="3990" spans="1:6" ht="15.75" hidden="1" customHeight="1" x14ac:dyDescent="0.35">
      <c r="A3990" s="1">
        <v>3989</v>
      </c>
      <c r="B3990" s="1">
        <v>772</v>
      </c>
      <c r="C3990" s="1">
        <v>24</v>
      </c>
      <c r="D3990" t="str">
        <f>VLOOKUP(B3990,Заказы!A:C,3,0)</f>
        <v>2023-09-10 18:50:00</v>
      </c>
      <c r="E3990" t="str">
        <f>VLOOKUP(C3990,Меню!A:E,4,0)</f>
        <v>Салат</v>
      </c>
      <c r="F3990">
        <f>VLOOKUP(C3990,Меню!A:E,5,0)</f>
        <v>250</v>
      </c>
    </row>
    <row r="3991" spans="1:6" ht="15.75" hidden="1" customHeight="1" x14ac:dyDescent="0.35">
      <c r="A3991" s="1">
        <v>3990</v>
      </c>
      <c r="B3991" s="1">
        <v>772</v>
      </c>
      <c r="C3991" s="1">
        <v>48</v>
      </c>
      <c r="D3991" t="str">
        <f>VLOOKUP(B3991,Заказы!A:C,3,0)</f>
        <v>2023-09-10 18:50:00</v>
      </c>
      <c r="E3991" t="str">
        <f>VLOOKUP(C3991,Меню!A:E,4,0)</f>
        <v>Суши</v>
      </c>
      <c r="F3991">
        <f>VLOOKUP(C3991,Меню!A:E,5,0)</f>
        <v>200</v>
      </c>
    </row>
    <row r="3992" spans="1:6" ht="15.75" hidden="1" customHeight="1" x14ac:dyDescent="0.35">
      <c r="A3992" s="1">
        <v>3991</v>
      </c>
      <c r="B3992" s="1">
        <v>772</v>
      </c>
      <c r="C3992" s="1">
        <v>25</v>
      </c>
      <c r="D3992" t="str">
        <f>VLOOKUP(B3992,Заказы!A:C,3,0)</f>
        <v>2023-09-10 18:50:00</v>
      </c>
      <c r="E3992" t="str">
        <f>VLOOKUP(C3992,Меню!A:E,4,0)</f>
        <v>Салат</v>
      </c>
      <c r="F3992">
        <f>VLOOKUP(C3992,Меню!A:E,5,0)</f>
        <v>250</v>
      </c>
    </row>
    <row r="3993" spans="1:6" ht="15.75" hidden="1" customHeight="1" x14ac:dyDescent="0.35">
      <c r="A3993" s="1">
        <v>3992</v>
      </c>
      <c r="B3993" s="1">
        <v>772</v>
      </c>
      <c r="C3993" s="1">
        <v>47</v>
      </c>
      <c r="D3993" t="str">
        <f>VLOOKUP(B3993,Заказы!A:C,3,0)</f>
        <v>2023-09-10 18:50:00</v>
      </c>
      <c r="E3993" t="str">
        <f>VLOOKUP(C3993,Меню!A:E,4,0)</f>
        <v>Суши</v>
      </c>
      <c r="F3993">
        <f>VLOOKUP(C3993,Меню!A:E,5,0)</f>
        <v>200</v>
      </c>
    </row>
    <row r="3994" spans="1:6" ht="15.75" hidden="1" customHeight="1" x14ac:dyDescent="0.35">
      <c r="A3994" s="1">
        <v>3993</v>
      </c>
      <c r="B3994" s="1">
        <v>773</v>
      </c>
      <c r="C3994" s="1">
        <v>14</v>
      </c>
      <c r="D3994" t="str">
        <f>VLOOKUP(B3994,Заказы!A:C,3,0)</f>
        <v>2023-09-10 20:25:00</v>
      </c>
      <c r="E3994" t="str">
        <f>VLOOKUP(C3994,Меню!A:E,4,0)</f>
        <v>Первое</v>
      </c>
      <c r="F3994">
        <f>VLOOKUP(C3994,Меню!A:E,5,0)</f>
        <v>350</v>
      </c>
    </row>
    <row r="3995" spans="1:6" ht="15.75" hidden="1" customHeight="1" x14ac:dyDescent="0.35">
      <c r="A3995" s="1">
        <v>3994</v>
      </c>
      <c r="B3995" s="1">
        <v>774</v>
      </c>
      <c r="C3995" s="1">
        <v>36</v>
      </c>
      <c r="D3995" t="str">
        <f>VLOOKUP(B3995,Заказы!A:C,3,0)</f>
        <v>2023-09-10 21:15:00</v>
      </c>
      <c r="E3995" t="str">
        <f>VLOOKUP(C3995,Меню!A:E,4,0)</f>
        <v>Десерт</v>
      </c>
      <c r="F3995">
        <f>VLOOKUP(C3995,Меню!A:E,5,0)</f>
        <v>150</v>
      </c>
    </row>
    <row r="3996" spans="1:6" ht="15.75" hidden="1" customHeight="1" x14ac:dyDescent="0.35">
      <c r="A3996" s="1">
        <v>3995</v>
      </c>
      <c r="B3996" s="1">
        <v>774</v>
      </c>
      <c r="C3996" s="1">
        <v>4</v>
      </c>
      <c r="D3996" t="str">
        <f>VLOOKUP(B3996,Заказы!A:C,3,0)</f>
        <v>2023-09-10 21:15:00</v>
      </c>
      <c r="E3996" t="str">
        <f>VLOOKUP(C3996,Меню!A:E,4,0)</f>
        <v>Завтрак</v>
      </c>
      <c r="F3996">
        <f>VLOOKUP(C3996,Меню!A:E,5,0)</f>
        <v>180</v>
      </c>
    </row>
    <row r="3997" spans="1:6" ht="15.75" hidden="1" customHeight="1" x14ac:dyDescent="0.35">
      <c r="A3997" s="1">
        <v>3996</v>
      </c>
      <c r="B3997" s="1">
        <v>774</v>
      </c>
      <c r="C3997" s="1">
        <v>22</v>
      </c>
      <c r="D3997" t="str">
        <f>VLOOKUP(B3997,Заказы!A:C,3,0)</f>
        <v>2023-09-10 21:15:00</v>
      </c>
      <c r="E3997" t="str">
        <f>VLOOKUP(C3997,Меню!A:E,4,0)</f>
        <v>Салат</v>
      </c>
      <c r="F3997">
        <f>VLOOKUP(C3997,Меню!A:E,5,0)</f>
        <v>250</v>
      </c>
    </row>
    <row r="3998" spans="1:6" ht="15.75" hidden="1" customHeight="1" x14ac:dyDescent="0.35">
      <c r="A3998" s="1">
        <v>3997</v>
      </c>
      <c r="B3998" s="1">
        <v>774</v>
      </c>
      <c r="C3998" s="1">
        <v>42</v>
      </c>
      <c r="D3998" t="str">
        <f>VLOOKUP(B3998,Заказы!A:C,3,0)</f>
        <v>2023-09-10 21:15:00</v>
      </c>
      <c r="E3998" t="str">
        <f>VLOOKUP(C3998,Меню!A:E,4,0)</f>
        <v>Суши</v>
      </c>
      <c r="F3998">
        <f>VLOOKUP(C3998,Меню!A:E,5,0)</f>
        <v>250</v>
      </c>
    </row>
    <row r="3999" spans="1:6" ht="15.75" hidden="1" customHeight="1" x14ac:dyDescent="0.35">
      <c r="A3999" s="1">
        <v>3998</v>
      </c>
      <c r="B3999" s="1">
        <v>774</v>
      </c>
      <c r="C3999" s="1">
        <v>49</v>
      </c>
      <c r="D3999" t="str">
        <f>VLOOKUP(B3999,Заказы!A:C,3,0)</f>
        <v>2023-09-10 21:15:00</v>
      </c>
      <c r="E3999" t="str">
        <f>VLOOKUP(C3999,Меню!A:E,4,0)</f>
        <v>Суши</v>
      </c>
      <c r="F3999">
        <f>VLOOKUP(C3999,Меню!A:E,5,0)</f>
        <v>200</v>
      </c>
    </row>
    <row r="4000" spans="1:6" ht="15.75" hidden="1" customHeight="1" x14ac:dyDescent="0.35">
      <c r="A4000" s="1">
        <v>3999</v>
      </c>
      <c r="B4000" s="1">
        <v>774</v>
      </c>
      <c r="C4000" s="1">
        <v>5</v>
      </c>
      <c r="D4000" t="str">
        <f>VLOOKUP(B4000,Заказы!A:C,3,0)</f>
        <v>2023-09-10 21:15:00</v>
      </c>
      <c r="E4000" t="str">
        <f>VLOOKUP(C4000,Меню!A:E,4,0)</f>
        <v>Завтрак</v>
      </c>
      <c r="F4000">
        <f>VLOOKUP(C4000,Меню!A:E,5,0)</f>
        <v>220</v>
      </c>
    </row>
    <row r="4001" spans="1:6" ht="15.75" hidden="1" customHeight="1" x14ac:dyDescent="0.35">
      <c r="A4001" s="1">
        <v>4000</v>
      </c>
      <c r="B4001" s="1">
        <v>774</v>
      </c>
      <c r="C4001" s="1">
        <v>4</v>
      </c>
      <c r="D4001" t="str">
        <f>VLOOKUP(B4001,Заказы!A:C,3,0)</f>
        <v>2023-09-10 21:15:00</v>
      </c>
      <c r="E4001" t="str">
        <f>VLOOKUP(C4001,Меню!A:E,4,0)</f>
        <v>Завтрак</v>
      </c>
      <c r="F4001">
        <f>VLOOKUP(C4001,Меню!A:E,5,0)</f>
        <v>180</v>
      </c>
    </row>
    <row r="4002" spans="1:6" ht="15.75" hidden="1" customHeight="1" x14ac:dyDescent="0.35">
      <c r="A4002" s="1">
        <v>4001</v>
      </c>
      <c r="B4002" s="1">
        <v>775</v>
      </c>
      <c r="C4002" s="1">
        <v>11</v>
      </c>
      <c r="D4002" t="str">
        <f>VLOOKUP(B4002,Заказы!A:C,3,0)</f>
        <v>2023-09-10 21:34:00</v>
      </c>
      <c r="E4002" t="str">
        <f>VLOOKUP(C4002,Меню!A:E,4,0)</f>
        <v>Первое</v>
      </c>
      <c r="F4002">
        <f>VLOOKUP(C4002,Меню!A:E,5,0)</f>
        <v>300</v>
      </c>
    </row>
    <row r="4003" spans="1:6" ht="15.75" hidden="1" customHeight="1" x14ac:dyDescent="0.35">
      <c r="A4003" s="1">
        <v>4002</v>
      </c>
      <c r="B4003" s="1">
        <v>775</v>
      </c>
      <c r="C4003" s="1">
        <v>54</v>
      </c>
      <c r="D4003" t="str">
        <f>VLOOKUP(B4003,Заказы!A:C,3,0)</f>
        <v>2023-09-10 21:34:00</v>
      </c>
      <c r="E4003" t="str">
        <f>VLOOKUP(C4003,Меню!A:E,4,0)</f>
        <v>Суши</v>
      </c>
      <c r="F4003">
        <f>VLOOKUP(C4003,Меню!A:E,5,0)</f>
        <v>100</v>
      </c>
    </row>
    <row r="4004" spans="1:6" ht="15.75" hidden="1" customHeight="1" x14ac:dyDescent="0.35">
      <c r="A4004" s="1">
        <v>4003</v>
      </c>
      <c r="B4004" s="1">
        <v>775</v>
      </c>
      <c r="C4004" s="1">
        <v>2</v>
      </c>
      <c r="D4004" t="str">
        <f>VLOOKUP(B4004,Заказы!A:C,3,0)</f>
        <v>2023-09-10 21:34:00</v>
      </c>
      <c r="E4004" t="str">
        <f>VLOOKUP(C4004,Меню!A:E,4,0)</f>
        <v>Завтрак</v>
      </c>
      <c r="F4004">
        <f>VLOOKUP(C4004,Меню!A:E,5,0)</f>
        <v>250</v>
      </c>
    </row>
    <row r="4005" spans="1:6" ht="15.75" hidden="1" customHeight="1" x14ac:dyDescent="0.35">
      <c r="A4005" s="1">
        <v>4004</v>
      </c>
      <c r="B4005" s="1">
        <v>775</v>
      </c>
      <c r="C4005" s="1">
        <v>12</v>
      </c>
      <c r="D4005" t="str">
        <f>VLOOKUP(B4005,Заказы!A:C,3,0)</f>
        <v>2023-09-10 21:34:00</v>
      </c>
      <c r="E4005" t="str">
        <f>VLOOKUP(C4005,Меню!A:E,4,0)</f>
        <v>Первое</v>
      </c>
      <c r="F4005">
        <f>VLOOKUP(C4005,Меню!A:E,5,0)</f>
        <v>300</v>
      </c>
    </row>
    <row r="4006" spans="1:6" ht="15.75" hidden="1" customHeight="1" x14ac:dyDescent="0.35">
      <c r="A4006" s="1">
        <v>4005</v>
      </c>
      <c r="B4006" s="1">
        <v>775</v>
      </c>
      <c r="C4006" s="1">
        <v>19</v>
      </c>
      <c r="D4006" t="str">
        <f>VLOOKUP(B4006,Заказы!A:C,3,0)</f>
        <v>2023-09-10 21:34:00</v>
      </c>
      <c r="E4006" t="str">
        <f>VLOOKUP(C4006,Меню!A:E,4,0)</f>
        <v>Первое</v>
      </c>
      <c r="F4006">
        <f>VLOOKUP(C4006,Меню!A:E,5,0)</f>
        <v>300</v>
      </c>
    </row>
    <row r="4007" spans="1:6" ht="15.75" hidden="1" customHeight="1" x14ac:dyDescent="0.35">
      <c r="A4007" s="1">
        <v>4006</v>
      </c>
      <c r="B4007" s="1">
        <v>776</v>
      </c>
      <c r="C4007" s="1">
        <v>14</v>
      </c>
      <c r="D4007" t="str">
        <f>VLOOKUP(B4007,Заказы!A:C,3,0)</f>
        <v>2023-09-10 21:54:00</v>
      </c>
      <c r="E4007" t="str">
        <f>VLOOKUP(C4007,Меню!A:E,4,0)</f>
        <v>Первое</v>
      </c>
      <c r="F4007">
        <f>VLOOKUP(C4007,Меню!A:E,5,0)</f>
        <v>350</v>
      </c>
    </row>
    <row r="4008" spans="1:6" ht="15.75" hidden="1" customHeight="1" x14ac:dyDescent="0.35">
      <c r="A4008" s="1">
        <v>4007</v>
      </c>
      <c r="B4008" s="1">
        <v>776</v>
      </c>
      <c r="C4008" s="1">
        <v>48</v>
      </c>
      <c r="D4008" t="str">
        <f>VLOOKUP(B4008,Заказы!A:C,3,0)</f>
        <v>2023-09-10 21:54:00</v>
      </c>
      <c r="E4008" t="str">
        <f>VLOOKUP(C4008,Меню!A:E,4,0)</f>
        <v>Суши</v>
      </c>
      <c r="F4008">
        <f>VLOOKUP(C4008,Меню!A:E,5,0)</f>
        <v>200</v>
      </c>
    </row>
    <row r="4009" spans="1:6" ht="15.75" hidden="1" customHeight="1" x14ac:dyDescent="0.35">
      <c r="A4009" s="1">
        <v>4008</v>
      </c>
      <c r="B4009" s="1">
        <v>776</v>
      </c>
      <c r="C4009" s="1">
        <v>50</v>
      </c>
      <c r="D4009" t="str">
        <f>VLOOKUP(B4009,Заказы!A:C,3,0)</f>
        <v>2023-09-10 21:54:00</v>
      </c>
      <c r="E4009" t="str">
        <f>VLOOKUP(C4009,Меню!A:E,4,0)</f>
        <v>Суши</v>
      </c>
      <c r="F4009">
        <f>VLOOKUP(C4009,Меню!A:E,5,0)</f>
        <v>200</v>
      </c>
    </row>
    <row r="4010" spans="1:6" ht="15.75" hidden="1" customHeight="1" x14ac:dyDescent="0.35">
      <c r="A4010" s="1">
        <v>4009</v>
      </c>
      <c r="B4010" s="1">
        <v>776</v>
      </c>
      <c r="C4010" s="1">
        <v>31</v>
      </c>
      <c r="D4010" t="str">
        <f>VLOOKUP(B4010,Заказы!A:C,3,0)</f>
        <v>2023-09-10 21:54:00</v>
      </c>
      <c r="E4010" t="str">
        <f>VLOOKUP(C4010,Меню!A:E,4,0)</f>
        <v>Десерт</v>
      </c>
      <c r="F4010">
        <f>VLOOKUP(C4010,Меню!A:E,5,0)</f>
        <v>150</v>
      </c>
    </row>
    <row r="4011" spans="1:6" ht="15.75" hidden="1" customHeight="1" x14ac:dyDescent="0.35">
      <c r="A4011" s="1">
        <v>4010</v>
      </c>
      <c r="B4011" s="1">
        <v>776</v>
      </c>
      <c r="C4011" s="1">
        <v>15</v>
      </c>
      <c r="D4011" t="str">
        <f>VLOOKUP(B4011,Заказы!A:C,3,0)</f>
        <v>2023-09-10 21:54:00</v>
      </c>
      <c r="E4011" t="str">
        <f>VLOOKUP(C4011,Меню!A:E,4,0)</f>
        <v>Первое</v>
      </c>
      <c r="F4011">
        <f>VLOOKUP(C4011,Меню!A:E,5,0)</f>
        <v>250</v>
      </c>
    </row>
    <row r="4012" spans="1:6" ht="15.75" hidden="1" customHeight="1" x14ac:dyDescent="0.35">
      <c r="A4012" s="1">
        <v>4011</v>
      </c>
      <c r="B4012" s="1">
        <v>776</v>
      </c>
      <c r="C4012" s="1">
        <v>18</v>
      </c>
      <c r="D4012" t="str">
        <f>VLOOKUP(B4012,Заказы!A:C,3,0)</f>
        <v>2023-09-10 21:54:00</v>
      </c>
      <c r="E4012" t="str">
        <f>VLOOKUP(C4012,Меню!A:E,4,0)</f>
        <v>Первое</v>
      </c>
      <c r="F4012">
        <f>VLOOKUP(C4012,Меню!A:E,5,0)</f>
        <v>300</v>
      </c>
    </row>
    <row r="4013" spans="1:6" ht="15.75" hidden="1" customHeight="1" x14ac:dyDescent="0.35">
      <c r="A4013" s="1">
        <v>4012</v>
      </c>
      <c r="B4013" s="1">
        <v>776</v>
      </c>
      <c r="C4013" s="1">
        <v>59</v>
      </c>
      <c r="D4013" t="str">
        <f>VLOOKUP(B4013,Заказы!A:C,3,0)</f>
        <v>2023-09-10 21:54:00</v>
      </c>
      <c r="E4013" t="str">
        <f>VLOOKUP(C4013,Меню!A:E,4,0)</f>
        <v>Суши</v>
      </c>
      <c r="F4013">
        <f>VLOOKUP(C4013,Меню!A:E,5,0)</f>
        <v>300</v>
      </c>
    </row>
    <row r="4014" spans="1:6" ht="15.75" hidden="1" customHeight="1" x14ac:dyDescent="0.35">
      <c r="A4014" s="1">
        <v>4013</v>
      </c>
      <c r="B4014" s="1">
        <v>777</v>
      </c>
      <c r="C4014" s="1">
        <v>51</v>
      </c>
      <c r="D4014" t="str">
        <f>VLOOKUP(B4014,Заказы!A:C,3,0)</f>
        <v>2023-09-10 21:54:00</v>
      </c>
      <c r="E4014" t="str">
        <f>VLOOKUP(C4014,Меню!A:E,4,0)</f>
        <v>Суши</v>
      </c>
      <c r="F4014">
        <f>VLOOKUP(C4014,Меню!A:E,5,0)</f>
        <v>100</v>
      </c>
    </row>
    <row r="4015" spans="1:6" ht="15.75" hidden="1" customHeight="1" x14ac:dyDescent="0.35">
      <c r="A4015" s="1">
        <v>4014</v>
      </c>
      <c r="B4015" s="1">
        <v>777</v>
      </c>
      <c r="C4015" s="1">
        <v>57</v>
      </c>
      <c r="D4015" t="str">
        <f>VLOOKUP(B4015,Заказы!A:C,3,0)</f>
        <v>2023-09-10 21:54:00</v>
      </c>
      <c r="E4015" t="str">
        <f>VLOOKUP(C4015,Меню!A:E,4,0)</f>
        <v>Суши</v>
      </c>
      <c r="F4015">
        <f>VLOOKUP(C4015,Меню!A:E,5,0)</f>
        <v>200</v>
      </c>
    </row>
    <row r="4016" spans="1:6" ht="15.75" hidden="1" customHeight="1" x14ac:dyDescent="0.35">
      <c r="A4016" s="1">
        <v>4015</v>
      </c>
      <c r="B4016" s="1">
        <v>777</v>
      </c>
      <c r="C4016" s="1">
        <v>52</v>
      </c>
      <c r="D4016" t="str">
        <f>VLOOKUP(B4016,Заказы!A:C,3,0)</f>
        <v>2023-09-10 21:54:00</v>
      </c>
      <c r="E4016" t="str">
        <f>VLOOKUP(C4016,Меню!A:E,4,0)</f>
        <v>Суши</v>
      </c>
      <c r="F4016">
        <f>VLOOKUP(C4016,Меню!A:E,5,0)</f>
        <v>100</v>
      </c>
    </row>
    <row r="4017" spans="1:6" ht="15.75" hidden="1" customHeight="1" x14ac:dyDescent="0.35">
      <c r="A4017" s="1">
        <v>4016</v>
      </c>
      <c r="B4017" s="1">
        <v>777</v>
      </c>
      <c r="C4017" s="1">
        <v>36</v>
      </c>
      <c r="D4017" t="str">
        <f>VLOOKUP(B4017,Заказы!A:C,3,0)</f>
        <v>2023-09-10 21:54:00</v>
      </c>
      <c r="E4017" t="str">
        <f>VLOOKUP(C4017,Меню!A:E,4,0)</f>
        <v>Десерт</v>
      </c>
      <c r="F4017">
        <f>VLOOKUP(C4017,Меню!A:E,5,0)</f>
        <v>150</v>
      </c>
    </row>
    <row r="4018" spans="1:6" ht="15.75" hidden="1" customHeight="1" x14ac:dyDescent="0.35">
      <c r="A4018" s="1">
        <v>4017</v>
      </c>
      <c r="B4018" s="1">
        <v>777</v>
      </c>
      <c r="C4018" s="1">
        <v>5</v>
      </c>
      <c r="D4018" t="str">
        <f>VLOOKUP(B4018,Заказы!A:C,3,0)</f>
        <v>2023-09-10 21:54:00</v>
      </c>
      <c r="E4018" t="str">
        <f>VLOOKUP(C4018,Меню!A:E,4,0)</f>
        <v>Завтрак</v>
      </c>
      <c r="F4018">
        <f>VLOOKUP(C4018,Меню!A:E,5,0)</f>
        <v>220</v>
      </c>
    </row>
    <row r="4019" spans="1:6" ht="15.75" hidden="1" customHeight="1" x14ac:dyDescent="0.35">
      <c r="A4019" s="1">
        <v>4018</v>
      </c>
      <c r="B4019" s="1">
        <v>777</v>
      </c>
      <c r="C4019" s="1">
        <v>16</v>
      </c>
      <c r="D4019" t="str">
        <f>VLOOKUP(B4019,Заказы!A:C,3,0)</f>
        <v>2023-09-10 21:54:00</v>
      </c>
      <c r="E4019" t="str">
        <f>VLOOKUP(C4019,Меню!A:E,4,0)</f>
        <v>Первое</v>
      </c>
      <c r="F4019">
        <f>VLOOKUP(C4019,Меню!A:E,5,0)</f>
        <v>250</v>
      </c>
    </row>
    <row r="4020" spans="1:6" ht="15.75" hidden="1" customHeight="1" x14ac:dyDescent="0.35">
      <c r="A4020" s="1">
        <v>4019</v>
      </c>
      <c r="B4020" s="1">
        <v>777</v>
      </c>
      <c r="C4020" s="1">
        <v>28</v>
      </c>
      <c r="D4020" t="str">
        <f>VLOOKUP(B4020,Заказы!A:C,3,0)</f>
        <v>2023-09-10 21:54:00</v>
      </c>
      <c r="E4020" t="str">
        <f>VLOOKUP(C4020,Меню!A:E,4,0)</f>
        <v>Салат</v>
      </c>
      <c r="F4020">
        <f>VLOOKUP(C4020,Меню!A:E,5,0)</f>
        <v>250</v>
      </c>
    </row>
    <row r="4021" spans="1:6" ht="15.75" hidden="1" customHeight="1" x14ac:dyDescent="0.35">
      <c r="A4021" s="1">
        <v>4020</v>
      </c>
      <c r="B4021" s="1">
        <v>778</v>
      </c>
      <c r="C4021" s="1">
        <v>7</v>
      </c>
      <c r="D4021" t="str">
        <f>VLOOKUP(B4021,Заказы!A:C,3,0)</f>
        <v>2023-09-10 22:59:00</v>
      </c>
      <c r="E4021" t="str">
        <f>VLOOKUP(C4021,Меню!A:E,4,0)</f>
        <v>Завтрак</v>
      </c>
      <c r="F4021">
        <f>VLOOKUP(C4021,Меню!A:E,5,0)</f>
        <v>200</v>
      </c>
    </row>
    <row r="4022" spans="1:6" ht="15.75" hidden="1" customHeight="1" x14ac:dyDescent="0.35">
      <c r="A4022" s="1">
        <v>4021</v>
      </c>
      <c r="B4022" s="1">
        <v>778</v>
      </c>
      <c r="C4022" s="1">
        <v>50</v>
      </c>
      <c r="D4022" t="str">
        <f>VLOOKUP(B4022,Заказы!A:C,3,0)</f>
        <v>2023-09-10 22:59:00</v>
      </c>
      <c r="E4022" t="str">
        <f>VLOOKUP(C4022,Меню!A:E,4,0)</f>
        <v>Суши</v>
      </c>
      <c r="F4022">
        <f>VLOOKUP(C4022,Меню!A:E,5,0)</f>
        <v>200</v>
      </c>
    </row>
    <row r="4023" spans="1:6" ht="15.75" hidden="1" customHeight="1" x14ac:dyDescent="0.35">
      <c r="A4023" s="1">
        <v>4022</v>
      </c>
      <c r="B4023" s="1">
        <v>778</v>
      </c>
      <c r="C4023" s="1">
        <v>10</v>
      </c>
      <c r="D4023" t="str">
        <f>VLOOKUP(B4023,Заказы!A:C,3,0)</f>
        <v>2023-09-10 22:59:00</v>
      </c>
      <c r="E4023" t="str">
        <f>VLOOKUP(C4023,Меню!A:E,4,0)</f>
        <v>Завтрак</v>
      </c>
      <c r="F4023">
        <f>VLOOKUP(C4023,Меню!A:E,5,0)</f>
        <v>200</v>
      </c>
    </row>
    <row r="4024" spans="1:6" ht="15.75" hidden="1" customHeight="1" x14ac:dyDescent="0.35">
      <c r="A4024" s="1">
        <v>4023</v>
      </c>
      <c r="B4024" s="1">
        <v>778</v>
      </c>
      <c r="C4024" s="1">
        <v>24</v>
      </c>
      <c r="D4024" t="str">
        <f>VLOOKUP(B4024,Заказы!A:C,3,0)</f>
        <v>2023-09-10 22:59:00</v>
      </c>
      <c r="E4024" t="str">
        <f>VLOOKUP(C4024,Меню!A:E,4,0)</f>
        <v>Салат</v>
      </c>
      <c r="F4024">
        <f>VLOOKUP(C4024,Меню!A:E,5,0)</f>
        <v>250</v>
      </c>
    </row>
    <row r="4025" spans="1:6" ht="15.75" hidden="1" customHeight="1" x14ac:dyDescent="0.35">
      <c r="A4025" s="1">
        <v>4024</v>
      </c>
      <c r="B4025" s="1">
        <v>778</v>
      </c>
      <c r="C4025" s="1">
        <v>37</v>
      </c>
      <c r="D4025" t="str">
        <f>VLOOKUP(B4025,Заказы!A:C,3,0)</f>
        <v>2023-09-10 22:59:00</v>
      </c>
      <c r="E4025" t="str">
        <f>VLOOKUP(C4025,Меню!A:E,4,0)</f>
        <v>Десерт</v>
      </c>
      <c r="F4025">
        <f>VLOOKUP(C4025,Меню!A:E,5,0)</f>
        <v>100</v>
      </c>
    </row>
    <row r="4026" spans="1:6" ht="15.75" hidden="1" customHeight="1" x14ac:dyDescent="0.35">
      <c r="A4026" s="1">
        <v>4025</v>
      </c>
      <c r="B4026" s="1">
        <v>778</v>
      </c>
      <c r="C4026" s="1">
        <v>52</v>
      </c>
      <c r="D4026" t="str">
        <f>VLOOKUP(B4026,Заказы!A:C,3,0)</f>
        <v>2023-09-10 22:59:00</v>
      </c>
      <c r="E4026" t="str">
        <f>VLOOKUP(C4026,Меню!A:E,4,0)</f>
        <v>Суши</v>
      </c>
      <c r="F4026">
        <f>VLOOKUP(C4026,Меню!A:E,5,0)</f>
        <v>100</v>
      </c>
    </row>
    <row r="4027" spans="1:6" ht="15.75" hidden="1" customHeight="1" x14ac:dyDescent="0.35">
      <c r="A4027" s="1">
        <v>4026</v>
      </c>
      <c r="B4027" s="1">
        <v>778</v>
      </c>
      <c r="C4027" s="1">
        <v>56</v>
      </c>
      <c r="D4027" t="str">
        <f>VLOOKUP(B4027,Заказы!A:C,3,0)</f>
        <v>2023-09-10 22:59:00</v>
      </c>
      <c r="E4027" t="str">
        <f>VLOOKUP(C4027,Меню!A:E,4,0)</f>
        <v>Суши</v>
      </c>
      <c r="F4027">
        <f>VLOOKUP(C4027,Меню!A:E,5,0)</f>
        <v>200</v>
      </c>
    </row>
    <row r="4028" spans="1:6" ht="15.75" hidden="1" customHeight="1" x14ac:dyDescent="0.35">
      <c r="A4028" s="1">
        <v>4027</v>
      </c>
      <c r="B4028" s="1">
        <v>778</v>
      </c>
      <c r="C4028" s="1">
        <v>19</v>
      </c>
      <c r="D4028" t="str">
        <f>VLOOKUP(B4028,Заказы!A:C,3,0)</f>
        <v>2023-09-10 22:59:00</v>
      </c>
      <c r="E4028" t="str">
        <f>VLOOKUP(C4028,Меню!A:E,4,0)</f>
        <v>Первое</v>
      </c>
      <c r="F4028">
        <f>VLOOKUP(C4028,Меню!A:E,5,0)</f>
        <v>300</v>
      </c>
    </row>
    <row r="4029" spans="1:6" ht="15.75" hidden="1" customHeight="1" x14ac:dyDescent="0.35">
      <c r="A4029" s="1">
        <v>4028</v>
      </c>
      <c r="B4029" s="1">
        <v>778</v>
      </c>
      <c r="C4029" s="1">
        <v>52</v>
      </c>
      <c r="D4029" t="str">
        <f>VLOOKUP(B4029,Заказы!A:C,3,0)</f>
        <v>2023-09-10 22:59:00</v>
      </c>
      <c r="E4029" t="str">
        <f>VLOOKUP(C4029,Меню!A:E,4,0)</f>
        <v>Суши</v>
      </c>
      <c r="F4029">
        <f>VLOOKUP(C4029,Меню!A:E,5,0)</f>
        <v>100</v>
      </c>
    </row>
    <row r="4030" spans="1:6" ht="15.75" hidden="1" customHeight="1" x14ac:dyDescent="0.35">
      <c r="A4030" s="1">
        <v>4029</v>
      </c>
      <c r="B4030" s="1">
        <v>779</v>
      </c>
      <c r="C4030" s="1">
        <v>35</v>
      </c>
      <c r="D4030" t="str">
        <f>VLOOKUP(B4030,Заказы!A:C,3,0)</f>
        <v>2023-09-11 16:46:00</v>
      </c>
      <c r="E4030" t="str">
        <f>VLOOKUP(C4030,Меню!A:E,4,0)</f>
        <v>Десерт</v>
      </c>
      <c r="F4030">
        <f>VLOOKUP(C4030,Меню!A:E,5,0)</f>
        <v>150</v>
      </c>
    </row>
    <row r="4031" spans="1:6" ht="15.75" hidden="1" customHeight="1" x14ac:dyDescent="0.35">
      <c r="A4031" s="1">
        <v>4030</v>
      </c>
      <c r="B4031" s="1">
        <v>779</v>
      </c>
      <c r="C4031" s="1">
        <v>22</v>
      </c>
      <c r="D4031" t="str">
        <f>VLOOKUP(B4031,Заказы!A:C,3,0)</f>
        <v>2023-09-11 16:46:00</v>
      </c>
      <c r="E4031" t="str">
        <f>VLOOKUP(C4031,Меню!A:E,4,0)</f>
        <v>Салат</v>
      </c>
      <c r="F4031">
        <f>VLOOKUP(C4031,Меню!A:E,5,0)</f>
        <v>250</v>
      </c>
    </row>
    <row r="4032" spans="1:6" ht="15.75" hidden="1" customHeight="1" x14ac:dyDescent="0.35">
      <c r="A4032" s="1">
        <v>4031</v>
      </c>
      <c r="B4032" s="1">
        <v>779</v>
      </c>
      <c r="C4032" s="1">
        <v>24</v>
      </c>
      <c r="D4032" t="str">
        <f>VLOOKUP(B4032,Заказы!A:C,3,0)</f>
        <v>2023-09-11 16:46:00</v>
      </c>
      <c r="E4032" t="str">
        <f>VLOOKUP(C4032,Меню!A:E,4,0)</f>
        <v>Салат</v>
      </c>
      <c r="F4032">
        <f>VLOOKUP(C4032,Меню!A:E,5,0)</f>
        <v>250</v>
      </c>
    </row>
    <row r="4033" spans="1:6" ht="15.75" hidden="1" customHeight="1" x14ac:dyDescent="0.35">
      <c r="A4033" s="1">
        <v>4032</v>
      </c>
      <c r="B4033" s="1">
        <v>779</v>
      </c>
      <c r="C4033" s="1">
        <v>23</v>
      </c>
      <c r="D4033" t="str">
        <f>VLOOKUP(B4033,Заказы!A:C,3,0)</f>
        <v>2023-09-11 16:46:00</v>
      </c>
      <c r="E4033" t="str">
        <f>VLOOKUP(C4033,Меню!A:E,4,0)</f>
        <v>Салат</v>
      </c>
      <c r="F4033">
        <f>VLOOKUP(C4033,Меню!A:E,5,0)</f>
        <v>250</v>
      </c>
    </row>
    <row r="4034" spans="1:6" ht="15.75" hidden="1" customHeight="1" x14ac:dyDescent="0.35">
      <c r="A4034" s="1">
        <v>4033</v>
      </c>
      <c r="B4034" s="1">
        <v>779</v>
      </c>
      <c r="C4034" s="1">
        <v>46</v>
      </c>
      <c r="D4034" t="str">
        <f>VLOOKUP(B4034,Заказы!A:C,3,0)</f>
        <v>2023-09-11 16:46:00</v>
      </c>
      <c r="E4034" t="str">
        <f>VLOOKUP(C4034,Меню!A:E,4,0)</f>
        <v>Суши</v>
      </c>
      <c r="F4034">
        <f>VLOOKUP(C4034,Меню!A:E,5,0)</f>
        <v>200</v>
      </c>
    </row>
    <row r="4035" spans="1:6" ht="15.75" hidden="1" customHeight="1" x14ac:dyDescent="0.35">
      <c r="A4035" s="1">
        <v>4034</v>
      </c>
      <c r="B4035" s="1">
        <v>780</v>
      </c>
      <c r="C4035" s="1">
        <v>9</v>
      </c>
      <c r="D4035" t="str">
        <f>VLOOKUP(B4035,Заказы!A:C,3,0)</f>
        <v>2023-09-11 17:26:00</v>
      </c>
      <c r="E4035" t="str">
        <f>VLOOKUP(C4035,Меню!A:E,4,0)</f>
        <v>Завтрак</v>
      </c>
      <c r="F4035">
        <f>VLOOKUP(C4035,Меню!A:E,5,0)</f>
        <v>220</v>
      </c>
    </row>
    <row r="4036" spans="1:6" ht="15.75" hidden="1" customHeight="1" x14ac:dyDescent="0.35">
      <c r="A4036" s="1">
        <v>4035</v>
      </c>
      <c r="B4036" s="1">
        <v>780</v>
      </c>
      <c r="C4036" s="1">
        <v>54</v>
      </c>
      <c r="D4036" t="str">
        <f>VLOOKUP(B4036,Заказы!A:C,3,0)</f>
        <v>2023-09-11 17:26:00</v>
      </c>
      <c r="E4036" t="str">
        <f>VLOOKUP(C4036,Меню!A:E,4,0)</f>
        <v>Суши</v>
      </c>
      <c r="F4036">
        <f>VLOOKUP(C4036,Меню!A:E,5,0)</f>
        <v>100</v>
      </c>
    </row>
    <row r="4037" spans="1:6" ht="15.75" hidden="1" customHeight="1" x14ac:dyDescent="0.35">
      <c r="A4037" s="1">
        <v>4036</v>
      </c>
      <c r="B4037" s="1">
        <v>780</v>
      </c>
      <c r="C4037" s="1">
        <v>13</v>
      </c>
      <c r="D4037" t="str">
        <f>VLOOKUP(B4037,Заказы!A:C,3,0)</f>
        <v>2023-09-11 17:26:00</v>
      </c>
      <c r="E4037" t="str">
        <f>VLOOKUP(C4037,Меню!A:E,4,0)</f>
        <v>Первое</v>
      </c>
      <c r="F4037">
        <f>VLOOKUP(C4037,Меню!A:E,5,0)</f>
        <v>280</v>
      </c>
    </row>
    <row r="4038" spans="1:6" ht="15.75" hidden="1" customHeight="1" x14ac:dyDescent="0.35">
      <c r="A4038" s="1">
        <v>4037</v>
      </c>
      <c r="B4038" s="1">
        <v>780</v>
      </c>
      <c r="C4038" s="1">
        <v>11</v>
      </c>
      <c r="D4038" t="str">
        <f>VLOOKUP(B4038,Заказы!A:C,3,0)</f>
        <v>2023-09-11 17:26:00</v>
      </c>
      <c r="E4038" t="str">
        <f>VLOOKUP(C4038,Меню!A:E,4,0)</f>
        <v>Первое</v>
      </c>
      <c r="F4038">
        <f>VLOOKUP(C4038,Меню!A:E,5,0)</f>
        <v>300</v>
      </c>
    </row>
    <row r="4039" spans="1:6" ht="15.75" hidden="1" customHeight="1" x14ac:dyDescent="0.35">
      <c r="A4039" s="1">
        <v>4038</v>
      </c>
      <c r="B4039" s="1">
        <v>780</v>
      </c>
      <c r="C4039" s="1">
        <v>5</v>
      </c>
      <c r="D4039" t="str">
        <f>VLOOKUP(B4039,Заказы!A:C,3,0)</f>
        <v>2023-09-11 17:26:00</v>
      </c>
      <c r="E4039" t="str">
        <f>VLOOKUP(C4039,Меню!A:E,4,0)</f>
        <v>Завтрак</v>
      </c>
      <c r="F4039">
        <f>VLOOKUP(C4039,Меню!A:E,5,0)</f>
        <v>220</v>
      </c>
    </row>
    <row r="4040" spans="1:6" ht="15.75" hidden="1" customHeight="1" x14ac:dyDescent="0.35">
      <c r="A4040" s="1">
        <v>4039</v>
      </c>
      <c r="B4040" s="1">
        <v>780</v>
      </c>
      <c r="C4040" s="1">
        <v>50</v>
      </c>
      <c r="D4040" t="str">
        <f>VLOOKUP(B4040,Заказы!A:C,3,0)</f>
        <v>2023-09-11 17:26:00</v>
      </c>
      <c r="E4040" t="str">
        <f>VLOOKUP(C4040,Меню!A:E,4,0)</f>
        <v>Суши</v>
      </c>
      <c r="F4040">
        <f>VLOOKUP(C4040,Меню!A:E,5,0)</f>
        <v>200</v>
      </c>
    </row>
    <row r="4041" spans="1:6" ht="15.75" hidden="1" customHeight="1" x14ac:dyDescent="0.35">
      <c r="A4041" s="1">
        <v>4040</v>
      </c>
      <c r="B4041" s="1">
        <v>780</v>
      </c>
      <c r="C4041" s="1">
        <v>39</v>
      </c>
      <c r="D4041" t="str">
        <f>VLOOKUP(B4041,Заказы!A:C,3,0)</f>
        <v>2023-09-11 17:26:00</v>
      </c>
      <c r="E4041" t="str">
        <f>VLOOKUP(C4041,Меню!A:E,4,0)</f>
        <v>Десерт</v>
      </c>
      <c r="F4041">
        <f>VLOOKUP(C4041,Меню!A:E,5,0)</f>
        <v>150</v>
      </c>
    </row>
    <row r="4042" spans="1:6" ht="15.75" hidden="1" customHeight="1" x14ac:dyDescent="0.35">
      <c r="A4042" s="1">
        <v>4041</v>
      </c>
      <c r="B4042" s="1">
        <v>781</v>
      </c>
      <c r="C4042" s="1">
        <v>8</v>
      </c>
      <c r="D4042" t="str">
        <f>VLOOKUP(B4042,Заказы!A:C,3,0)</f>
        <v>2023-09-11 18:23:00</v>
      </c>
      <c r="E4042" t="str">
        <f>VLOOKUP(C4042,Меню!A:E,4,0)</f>
        <v>Завтрак</v>
      </c>
      <c r="F4042">
        <f>VLOOKUP(C4042,Меню!A:E,5,0)</f>
        <v>180</v>
      </c>
    </row>
    <row r="4043" spans="1:6" ht="15.75" hidden="1" customHeight="1" x14ac:dyDescent="0.35">
      <c r="A4043" s="1">
        <v>4042</v>
      </c>
      <c r="B4043" s="1">
        <v>782</v>
      </c>
      <c r="C4043" s="1">
        <v>26</v>
      </c>
      <c r="D4043" t="str">
        <f>VLOOKUP(B4043,Заказы!A:C,3,0)</f>
        <v>2023-09-11 19:17:00</v>
      </c>
      <c r="E4043" t="str">
        <f>VLOOKUP(C4043,Меню!A:E,4,0)</f>
        <v>Салат</v>
      </c>
      <c r="F4043">
        <f>VLOOKUP(C4043,Меню!A:E,5,0)</f>
        <v>250</v>
      </c>
    </row>
    <row r="4044" spans="1:6" ht="15.75" hidden="1" customHeight="1" x14ac:dyDescent="0.35">
      <c r="A4044" s="1">
        <v>4043</v>
      </c>
      <c r="B4044" s="1">
        <v>782</v>
      </c>
      <c r="C4044" s="1">
        <v>19</v>
      </c>
      <c r="D4044" t="str">
        <f>VLOOKUP(B4044,Заказы!A:C,3,0)</f>
        <v>2023-09-11 19:17:00</v>
      </c>
      <c r="E4044" t="str">
        <f>VLOOKUP(C4044,Меню!A:E,4,0)</f>
        <v>Первое</v>
      </c>
      <c r="F4044">
        <f>VLOOKUP(C4044,Меню!A:E,5,0)</f>
        <v>300</v>
      </c>
    </row>
    <row r="4045" spans="1:6" ht="15.75" hidden="1" customHeight="1" x14ac:dyDescent="0.35">
      <c r="A4045" s="1">
        <v>4044</v>
      </c>
      <c r="B4045" s="1">
        <v>782</v>
      </c>
      <c r="C4045" s="1">
        <v>9</v>
      </c>
      <c r="D4045" t="str">
        <f>VLOOKUP(B4045,Заказы!A:C,3,0)</f>
        <v>2023-09-11 19:17:00</v>
      </c>
      <c r="E4045" t="str">
        <f>VLOOKUP(C4045,Меню!A:E,4,0)</f>
        <v>Завтрак</v>
      </c>
      <c r="F4045">
        <f>VLOOKUP(C4045,Меню!A:E,5,0)</f>
        <v>220</v>
      </c>
    </row>
    <row r="4046" spans="1:6" ht="15.75" hidden="1" customHeight="1" x14ac:dyDescent="0.35">
      <c r="A4046" s="1">
        <v>4045</v>
      </c>
      <c r="B4046" s="1">
        <v>782</v>
      </c>
      <c r="C4046" s="1">
        <v>40</v>
      </c>
      <c r="D4046" t="str">
        <f>VLOOKUP(B4046,Заказы!A:C,3,0)</f>
        <v>2023-09-11 19:17:00</v>
      </c>
      <c r="E4046" t="str">
        <f>VLOOKUP(C4046,Меню!A:E,4,0)</f>
        <v>Десерт</v>
      </c>
      <c r="F4046">
        <f>VLOOKUP(C4046,Меню!A:E,5,0)</f>
        <v>150</v>
      </c>
    </row>
    <row r="4047" spans="1:6" ht="15.75" hidden="1" customHeight="1" x14ac:dyDescent="0.35">
      <c r="A4047" s="1">
        <v>4046</v>
      </c>
      <c r="B4047" s="1">
        <v>782</v>
      </c>
      <c r="C4047" s="1">
        <v>23</v>
      </c>
      <c r="D4047" t="str">
        <f>VLOOKUP(B4047,Заказы!A:C,3,0)</f>
        <v>2023-09-11 19:17:00</v>
      </c>
      <c r="E4047" t="str">
        <f>VLOOKUP(C4047,Меню!A:E,4,0)</f>
        <v>Салат</v>
      </c>
      <c r="F4047">
        <f>VLOOKUP(C4047,Меню!A:E,5,0)</f>
        <v>250</v>
      </c>
    </row>
    <row r="4048" spans="1:6" ht="15.75" hidden="1" customHeight="1" x14ac:dyDescent="0.35">
      <c r="A4048" s="1">
        <v>4047</v>
      </c>
      <c r="B4048" s="1">
        <v>783</v>
      </c>
      <c r="C4048" s="1">
        <v>56</v>
      </c>
      <c r="D4048" t="str">
        <f>VLOOKUP(B4048,Заказы!A:C,3,0)</f>
        <v>2023-09-12 17:00:00</v>
      </c>
      <c r="E4048" t="str">
        <f>VLOOKUP(C4048,Меню!A:E,4,0)</f>
        <v>Суши</v>
      </c>
      <c r="F4048">
        <f>VLOOKUP(C4048,Меню!A:E,5,0)</f>
        <v>200</v>
      </c>
    </row>
    <row r="4049" spans="1:6" ht="15.75" hidden="1" customHeight="1" x14ac:dyDescent="0.35">
      <c r="A4049" s="1">
        <v>4048</v>
      </c>
      <c r="B4049" s="1">
        <v>784</v>
      </c>
      <c r="C4049" s="1">
        <v>51</v>
      </c>
      <c r="D4049" t="str">
        <f>VLOOKUP(B4049,Заказы!A:C,3,0)</f>
        <v>2023-09-12 17:06:00</v>
      </c>
      <c r="E4049" t="str">
        <f>VLOOKUP(C4049,Меню!A:E,4,0)</f>
        <v>Суши</v>
      </c>
      <c r="F4049">
        <f>VLOOKUP(C4049,Меню!A:E,5,0)</f>
        <v>100</v>
      </c>
    </row>
    <row r="4050" spans="1:6" ht="15.75" hidden="1" customHeight="1" x14ac:dyDescent="0.35">
      <c r="A4050" s="1">
        <v>4049</v>
      </c>
      <c r="B4050" s="1">
        <v>784</v>
      </c>
      <c r="C4050" s="1">
        <v>15</v>
      </c>
      <c r="D4050" t="str">
        <f>VLOOKUP(B4050,Заказы!A:C,3,0)</f>
        <v>2023-09-12 17:06:00</v>
      </c>
      <c r="E4050" t="str">
        <f>VLOOKUP(C4050,Меню!A:E,4,0)</f>
        <v>Первое</v>
      </c>
      <c r="F4050">
        <f>VLOOKUP(C4050,Меню!A:E,5,0)</f>
        <v>250</v>
      </c>
    </row>
    <row r="4051" spans="1:6" ht="15.75" hidden="1" customHeight="1" x14ac:dyDescent="0.35">
      <c r="A4051" s="1">
        <v>4050</v>
      </c>
      <c r="B4051" s="1">
        <v>784</v>
      </c>
      <c r="C4051" s="1">
        <v>47</v>
      </c>
      <c r="D4051" t="str">
        <f>VLOOKUP(B4051,Заказы!A:C,3,0)</f>
        <v>2023-09-12 17:06:00</v>
      </c>
      <c r="E4051" t="str">
        <f>VLOOKUP(C4051,Меню!A:E,4,0)</f>
        <v>Суши</v>
      </c>
      <c r="F4051">
        <f>VLOOKUP(C4051,Меню!A:E,5,0)</f>
        <v>200</v>
      </c>
    </row>
    <row r="4052" spans="1:6" ht="15.75" hidden="1" customHeight="1" x14ac:dyDescent="0.35">
      <c r="A4052" s="1">
        <v>4051</v>
      </c>
      <c r="B4052" s="1">
        <v>784</v>
      </c>
      <c r="C4052" s="1">
        <v>12</v>
      </c>
      <c r="D4052" t="str">
        <f>VLOOKUP(B4052,Заказы!A:C,3,0)</f>
        <v>2023-09-12 17:06:00</v>
      </c>
      <c r="E4052" t="str">
        <f>VLOOKUP(C4052,Меню!A:E,4,0)</f>
        <v>Первое</v>
      </c>
      <c r="F4052">
        <f>VLOOKUP(C4052,Меню!A:E,5,0)</f>
        <v>300</v>
      </c>
    </row>
    <row r="4053" spans="1:6" ht="15.75" hidden="1" customHeight="1" x14ac:dyDescent="0.35">
      <c r="A4053" s="1">
        <v>4052</v>
      </c>
      <c r="B4053" s="1">
        <v>785</v>
      </c>
      <c r="C4053" s="1">
        <v>28</v>
      </c>
      <c r="D4053" t="str">
        <f>VLOOKUP(B4053,Заказы!A:C,3,0)</f>
        <v>2023-09-12 17:10:00</v>
      </c>
      <c r="E4053" t="str">
        <f>VLOOKUP(C4053,Меню!A:E,4,0)</f>
        <v>Салат</v>
      </c>
      <c r="F4053">
        <f>VLOOKUP(C4053,Меню!A:E,5,0)</f>
        <v>250</v>
      </c>
    </row>
    <row r="4054" spans="1:6" ht="15.75" hidden="1" customHeight="1" x14ac:dyDescent="0.35">
      <c r="A4054" s="1">
        <v>4053</v>
      </c>
      <c r="B4054" s="1">
        <v>785</v>
      </c>
      <c r="C4054" s="1">
        <v>53</v>
      </c>
      <c r="D4054" t="str">
        <f>VLOOKUP(B4054,Заказы!A:C,3,0)</f>
        <v>2023-09-12 17:10:00</v>
      </c>
      <c r="E4054" t="str">
        <f>VLOOKUP(C4054,Меню!A:E,4,0)</f>
        <v>Суши</v>
      </c>
      <c r="F4054">
        <f>VLOOKUP(C4054,Меню!A:E,5,0)</f>
        <v>100</v>
      </c>
    </row>
    <row r="4055" spans="1:6" ht="15.75" hidden="1" customHeight="1" x14ac:dyDescent="0.35">
      <c r="A4055" s="1">
        <v>4054</v>
      </c>
      <c r="B4055" s="1">
        <v>785</v>
      </c>
      <c r="C4055" s="1">
        <v>24</v>
      </c>
      <c r="D4055" t="str">
        <f>VLOOKUP(B4055,Заказы!A:C,3,0)</f>
        <v>2023-09-12 17:10:00</v>
      </c>
      <c r="E4055" t="str">
        <f>VLOOKUP(C4055,Меню!A:E,4,0)</f>
        <v>Салат</v>
      </c>
      <c r="F4055">
        <f>VLOOKUP(C4055,Меню!A:E,5,0)</f>
        <v>250</v>
      </c>
    </row>
    <row r="4056" spans="1:6" ht="15.75" hidden="1" customHeight="1" x14ac:dyDescent="0.35">
      <c r="A4056" s="1">
        <v>4055</v>
      </c>
      <c r="B4056" s="1">
        <v>785</v>
      </c>
      <c r="C4056" s="1">
        <v>17</v>
      </c>
      <c r="D4056" t="str">
        <f>VLOOKUP(B4056,Заказы!A:C,3,0)</f>
        <v>2023-09-12 17:10:00</v>
      </c>
      <c r="E4056" t="str">
        <f>VLOOKUP(C4056,Меню!A:E,4,0)</f>
        <v>Первое</v>
      </c>
      <c r="F4056">
        <f>VLOOKUP(C4056,Меню!A:E,5,0)</f>
        <v>250</v>
      </c>
    </row>
    <row r="4057" spans="1:6" ht="15.75" hidden="1" customHeight="1" x14ac:dyDescent="0.35">
      <c r="A4057" s="1">
        <v>4056</v>
      </c>
      <c r="B4057" s="1">
        <v>785</v>
      </c>
      <c r="C4057" s="1">
        <v>22</v>
      </c>
      <c r="D4057" t="str">
        <f>VLOOKUP(B4057,Заказы!A:C,3,0)</f>
        <v>2023-09-12 17:10:00</v>
      </c>
      <c r="E4057" t="str">
        <f>VLOOKUP(C4057,Меню!A:E,4,0)</f>
        <v>Салат</v>
      </c>
      <c r="F4057">
        <f>VLOOKUP(C4057,Меню!A:E,5,0)</f>
        <v>250</v>
      </c>
    </row>
    <row r="4058" spans="1:6" ht="15.75" hidden="1" customHeight="1" x14ac:dyDescent="0.35">
      <c r="A4058" s="1">
        <v>4057</v>
      </c>
      <c r="B4058" s="1">
        <v>785</v>
      </c>
      <c r="C4058" s="1">
        <v>35</v>
      </c>
      <c r="D4058" t="str">
        <f>VLOOKUP(B4058,Заказы!A:C,3,0)</f>
        <v>2023-09-12 17:10:00</v>
      </c>
      <c r="E4058" t="str">
        <f>VLOOKUP(C4058,Меню!A:E,4,0)</f>
        <v>Десерт</v>
      </c>
      <c r="F4058">
        <f>VLOOKUP(C4058,Меню!A:E,5,0)</f>
        <v>150</v>
      </c>
    </row>
    <row r="4059" spans="1:6" ht="15.75" hidden="1" customHeight="1" x14ac:dyDescent="0.35">
      <c r="A4059" s="1">
        <v>4058</v>
      </c>
      <c r="B4059" s="1">
        <v>785</v>
      </c>
      <c r="C4059" s="1">
        <v>10</v>
      </c>
      <c r="D4059" t="str">
        <f>VLOOKUP(B4059,Заказы!A:C,3,0)</f>
        <v>2023-09-12 17:10:00</v>
      </c>
      <c r="E4059" t="str">
        <f>VLOOKUP(C4059,Меню!A:E,4,0)</f>
        <v>Завтрак</v>
      </c>
      <c r="F4059">
        <f>VLOOKUP(C4059,Меню!A:E,5,0)</f>
        <v>200</v>
      </c>
    </row>
    <row r="4060" spans="1:6" ht="15.75" hidden="1" customHeight="1" x14ac:dyDescent="0.35">
      <c r="A4060" s="1">
        <v>4059</v>
      </c>
      <c r="B4060" s="1">
        <v>786</v>
      </c>
      <c r="C4060" s="1">
        <v>15</v>
      </c>
      <c r="D4060" t="str">
        <f>VLOOKUP(B4060,Заказы!A:C,3,0)</f>
        <v>2023-09-12 20:41:00</v>
      </c>
      <c r="E4060" t="str">
        <f>VLOOKUP(C4060,Меню!A:E,4,0)</f>
        <v>Первое</v>
      </c>
      <c r="F4060">
        <f>VLOOKUP(C4060,Меню!A:E,5,0)</f>
        <v>250</v>
      </c>
    </row>
    <row r="4061" spans="1:6" ht="15.75" hidden="1" customHeight="1" x14ac:dyDescent="0.35">
      <c r="A4061" s="1">
        <v>4060</v>
      </c>
      <c r="B4061" s="1">
        <v>786</v>
      </c>
      <c r="C4061" s="1">
        <v>18</v>
      </c>
      <c r="D4061" t="str">
        <f>VLOOKUP(B4061,Заказы!A:C,3,0)</f>
        <v>2023-09-12 20:41:00</v>
      </c>
      <c r="E4061" t="str">
        <f>VLOOKUP(C4061,Меню!A:E,4,0)</f>
        <v>Первое</v>
      </c>
      <c r="F4061">
        <f>VLOOKUP(C4061,Меню!A:E,5,0)</f>
        <v>300</v>
      </c>
    </row>
    <row r="4062" spans="1:6" ht="15.75" hidden="1" customHeight="1" x14ac:dyDescent="0.35">
      <c r="A4062" s="1">
        <v>4061</v>
      </c>
      <c r="B4062" s="1">
        <v>787</v>
      </c>
      <c r="C4062" s="1">
        <v>59</v>
      </c>
      <c r="D4062" t="str">
        <f>VLOOKUP(B4062,Заказы!A:C,3,0)</f>
        <v>2023-09-12 21:09:00</v>
      </c>
      <c r="E4062" t="str">
        <f>VLOOKUP(C4062,Меню!A:E,4,0)</f>
        <v>Суши</v>
      </c>
      <c r="F4062">
        <f>VLOOKUP(C4062,Меню!A:E,5,0)</f>
        <v>300</v>
      </c>
    </row>
    <row r="4063" spans="1:6" ht="15.75" hidden="1" customHeight="1" x14ac:dyDescent="0.35">
      <c r="A4063" s="1">
        <v>4062</v>
      </c>
      <c r="B4063" s="1">
        <v>787</v>
      </c>
      <c r="C4063" s="1">
        <v>6</v>
      </c>
      <c r="D4063" t="str">
        <f>VLOOKUP(B4063,Заказы!A:C,3,0)</f>
        <v>2023-09-12 21:09:00</v>
      </c>
      <c r="E4063" t="str">
        <f>VLOOKUP(C4063,Меню!A:E,4,0)</f>
        <v>Завтрак</v>
      </c>
      <c r="F4063">
        <f>VLOOKUP(C4063,Меню!A:E,5,0)</f>
        <v>300</v>
      </c>
    </row>
    <row r="4064" spans="1:6" ht="15.75" hidden="1" customHeight="1" x14ac:dyDescent="0.35">
      <c r="A4064" s="1">
        <v>4063</v>
      </c>
      <c r="B4064" s="1">
        <v>787</v>
      </c>
      <c r="C4064" s="1">
        <v>47</v>
      </c>
      <c r="D4064" t="str">
        <f>VLOOKUP(B4064,Заказы!A:C,3,0)</f>
        <v>2023-09-12 21:09:00</v>
      </c>
      <c r="E4064" t="str">
        <f>VLOOKUP(C4064,Меню!A:E,4,0)</f>
        <v>Суши</v>
      </c>
      <c r="F4064">
        <f>VLOOKUP(C4064,Меню!A:E,5,0)</f>
        <v>200</v>
      </c>
    </row>
    <row r="4065" spans="1:6" ht="15.75" hidden="1" customHeight="1" x14ac:dyDescent="0.35">
      <c r="A4065" s="1">
        <v>4064</v>
      </c>
      <c r="B4065" s="1">
        <v>787</v>
      </c>
      <c r="C4065" s="1">
        <v>21</v>
      </c>
      <c r="D4065" t="str">
        <f>VLOOKUP(B4065,Заказы!A:C,3,0)</f>
        <v>2023-09-12 21:09:00</v>
      </c>
      <c r="E4065" t="str">
        <f>VLOOKUP(C4065,Меню!A:E,4,0)</f>
        <v>Салат</v>
      </c>
      <c r="F4065">
        <f>VLOOKUP(C4065,Меню!A:E,5,0)</f>
        <v>250</v>
      </c>
    </row>
    <row r="4066" spans="1:6" ht="15.75" hidden="1" customHeight="1" x14ac:dyDescent="0.35">
      <c r="A4066" s="1">
        <v>4065</v>
      </c>
      <c r="B4066" s="1">
        <v>787</v>
      </c>
      <c r="C4066" s="1">
        <v>20</v>
      </c>
      <c r="D4066" t="str">
        <f>VLOOKUP(B4066,Заказы!A:C,3,0)</f>
        <v>2023-09-12 21:09:00</v>
      </c>
      <c r="E4066" t="str">
        <f>VLOOKUP(C4066,Меню!A:E,4,0)</f>
        <v>Первое</v>
      </c>
      <c r="F4066">
        <f>VLOOKUP(C4066,Меню!A:E,5,0)</f>
        <v>250</v>
      </c>
    </row>
    <row r="4067" spans="1:6" ht="15.75" hidden="1" customHeight="1" x14ac:dyDescent="0.35">
      <c r="A4067" s="1">
        <v>4066</v>
      </c>
      <c r="B4067" s="1">
        <v>787</v>
      </c>
      <c r="C4067" s="1">
        <v>23</v>
      </c>
      <c r="D4067" t="str">
        <f>VLOOKUP(B4067,Заказы!A:C,3,0)</f>
        <v>2023-09-12 21:09:00</v>
      </c>
      <c r="E4067" t="str">
        <f>VLOOKUP(C4067,Меню!A:E,4,0)</f>
        <v>Салат</v>
      </c>
      <c r="F4067">
        <f>VLOOKUP(C4067,Меню!A:E,5,0)</f>
        <v>250</v>
      </c>
    </row>
    <row r="4068" spans="1:6" ht="15.75" hidden="1" customHeight="1" x14ac:dyDescent="0.35">
      <c r="A4068" s="1">
        <v>4067</v>
      </c>
      <c r="B4068" s="1">
        <v>788</v>
      </c>
      <c r="C4068" s="1">
        <v>19</v>
      </c>
      <c r="D4068" t="str">
        <f>VLOOKUP(B4068,Заказы!A:C,3,0)</f>
        <v>2023-09-12 21:33:00</v>
      </c>
      <c r="E4068" t="str">
        <f>VLOOKUP(C4068,Меню!A:E,4,0)</f>
        <v>Первое</v>
      </c>
      <c r="F4068">
        <f>VLOOKUP(C4068,Меню!A:E,5,0)</f>
        <v>300</v>
      </c>
    </row>
    <row r="4069" spans="1:6" ht="15.75" hidden="1" customHeight="1" x14ac:dyDescent="0.35">
      <c r="A4069" s="1">
        <v>4068</v>
      </c>
      <c r="B4069" s="1">
        <v>788</v>
      </c>
      <c r="C4069" s="1">
        <v>59</v>
      </c>
      <c r="D4069" t="str">
        <f>VLOOKUP(B4069,Заказы!A:C,3,0)</f>
        <v>2023-09-12 21:33:00</v>
      </c>
      <c r="E4069" t="str">
        <f>VLOOKUP(C4069,Меню!A:E,4,0)</f>
        <v>Суши</v>
      </c>
      <c r="F4069">
        <f>VLOOKUP(C4069,Меню!A:E,5,0)</f>
        <v>300</v>
      </c>
    </row>
    <row r="4070" spans="1:6" ht="15.75" hidden="1" customHeight="1" x14ac:dyDescent="0.35">
      <c r="A4070" s="1">
        <v>4069</v>
      </c>
      <c r="B4070" s="1">
        <v>788</v>
      </c>
      <c r="C4070" s="1">
        <v>35</v>
      </c>
      <c r="D4070" t="str">
        <f>VLOOKUP(B4070,Заказы!A:C,3,0)</f>
        <v>2023-09-12 21:33:00</v>
      </c>
      <c r="E4070" t="str">
        <f>VLOOKUP(C4070,Меню!A:E,4,0)</f>
        <v>Десерт</v>
      </c>
      <c r="F4070">
        <f>VLOOKUP(C4070,Меню!A:E,5,0)</f>
        <v>150</v>
      </c>
    </row>
    <row r="4071" spans="1:6" ht="15.75" hidden="1" customHeight="1" x14ac:dyDescent="0.35">
      <c r="A4071" s="1">
        <v>4070</v>
      </c>
      <c r="B4071" s="1">
        <v>788</v>
      </c>
      <c r="C4071" s="1">
        <v>11</v>
      </c>
      <c r="D4071" t="str">
        <f>VLOOKUP(B4071,Заказы!A:C,3,0)</f>
        <v>2023-09-12 21:33:00</v>
      </c>
      <c r="E4071" t="str">
        <f>VLOOKUP(C4071,Меню!A:E,4,0)</f>
        <v>Первое</v>
      </c>
      <c r="F4071">
        <f>VLOOKUP(C4071,Меню!A:E,5,0)</f>
        <v>300</v>
      </c>
    </row>
    <row r="4072" spans="1:6" ht="15.75" hidden="1" customHeight="1" x14ac:dyDescent="0.35">
      <c r="A4072" s="1">
        <v>4071</v>
      </c>
      <c r="B4072" s="1">
        <v>789</v>
      </c>
      <c r="C4072" s="1">
        <v>43</v>
      </c>
      <c r="D4072" t="str">
        <f>VLOOKUP(B4072,Заказы!A:C,3,0)</f>
        <v>2023-09-12 21:37:00</v>
      </c>
      <c r="E4072" t="str">
        <f>VLOOKUP(C4072,Меню!A:E,4,0)</f>
        <v>Суши</v>
      </c>
      <c r="F4072">
        <f>VLOOKUP(C4072,Меню!A:E,5,0)</f>
        <v>250</v>
      </c>
    </row>
    <row r="4073" spans="1:6" ht="15.75" hidden="1" customHeight="1" x14ac:dyDescent="0.35">
      <c r="A4073" s="1">
        <v>4072</v>
      </c>
      <c r="B4073" s="1">
        <v>789</v>
      </c>
      <c r="C4073" s="1">
        <v>1</v>
      </c>
      <c r="D4073" t="str">
        <f>VLOOKUP(B4073,Заказы!A:C,3,0)</f>
        <v>2023-09-12 21:37:00</v>
      </c>
      <c r="E4073" t="str">
        <f>VLOOKUP(C4073,Меню!A:E,4,0)</f>
        <v>Завтрак</v>
      </c>
      <c r="F4073">
        <f>VLOOKUP(C4073,Меню!A:E,5,0)</f>
        <v>200</v>
      </c>
    </row>
    <row r="4074" spans="1:6" ht="15.75" hidden="1" customHeight="1" x14ac:dyDescent="0.35">
      <c r="A4074" s="1">
        <v>4073</v>
      </c>
      <c r="B4074" s="1">
        <v>789</v>
      </c>
      <c r="C4074" s="1">
        <v>1</v>
      </c>
      <c r="D4074" t="str">
        <f>VLOOKUP(B4074,Заказы!A:C,3,0)</f>
        <v>2023-09-12 21:37:00</v>
      </c>
      <c r="E4074" t="str">
        <f>VLOOKUP(C4074,Меню!A:E,4,0)</f>
        <v>Завтрак</v>
      </c>
      <c r="F4074">
        <f>VLOOKUP(C4074,Меню!A:E,5,0)</f>
        <v>200</v>
      </c>
    </row>
    <row r="4075" spans="1:6" ht="15.75" hidden="1" customHeight="1" x14ac:dyDescent="0.35">
      <c r="A4075" s="1">
        <v>4074</v>
      </c>
      <c r="B4075" s="1">
        <v>789</v>
      </c>
      <c r="C4075" s="1">
        <v>38</v>
      </c>
      <c r="D4075" t="str">
        <f>VLOOKUP(B4075,Заказы!A:C,3,0)</f>
        <v>2023-09-12 21:37:00</v>
      </c>
      <c r="E4075" t="str">
        <f>VLOOKUP(C4075,Меню!A:E,4,0)</f>
        <v>Десерт</v>
      </c>
      <c r="F4075">
        <f>VLOOKUP(C4075,Меню!A:E,5,0)</f>
        <v>150</v>
      </c>
    </row>
    <row r="4076" spans="1:6" ht="15.75" hidden="1" customHeight="1" x14ac:dyDescent="0.35">
      <c r="A4076" s="1">
        <v>4075</v>
      </c>
      <c r="B4076" s="1">
        <v>789</v>
      </c>
      <c r="C4076" s="1">
        <v>37</v>
      </c>
      <c r="D4076" t="str">
        <f>VLOOKUP(B4076,Заказы!A:C,3,0)</f>
        <v>2023-09-12 21:37:00</v>
      </c>
      <c r="E4076" t="str">
        <f>VLOOKUP(C4076,Меню!A:E,4,0)</f>
        <v>Десерт</v>
      </c>
      <c r="F4076">
        <f>VLOOKUP(C4076,Меню!A:E,5,0)</f>
        <v>100</v>
      </c>
    </row>
    <row r="4077" spans="1:6" ht="15.75" hidden="1" customHeight="1" x14ac:dyDescent="0.35">
      <c r="A4077" s="1">
        <v>4076</v>
      </c>
      <c r="B4077" s="1">
        <v>789</v>
      </c>
      <c r="C4077" s="1">
        <v>19</v>
      </c>
      <c r="D4077" t="str">
        <f>VLOOKUP(B4077,Заказы!A:C,3,0)</f>
        <v>2023-09-12 21:37:00</v>
      </c>
      <c r="E4077" t="str">
        <f>VLOOKUP(C4077,Меню!A:E,4,0)</f>
        <v>Первое</v>
      </c>
      <c r="F4077">
        <f>VLOOKUP(C4077,Меню!A:E,5,0)</f>
        <v>300</v>
      </c>
    </row>
    <row r="4078" spans="1:6" ht="15.75" hidden="1" customHeight="1" x14ac:dyDescent="0.35">
      <c r="A4078" s="1">
        <v>4077</v>
      </c>
      <c r="B4078" s="1">
        <v>790</v>
      </c>
      <c r="C4078" s="1">
        <v>40</v>
      </c>
      <c r="D4078" t="str">
        <f>VLOOKUP(B4078,Заказы!A:C,3,0)</f>
        <v>2023-09-13 18:38:00</v>
      </c>
      <c r="E4078" t="str">
        <f>VLOOKUP(C4078,Меню!A:E,4,0)</f>
        <v>Десерт</v>
      </c>
      <c r="F4078">
        <f>VLOOKUP(C4078,Меню!A:E,5,0)</f>
        <v>150</v>
      </c>
    </row>
    <row r="4079" spans="1:6" ht="15.75" hidden="1" customHeight="1" x14ac:dyDescent="0.35">
      <c r="A4079" s="1">
        <v>4078</v>
      </c>
      <c r="B4079" s="1">
        <v>790</v>
      </c>
      <c r="C4079" s="1">
        <v>18</v>
      </c>
      <c r="D4079" t="str">
        <f>VLOOKUP(B4079,Заказы!A:C,3,0)</f>
        <v>2023-09-13 18:38:00</v>
      </c>
      <c r="E4079" t="str">
        <f>VLOOKUP(C4079,Меню!A:E,4,0)</f>
        <v>Первое</v>
      </c>
      <c r="F4079">
        <f>VLOOKUP(C4079,Меню!A:E,5,0)</f>
        <v>300</v>
      </c>
    </row>
    <row r="4080" spans="1:6" ht="15.75" hidden="1" customHeight="1" x14ac:dyDescent="0.35">
      <c r="A4080" s="1">
        <v>4079</v>
      </c>
      <c r="B4080" s="1">
        <v>790</v>
      </c>
      <c r="C4080" s="1">
        <v>21</v>
      </c>
      <c r="D4080" t="str">
        <f>VLOOKUP(B4080,Заказы!A:C,3,0)</f>
        <v>2023-09-13 18:38:00</v>
      </c>
      <c r="E4080" t="str">
        <f>VLOOKUP(C4080,Меню!A:E,4,0)</f>
        <v>Салат</v>
      </c>
      <c r="F4080">
        <f>VLOOKUP(C4080,Меню!A:E,5,0)</f>
        <v>250</v>
      </c>
    </row>
    <row r="4081" spans="1:6" ht="15.75" hidden="1" customHeight="1" x14ac:dyDescent="0.35">
      <c r="A4081" s="1">
        <v>4080</v>
      </c>
      <c r="B4081" s="1">
        <v>790</v>
      </c>
      <c r="C4081" s="1">
        <v>1</v>
      </c>
      <c r="D4081" t="str">
        <f>VLOOKUP(B4081,Заказы!A:C,3,0)</f>
        <v>2023-09-13 18:38:00</v>
      </c>
      <c r="E4081" t="str">
        <f>VLOOKUP(C4081,Меню!A:E,4,0)</f>
        <v>Завтрак</v>
      </c>
      <c r="F4081">
        <f>VLOOKUP(C4081,Меню!A:E,5,0)</f>
        <v>200</v>
      </c>
    </row>
    <row r="4082" spans="1:6" ht="15.75" hidden="1" customHeight="1" x14ac:dyDescent="0.35">
      <c r="A4082" s="1">
        <v>4081</v>
      </c>
      <c r="B4082" s="1">
        <v>791</v>
      </c>
      <c r="C4082" s="1">
        <v>32</v>
      </c>
      <c r="D4082" t="str">
        <f>VLOOKUP(B4082,Заказы!A:C,3,0)</f>
        <v>2023-09-13 19:50:00</v>
      </c>
      <c r="E4082" t="str">
        <f>VLOOKUP(C4082,Меню!A:E,4,0)</f>
        <v>Десерт</v>
      </c>
      <c r="F4082">
        <f>VLOOKUP(C4082,Меню!A:E,5,0)</f>
        <v>150</v>
      </c>
    </row>
    <row r="4083" spans="1:6" ht="15.75" hidden="1" customHeight="1" x14ac:dyDescent="0.35">
      <c r="A4083" s="1">
        <v>4082</v>
      </c>
      <c r="B4083" s="1">
        <v>791</v>
      </c>
      <c r="C4083" s="1">
        <v>39</v>
      </c>
      <c r="D4083" t="str">
        <f>VLOOKUP(B4083,Заказы!A:C,3,0)</f>
        <v>2023-09-13 19:50:00</v>
      </c>
      <c r="E4083" t="str">
        <f>VLOOKUP(C4083,Меню!A:E,4,0)</f>
        <v>Десерт</v>
      </c>
      <c r="F4083">
        <f>VLOOKUP(C4083,Меню!A:E,5,0)</f>
        <v>150</v>
      </c>
    </row>
    <row r="4084" spans="1:6" ht="15.75" hidden="1" customHeight="1" x14ac:dyDescent="0.35">
      <c r="A4084" s="1">
        <v>4083</v>
      </c>
      <c r="B4084" s="1">
        <v>791</v>
      </c>
      <c r="C4084" s="1">
        <v>35</v>
      </c>
      <c r="D4084" t="str">
        <f>VLOOKUP(B4084,Заказы!A:C,3,0)</f>
        <v>2023-09-13 19:50:00</v>
      </c>
      <c r="E4084" t="str">
        <f>VLOOKUP(C4084,Меню!A:E,4,0)</f>
        <v>Десерт</v>
      </c>
      <c r="F4084">
        <f>VLOOKUP(C4084,Меню!A:E,5,0)</f>
        <v>150</v>
      </c>
    </row>
    <row r="4085" spans="1:6" ht="15.75" hidden="1" customHeight="1" x14ac:dyDescent="0.35">
      <c r="A4085" s="1">
        <v>4084</v>
      </c>
      <c r="B4085" s="1">
        <v>791</v>
      </c>
      <c r="C4085" s="1">
        <v>41</v>
      </c>
      <c r="D4085" t="str">
        <f>VLOOKUP(B4085,Заказы!A:C,3,0)</f>
        <v>2023-09-13 19:50:00</v>
      </c>
      <c r="E4085" t="str">
        <f>VLOOKUP(C4085,Меню!A:E,4,0)</f>
        <v>Суши</v>
      </c>
      <c r="F4085">
        <f>VLOOKUP(C4085,Меню!A:E,5,0)</f>
        <v>220</v>
      </c>
    </row>
    <row r="4086" spans="1:6" ht="15.75" hidden="1" customHeight="1" x14ac:dyDescent="0.35">
      <c r="A4086" s="1">
        <v>4085</v>
      </c>
      <c r="B4086" s="1">
        <v>791</v>
      </c>
      <c r="C4086" s="1">
        <v>3</v>
      </c>
      <c r="D4086" t="str">
        <f>VLOOKUP(B4086,Заказы!A:C,3,0)</f>
        <v>2023-09-13 19:50:00</v>
      </c>
      <c r="E4086" t="str">
        <f>VLOOKUP(C4086,Меню!A:E,4,0)</f>
        <v>Завтрак</v>
      </c>
      <c r="F4086">
        <f>VLOOKUP(C4086,Меню!A:E,5,0)</f>
        <v>150</v>
      </c>
    </row>
    <row r="4087" spans="1:6" ht="15.75" hidden="1" customHeight="1" x14ac:dyDescent="0.35">
      <c r="A4087" s="1">
        <v>4086</v>
      </c>
      <c r="B4087" s="1">
        <v>792</v>
      </c>
      <c r="C4087" s="1">
        <v>9</v>
      </c>
      <c r="D4087" t="str">
        <f>VLOOKUP(B4087,Заказы!A:C,3,0)</f>
        <v>2023-09-13 20:12:00</v>
      </c>
      <c r="E4087" t="str">
        <f>VLOOKUP(C4087,Меню!A:E,4,0)</f>
        <v>Завтрак</v>
      </c>
      <c r="F4087">
        <f>VLOOKUP(C4087,Меню!A:E,5,0)</f>
        <v>220</v>
      </c>
    </row>
    <row r="4088" spans="1:6" ht="15.75" hidden="1" customHeight="1" x14ac:dyDescent="0.35">
      <c r="A4088" s="1">
        <v>4087</v>
      </c>
      <c r="B4088" s="1">
        <v>792</v>
      </c>
      <c r="C4088" s="1">
        <v>8</v>
      </c>
      <c r="D4088" t="str">
        <f>VLOOKUP(B4088,Заказы!A:C,3,0)</f>
        <v>2023-09-13 20:12:00</v>
      </c>
      <c r="E4088" t="str">
        <f>VLOOKUP(C4088,Меню!A:E,4,0)</f>
        <v>Завтрак</v>
      </c>
      <c r="F4088">
        <f>VLOOKUP(C4088,Меню!A:E,5,0)</f>
        <v>180</v>
      </c>
    </row>
    <row r="4089" spans="1:6" ht="15.75" hidden="1" customHeight="1" x14ac:dyDescent="0.35">
      <c r="A4089" s="1">
        <v>4088</v>
      </c>
      <c r="B4089" s="1">
        <v>792</v>
      </c>
      <c r="C4089" s="1">
        <v>7</v>
      </c>
      <c r="D4089" t="str">
        <f>VLOOKUP(B4089,Заказы!A:C,3,0)</f>
        <v>2023-09-13 20:12:00</v>
      </c>
      <c r="E4089" t="str">
        <f>VLOOKUP(C4089,Меню!A:E,4,0)</f>
        <v>Завтрак</v>
      </c>
      <c r="F4089">
        <f>VLOOKUP(C4089,Меню!A:E,5,0)</f>
        <v>200</v>
      </c>
    </row>
    <row r="4090" spans="1:6" ht="15.75" hidden="1" customHeight="1" x14ac:dyDescent="0.35">
      <c r="A4090" s="1">
        <v>4089</v>
      </c>
      <c r="B4090" s="1">
        <v>792</v>
      </c>
      <c r="C4090" s="1">
        <v>26</v>
      </c>
      <c r="D4090" t="str">
        <f>VLOOKUP(B4090,Заказы!A:C,3,0)</f>
        <v>2023-09-13 20:12:00</v>
      </c>
      <c r="E4090" t="str">
        <f>VLOOKUP(C4090,Меню!A:E,4,0)</f>
        <v>Салат</v>
      </c>
      <c r="F4090">
        <f>VLOOKUP(C4090,Меню!A:E,5,0)</f>
        <v>250</v>
      </c>
    </row>
    <row r="4091" spans="1:6" ht="15.75" hidden="1" customHeight="1" x14ac:dyDescent="0.35">
      <c r="A4091" s="1">
        <v>4090</v>
      </c>
      <c r="B4091" s="1">
        <v>792</v>
      </c>
      <c r="C4091" s="1">
        <v>5</v>
      </c>
      <c r="D4091" t="str">
        <f>VLOOKUP(B4091,Заказы!A:C,3,0)</f>
        <v>2023-09-13 20:12:00</v>
      </c>
      <c r="E4091" t="str">
        <f>VLOOKUP(C4091,Меню!A:E,4,0)</f>
        <v>Завтрак</v>
      </c>
      <c r="F4091">
        <f>VLOOKUP(C4091,Меню!A:E,5,0)</f>
        <v>220</v>
      </c>
    </row>
    <row r="4092" spans="1:6" ht="15.75" hidden="1" customHeight="1" x14ac:dyDescent="0.35">
      <c r="A4092" s="1">
        <v>4091</v>
      </c>
      <c r="B4092" s="1">
        <v>792</v>
      </c>
      <c r="C4092" s="1">
        <v>43</v>
      </c>
      <c r="D4092" t="str">
        <f>VLOOKUP(B4092,Заказы!A:C,3,0)</f>
        <v>2023-09-13 20:12:00</v>
      </c>
      <c r="E4092" t="str">
        <f>VLOOKUP(C4092,Меню!A:E,4,0)</f>
        <v>Суши</v>
      </c>
      <c r="F4092">
        <f>VLOOKUP(C4092,Меню!A:E,5,0)</f>
        <v>250</v>
      </c>
    </row>
    <row r="4093" spans="1:6" ht="15.75" hidden="1" customHeight="1" x14ac:dyDescent="0.35">
      <c r="A4093" s="1">
        <v>4092</v>
      </c>
      <c r="B4093" s="1">
        <v>792</v>
      </c>
      <c r="C4093" s="1">
        <v>30</v>
      </c>
      <c r="D4093" t="str">
        <f>VLOOKUP(B4093,Заказы!A:C,3,0)</f>
        <v>2023-09-13 20:12:00</v>
      </c>
      <c r="E4093" t="str">
        <f>VLOOKUP(C4093,Меню!A:E,4,0)</f>
        <v>Салат</v>
      </c>
      <c r="F4093">
        <f>VLOOKUP(C4093,Меню!A:E,5,0)</f>
        <v>250</v>
      </c>
    </row>
    <row r="4094" spans="1:6" ht="15.75" hidden="1" customHeight="1" x14ac:dyDescent="0.35">
      <c r="A4094" s="1">
        <v>4093</v>
      </c>
      <c r="B4094" s="1">
        <v>793</v>
      </c>
      <c r="C4094" s="1">
        <v>48</v>
      </c>
      <c r="D4094" t="str">
        <f>VLOOKUP(B4094,Заказы!A:C,3,0)</f>
        <v>2023-09-13 21:05:00</v>
      </c>
      <c r="E4094" t="str">
        <f>VLOOKUP(C4094,Меню!A:E,4,0)</f>
        <v>Суши</v>
      </c>
      <c r="F4094">
        <f>VLOOKUP(C4094,Меню!A:E,5,0)</f>
        <v>200</v>
      </c>
    </row>
    <row r="4095" spans="1:6" ht="15.75" hidden="1" customHeight="1" x14ac:dyDescent="0.35">
      <c r="A4095" s="1">
        <v>4094</v>
      </c>
      <c r="B4095" s="1">
        <v>793</v>
      </c>
      <c r="C4095" s="1">
        <v>39</v>
      </c>
      <c r="D4095" t="str">
        <f>VLOOKUP(B4095,Заказы!A:C,3,0)</f>
        <v>2023-09-13 21:05:00</v>
      </c>
      <c r="E4095" t="str">
        <f>VLOOKUP(C4095,Меню!A:E,4,0)</f>
        <v>Десерт</v>
      </c>
      <c r="F4095">
        <f>VLOOKUP(C4095,Меню!A:E,5,0)</f>
        <v>150</v>
      </c>
    </row>
    <row r="4096" spans="1:6" ht="15.75" hidden="1" customHeight="1" x14ac:dyDescent="0.35">
      <c r="A4096" s="1">
        <v>4095</v>
      </c>
      <c r="B4096" s="1">
        <v>793</v>
      </c>
      <c r="C4096" s="1">
        <v>22</v>
      </c>
      <c r="D4096" t="str">
        <f>VLOOKUP(B4096,Заказы!A:C,3,0)</f>
        <v>2023-09-13 21:05:00</v>
      </c>
      <c r="E4096" t="str">
        <f>VLOOKUP(C4096,Меню!A:E,4,0)</f>
        <v>Салат</v>
      </c>
      <c r="F4096">
        <f>VLOOKUP(C4096,Меню!A:E,5,0)</f>
        <v>250</v>
      </c>
    </row>
    <row r="4097" spans="1:6" ht="15.75" hidden="1" customHeight="1" x14ac:dyDescent="0.35">
      <c r="A4097" s="1">
        <v>4096</v>
      </c>
      <c r="B4097" s="1">
        <v>793</v>
      </c>
      <c r="C4097" s="1">
        <v>43</v>
      </c>
      <c r="D4097" t="str">
        <f>VLOOKUP(B4097,Заказы!A:C,3,0)</f>
        <v>2023-09-13 21:05:00</v>
      </c>
      <c r="E4097" t="str">
        <f>VLOOKUP(C4097,Меню!A:E,4,0)</f>
        <v>Суши</v>
      </c>
      <c r="F4097">
        <f>VLOOKUP(C4097,Меню!A:E,5,0)</f>
        <v>250</v>
      </c>
    </row>
    <row r="4098" spans="1:6" ht="15.75" hidden="1" customHeight="1" x14ac:dyDescent="0.35">
      <c r="A4098" s="1">
        <v>4097</v>
      </c>
      <c r="B4098" s="1">
        <v>793</v>
      </c>
      <c r="C4098" s="1">
        <v>49</v>
      </c>
      <c r="D4098" t="str">
        <f>VLOOKUP(B4098,Заказы!A:C,3,0)</f>
        <v>2023-09-13 21:05:00</v>
      </c>
      <c r="E4098" t="str">
        <f>VLOOKUP(C4098,Меню!A:E,4,0)</f>
        <v>Суши</v>
      </c>
      <c r="F4098">
        <f>VLOOKUP(C4098,Меню!A:E,5,0)</f>
        <v>200</v>
      </c>
    </row>
    <row r="4099" spans="1:6" ht="15.75" hidden="1" customHeight="1" x14ac:dyDescent="0.35">
      <c r="A4099" s="1">
        <v>4098</v>
      </c>
      <c r="B4099" s="1">
        <v>793</v>
      </c>
      <c r="C4099" s="1">
        <v>35</v>
      </c>
      <c r="D4099" t="str">
        <f>VLOOKUP(B4099,Заказы!A:C,3,0)</f>
        <v>2023-09-13 21:05:00</v>
      </c>
      <c r="E4099" t="str">
        <f>VLOOKUP(C4099,Меню!A:E,4,0)</f>
        <v>Десерт</v>
      </c>
      <c r="F4099">
        <f>VLOOKUP(C4099,Меню!A:E,5,0)</f>
        <v>150</v>
      </c>
    </row>
    <row r="4100" spans="1:6" ht="15.75" hidden="1" customHeight="1" x14ac:dyDescent="0.35">
      <c r="A4100" s="1">
        <v>4099</v>
      </c>
      <c r="B4100" s="1">
        <v>793</v>
      </c>
      <c r="C4100" s="1">
        <v>29</v>
      </c>
      <c r="D4100" t="str">
        <f>VLOOKUP(B4100,Заказы!A:C,3,0)</f>
        <v>2023-09-13 21:05:00</v>
      </c>
      <c r="E4100" t="str">
        <f>VLOOKUP(C4100,Меню!A:E,4,0)</f>
        <v>Салат</v>
      </c>
      <c r="F4100">
        <f>VLOOKUP(C4100,Меню!A:E,5,0)</f>
        <v>250</v>
      </c>
    </row>
    <row r="4101" spans="1:6" ht="15.75" hidden="1" customHeight="1" x14ac:dyDescent="0.35">
      <c r="A4101" s="1">
        <v>4100</v>
      </c>
      <c r="B4101" s="1">
        <v>793</v>
      </c>
      <c r="C4101" s="1">
        <v>4</v>
      </c>
      <c r="D4101" t="str">
        <f>VLOOKUP(B4101,Заказы!A:C,3,0)</f>
        <v>2023-09-13 21:05:00</v>
      </c>
      <c r="E4101" t="str">
        <f>VLOOKUP(C4101,Меню!A:E,4,0)</f>
        <v>Завтрак</v>
      </c>
      <c r="F4101">
        <f>VLOOKUP(C4101,Меню!A:E,5,0)</f>
        <v>180</v>
      </c>
    </row>
    <row r="4102" spans="1:6" ht="15.75" hidden="1" customHeight="1" x14ac:dyDescent="0.35">
      <c r="A4102" s="1">
        <v>4101</v>
      </c>
      <c r="B4102" s="1">
        <v>793</v>
      </c>
      <c r="C4102" s="1">
        <v>38</v>
      </c>
      <c r="D4102" t="str">
        <f>VLOOKUP(B4102,Заказы!A:C,3,0)</f>
        <v>2023-09-13 21:05:00</v>
      </c>
      <c r="E4102" t="str">
        <f>VLOOKUP(C4102,Меню!A:E,4,0)</f>
        <v>Десерт</v>
      </c>
      <c r="F4102">
        <f>VLOOKUP(C4102,Меню!A:E,5,0)</f>
        <v>150</v>
      </c>
    </row>
    <row r="4103" spans="1:6" ht="15.75" hidden="1" customHeight="1" x14ac:dyDescent="0.35">
      <c r="A4103" s="1">
        <v>4102</v>
      </c>
      <c r="B4103" s="1">
        <v>794</v>
      </c>
      <c r="C4103" s="1">
        <v>30</v>
      </c>
      <c r="D4103" t="str">
        <f>VLOOKUP(B4103,Заказы!A:C,3,0)</f>
        <v>2023-09-14 16:32:00</v>
      </c>
      <c r="E4103" t="str">
        <f>VLOOKUP(C4103,Меню!A:E,4,0)</f>
        <v>Салат</v>
      </c>
      <c r="F4103">
        <f>VLOOKUP(C4103,Меню!A:E,5,0)</f>
        <v>250</v>
      </c>
    </row>
    <row r="4104" spans="1:6" ht="15.75" hidden="1" customHeight="1" x14ac:dyDescent="0.35">
      <c r="A4104" s="1">
        <v>4103</v>
      </c>
      <c r="B4104" s="1">
        <v>794</v>
      </c>
      <c r="C4104" s="1">
        <v>35</v>
      </c>
      <c r="D4104" t="str">
        <f>VLOOKUP(B4104,Заказы!A:C,3,0)</f>
        <v>2023-09-14 16:32:00</v>
      </c>
      <c r="E4104" t="str">
        <f>VLOOKUP(C4104,Меню!A:E,4,0)</f>
        <v>Десерт</v>
      </c>
      <c r="F4104">
        <f>VLOOKUP(C4104,Меню!A:E,5,0)</f>
        <v>150</v>
      </c>
    </row>
    <row r="4105" spans="1:6" ht="15.75" hidden="1" customHeight="1" x14ac:dyDescent="0.35">
      <c r="A4105" s="1">
        <v>4104</v>
      </c>
      <c r="B4105" s="1">
        <v>794</v>
      </c>
      <c r="C4105" s="1">
        <v>20</v>
      </c>
      <c r="D4105" t="str">
        <f>VLOOKUP(B4105,Заказы!A:C,3,0)</f>
        <v>2023-09-14 16:32:00</v>
      </c>
      <c r="E4105" t="str">
        <f>VLOOKUP(C4105,Меню!A:E,4,0)</f>
        <v>Первое</v>
      </c>
      <c r="F4105">
        <f>VLOOKUP(C4105,Меню!A:E,5,0)</f>
        <v>250</v>
      </c>
    </row>
    <row r="4106" spans="1:6" ht="15.75" hidden="1" customHeight="1" x14ac:dyDescent="0.35">
      <c r="A4106" s="1">
        <v>4105</v>
      </c>
      <c r="B4106" s="1">
        <v>794</v>
      </c>
      <c r="C4106" s="1">
        <v>27</v>
      </c>
      <c r="D4106" t="str">
        <f>VLOOKUP(B4106,Заказы!A:C,3,0)</f>
        <v>2023-09-14 16:32:00</v>
      </c>
      <c r="E4106" t="str">
        <f>VLOOKUP(C4106,Меню!A:E,4,0)</f>
        <v>Салат</v>
      </c>
      <c r="F4106">
        <f>VLOOKUP(C4106,Меню!A:E,5,0)</f>
        <v>250</v>
      </c>
    </row>
    <row r="4107" spans="1:6" ht="15.75" hidden="1" customHeight="1" x14ac:dyDescent="0.35">
      <c r="A4107" s="1">
        <v>4106</v>
      </c>
      <c r="B4107" s="1">
        <v>795</v>
      </c>
      <c r="C4107" s="1">
        <v>6</v>
      </c>
      <c r="D4107" t="str">
        <f>VLOOKUP(B4107,Заказы!A:C,3,0)</f>
        <v>2023-09-14 16:35:00</v>
      </c>
      <c r="E4107" t="str">
        <f>VLOOKUP(C4107,Меню!A:E,4,0)</f>
        <v>Завтрак</v>
      </c>
      <c r="F4107">
        <f>VLOOKUP(C4107,Меню!A:E,5,0)</f>
        <v>300</v>
      </c>
    </row>
    <row r="4108" spans="1:6" ht="15.75" hidden="1" customHeight="1" x14ac:dyDescent="0.35">
      <c r="A4108" s="1">
        <v>4107</v>
      </c>
      <c r="B4108" s="1">
        <v>795</v>
      </c>
      <c r="C4108" s="1">
        <v>56</v>
      </c>
      <c r="D4108" t="str">
        <f>VLOOKUP(B4108,Заказы!A:C,3,0)</f>
        <v>2023-09-14 16:35:00</v>
      </c>
      <c r="E4108" t="str">
        <f>VLOOKUP(C4108,Меню!A:E,4,0)</f>
        <v>Суши</v>
      </c>
      <c r="F4108">
        <f>VLOOKUP(C4108,Меню!A:E,5,0)</f>
        <v>200</v>
      </c>
    </row>
    <row r="4109" spans="1:6" ht="15.75" hidden="1" customHeight="1" x14ac:dyDescent="0.35">
      <c r="A4109" s="1">
        <v>4108</v>
      </c>
      <c r="B4109" s="1">
        <v>795</v>
      </c>
      <c r="C4109" s="1">
        <v>48</v>
      </c>
      <c r="D4109" t="str">
        <f>VLOOKUP(B4109,Заказы!A:C,3,0)</f>
        <v>2023-09-14 16:35:00</v>
      </c>
      <c r="E4109" t="str">
        <f>VLOOKUP(C4109,Меню!A:E,4,0)</f>
        <v>Суши</v>
      </c>
      <c r="F4109">
        <f>VLOOKUP(C4109,Меню!A:E,5,0)</f>
        <v>200</v>
      </c>
    </row>
    <row r="4110" spans="1:6" ht="15.75" hidden="1" customHeight="1" x14ac:dyDescent="0.35">
      <c r="A4110" s="1">
        <v>4109</v>
      </c>
      <c r="B4110" s="1">
        <v>796</v>
      </c>
      <c r="C4110" s="1">
        <v>17</v>
      </c>
      <c r="D4110" t="str">
        <f>VLOOKUP(B4110,Заказы!A:C,3,0)</f>
        <v>2023-09-14 17:25:00</v>
      </c>
      <c r="E4110" t="str">
        <f>VLOOKUP(C4110,Меню!A:E,4,0)</f>
        <v>Первое</v>
      </c>
      <c r="F4110">
        <f>VLOOKUP(C4110,Меню!A:E,5,0)</f>
        <v>250</v>
      </c>
    </row>
    <row r="4111" spans="1:6" ht="15.75" hidden="1" customHeight="1" x14ac:dyDescent="0.35">
      <c r="A4111" s="1">
        <v>4110</v>
      </c>
      <c r="B4111" s="1">
        <v>796</v>
      </c>
      <c r="C4111" s="1">
        <v>22</v>
      </c>
      <c r="D4111" t="str">
        <f>VLOOKUP(B4111,Заказы!A:C,3,0)</f>
        <v>2023-09-14 17:25:00</v>
      </c>
      <c r="E4111" t="str">
        <f>VLOOKUP(C4111,Меню!A:E,4,0)</f>
        <v>Салат</v>
      </c>
      <c r="F4111">
        <f>VLOOKUP(C4111,Меню!A:E,5,0)</f>
        <v>250</v>
      </c>
    </row>
    <row r="4112" spans="1:6" ht="15.75" hidden="1" customHeight="1" x14ac:dyDescent="0.35">
      <c r="A4112" s="1">
        <v>4111</v>
      </c>
      <c r="B4112" s="1">
        <v>796</v>
      </c>
      <c r="C4112" s="1">
        <v>1</v>
      </c>
      <c r="D4112" t="str">
        <f>VLOOKUP(B4112,Заказы!A:C,3,0)</f>
        <v>2023-09-14 17:25:00</v>
      </c>
      <c r="E4112" t="str">
        <f>VLOOKUP(C4112,Меню!A:E,4,0)</f>
        <v>Завтрак</v>
      </c>
      <c r="F4112">
        <f>VLOOKUP(C4112,Меню!A:E,5,0)</f>
        <v>200</v>
      </c>
    </row>
    <row r="4113" spans="1:6" ht="15.75" hidden="1" customHeight="1" x14ac:dyDescent="0.35">
      <c r="A4113" s="1">
        <v>4112</v>
      </c>
      <c r="B4113" s="1">
        <v>796</v>
      </c>
      <c r="C4113" s="1">
        <v>9</v>
      </c>
      <c r="D4113" t="str">
        <f>VLOOKUP(B4113,Заказы!A:C,3,0)</f>
        <v>2023-09-14 17:25:00</v>
      </c>
      <c r="E4113" t="str">
        <f>VLOOKUP(C4113,Меню!A:E,4,0)</f>
        <v>Завтрак</v>
      </c>
      <c r="F4113">
        <f>VLOOKUP(C4113,Меню!A:E,5,0)</f>
        <v>220</v>
      </c>
    </row>
    <row r="4114" spans="1:6" ht="15.75" hidden="1" customHeight="1" x14ac:dyDescent="0.35">
      <c r="A4114" s="1">
        <v>4113</v>
      </c>
      <c r="B4114" s="1">
        <v>797</v>
      </c>
      <c r="C4114" s="1">
        <v>60</v>
      </c>
      <c r="D4114" t="str">
        <f>VLOOKUP(B4114,Заказы!A:C,3,0)</f>
        <v>2023-09-14 18:59:00</v>
      </c>
      <c r="E4114" t="str">
        <f>VLOOKUP(C4114,Меню!A:E,4,0)</f>
        <v>Суши</v>
      </c>
      <c r="F4114">
        <f>VLOOKUP(C4114,Меню!A:E,5,0)</f>
        <v>250</v>
      </c>
    </row>
    <row r="4115" spans="1:6" ht="15.75" hidden="1" customHeight="1" x14ac:dyDescent="0.35">
      <c r="A4115" s="1">
        <v>4114</v>
      </c>
      <c r="B4115" s="1">
        <v>797</v>
      </c>
      <c r="C4115" s="1">
        <v>4</v>
      </c>
      <c r="D4115" t="str">
        <f>VLOOKUP(B4115,Заказы!A:C,3,0)</f>
        <v>2023-09-14 18:59:00</v>
      </c>
      <c r="E4115" t="str">
        <f>VLOOKUP(C4115,Меню!A:E,4,0)</f>
        <v>Завтрак</v>
      </c>
      <c r="F4115">
        <f>VLOOKUP(C4115,Меню!A:E,5,0)</f>
        <v>180</v>
      </c>
    </row>
    <row r="4116" spans="1:6" ht="15.75" hidden="1" customHeight="1" x14ac:dyDescent="0.35">
      <c r="A4116" s="1">
        <v>4115</v>
      </c>
      <c r="B4116" s="1">
        <v>798</v>
      </c>
      <c r="C4116" s="1">
        <v>33</v>
      </c>
      <c r="D4116" t="str">
        <f>VLOOKUP(B4116,Заказы!A:C,3,0)</f>
        <v>2023-09-14 20:45:00</v>
      </c>
      <c r="E4116" t="str">
        <f>VLOOKUP(C4116,Меню!A:E,4,0)</f>
        <v>Десерт</v>
      </c>
      <c r="F4116">
        <f>VLOOKUP(C4116,Меню!A:E,5,0)</f>
        <v>150</v>
      </c>
    </row>
    <row r="4117" spans="1:6" ht="15.75" hidden="1" customHeight="1" x14ac:dyDescent="0.35">
      <c r="A4117" s="1">
        <v>4116</v>
      </c>
      <c r="B4117" s="1">
        <v>798</v>
      </c>
      <c r="C4117" s="1">
        <v>18</v>
      </c>
      <c r="D4117" t="str">
        <f>VLOOKUP(B4117,Заказы!A:C,3,0)</f>
        <v>2023-09-14 20:45:00</v>
      </c>
      <c r="E4117" t="str">
        <f>VLOOKUP(C4117,Меню!A:E,4,0)</f>
        <v>Первое</v>
      </c>
      <c r="F4117">
        <f>VLOOKUP(C4117,Меню!A:E,5,0)</f>
        <v>300</v>
      </c>
    </row>
    <row r="4118" spans="1:6" ht="15.75" hidden="1" customHeight="1" x14ac:dyDescent="0.35">
      <c r="A4118" s="1">
        <v>4117</v>
      </c>
      <c r="B4118" s="1">
        <v>798</v>
      </c>
      <c r="C4118" s="1">
        <v>4</v>
      </c>
      <c r="D4118" t="str">
        <f>VLOOKUP(B4118,Заказы!A:C,3,0)</f>
        <v>2023-09-14 20:45:00</v>
      </c>
      <c r="E4118" t="str">
        <f>VLOOKUP(C4118,Меню!A:E,4,0)</f>
        <v>Завтрак</v>
      </c>
      <c r="F4118">
        <f>VLOOKUP(C4118,Меню!A:E,5,0)</f>
        <v>180</v>
      </c>
    </row>
    <row r="4119" spans="1:6" ht="15.75" hidden="1" customHeight="1" x14ac:dyDescent="0.35">
      <c r="A4119" s="1">
        <v>4118</v>
      </c>
      <c r="B4119" s="1">
        <v>798</v>
      </c>
      <c r="C4119" s="1">
        <v>46</v>
      </c>
      <c r="D4119" t="str">
        <f>VLOOKUP(B4119,Заказы!A:C,3,0)</f>
        <v>2023-09-14 20:45:00</v>
      </c>
      <c r="E4119" t="str">
        <f>VLOOKUP(C4119,Меню!A:E,4,0)</f>
        <v>Суши</v>
      </c>
      <c r="F4119">
        <f>VLOOKUP(C4119,Меню!A:E,5,0)</f>
        <v>200</v>
      </c>
    </row>
    <row r="4120" spans="1:6" ht="15.75" hidden="1" customHeight="1" x14ac:dyDescent="0.35">
      <c r="A4120" s="1">
        <v>4119</v>
      </c>
      <c r="B4120" s="1">
        <v>798</v>
      </c>
      <c r="C4120" s="1">
        <v>39</v>
      </c>
      <c r="D4120" t="str">
        <f>VLOOKUP(B4120,Заказы!A:C,3,0)</f>
        <v>2023-09-14 20:45:00</v>
      </c>
      <c r="E4120" t="str">
        <f>VLOOKUP(C4120,Меню!A:E,4,0)</f>
        <v>Десерт</v>
      </c>
      <c r="F4120">
        <f>VLOOKUP(C4120,Меню!A:E,5,0)</f>
        <v>150</v>
      </c>
    </row>
    <row r="4121" spans="1:6" ht="15.75" hidden="1" customHeight="1" x14ac:dyDescent="0.35">
      <c r="A4121" s="1">
        <v>4120</v>
      </c>
      <c r="B4121" s="1">
        <v>798</v>
      </c>
      <c r="C4121" s="1">
        <v>33</v>
      </c>
      <c r="D4121" t="str">
        <f>VLOOKUP(B4121,Заказы!A:C,3,0)</f>
        <v>2023-09-14 20:45:00</v>
      </c>
      <c r="E4121" t="str">
        <f>VLOOKUP(C4121,Меню!A:E,4,0)</f>
        <v>Десерт</v>
      </c>
      <c r="F4121">
        <f>VLOOKUP(C4121,Меню!A:E,5,0)</f>
        <v>150</v>
      </c>
    </row>
    <row r="4122" spans="1:6" ht="15.75" hidden="1" customHeight="1" x14ac:dyDescent="0.35">
      <c r="A4122" s="1">
        <v>4121</v>
      </c>
      <c r="B4122" s="1">
        <v>798</v>
      </c>
      <c r="C4122" s="1">
        <v>14</v>
      </c>
      <c r="D4122" t="str">
        <f>VLOOKUP(B4122,Заказы!A:C,3,0)</f>
        <v>2023-09-14 20:45:00</v>
      </c>
      <c r="E4122" t="str">
        <f>VLOOKUP(C4122,Меню!A:E,4,0)</f>
        <v>Первое</v>
      </c>
      <c r="F4122">
        <f>VLOOKUP(C4122,Меню!A:E,5,0)</f>
        <v>350</v>
      </c>
    </row>
    <row r="4123" spans="1:6" ht="15.75" hidden="1" customHeight="1" x14ac:dyDescent="0.35">
      <c r="A4123" s="1">
        <v>4122</v>
      </c>
      <c r="B4123" s="1">
        <v>799</v>
      </c>
      <c r="C4123" s="1">
        <v>27</v>
      </c>
      <c r="D4123" t="str">
        <f>VLOOKUP(B4123,Заказы!A:C,3,0)</f>
        <v>2023-09-14 20:50:00</v>
      </c>
      <c r="E4123" t="str">
        <f>VLOOKUP(C4123,Меню!A:E,4,0)</f>
        <v>Салат</v>
      </c>
      <c r="F4123">
        <f>VLOOKUP(C4123,Меню!A:E,5,0)</f>
        <v>250</v>
      </c>
    </row>
    <row r="4124" spans="1:6" ht="15.75" hidden="1" customHeight="1" x14ac:dyDescent="0.35">
      <c r="A4124" s="1">
        <v>4123</v>
      </c>
      <c r="B4124" s="1">
        <v>799</v>
      </c>
      <c r="C4124" s="1">
        <v>21</v>
      </c>
      <c r="D4124" t="str">
        <f>VLOOKUP(B4124,Заказы!A:C,3,0)</f>
        <v>2023-09-14 20:50:00</v>
      </c>
      <c r="E4124" t="str">
        <f>VLOOKUP(C4124,Меню!A:E,4,0)</f>
        <v>Салат</v>
      </c>
      <c r="F4124">
        <f>VLOOKUP(C4124,Меню!A:E,5,0)</f>
        <v>250</v>
      </c>
    </row>
    <row r="4125" spans="1:6" ht="15.75" hidden="1" customHeight="1" x14ac:dyDescent="0.35">
      <c r="A4125" s="1">
        <v>4124</v>
      </c>
      <c r="B4125" s="1">
        <v>799</v>
      </c>
      <c r="C4125" s="1">
        <v>25</v>
      </c>
      <c r="D4125" t="str">
        <f>VLOOKUP(B4125,Заказы!A:C,3,0)</f>
        <v>2023-09-14 20:50:00</v>
      </c>
      <c r="E4125" t="str">
        <f>VLOOKUP(C4125,Меню!A:E,4,0)</f>
        <v>Салат</v>
      </c>
      <c r="F4125">
        <f>VLOOKUP(C4125,Меню!A:E,5,0)</f>
        <v>250</v>
      </c>
    </row>
    <row r="4126" spans="1:6" ht="15.75" hidden="1" customHeight="1" x14ac:dyDescent="0.35">
      <c r="A4126" s="1">
        <v>4125</v>
      </c>
      <c r="B4126" s="1">
        <v>799</v>
      </c>
      <c r="C4126" s="1">
        <v>31</v>
      </c>
      <c r="D4126" t="str">
        <f>VLOOKUP(B4126,Заказы!A:C,3,0)</f>
        <v>2023-09-14 20:50:00</v>
      </c>
      <c r="E4126" t="str">
        <f>VLOOKUP(C4126,Меню!A:E,4,0)</f>
        <v>Десерт</v>
      </c>
      <c r="F4126">
        <f>VLOOKUP(C4126,Меню!A:E,5,0)</f>
        <v>150</v>
      </c>
    </row>
    <row r="4127" spans="1:6" ht="15.75" hidden="1" customHeight="1" x14ac:dyDescent="0.35">
      <c r="A4127" s="1">
        <v>4126</v>
      </c>
      <c r="B4127" s="1">
        <v>799</v>
      </c>
      <c r="C4127" s="1">
        <v>34</v>
      </c>
      <c r="D4127" t="str">
        <f>VLOOKUP(B4127,Заказы!A:C,3,0)</f>
        <v>2023-09-14 20:50:00</v>
      </c>
      <c r="E4127" t="str">
        <f>VLOOKUP(C4127,Меню!A:E,4,0)</f>
        <v>Десерт</v>
      </c>
      <c r="F4127">
        <f>VLOOKUP(C4127,Меню!A:E,5,0)</f>
        <v>150</v>
      </c>
    </row>
    <row r="4128" spans="1:6" ht="15.75" hidden="1" customHeight="1" x14ac:dyDescent="0.35">
      <c r="A4128" s="1">
        <v>4127</v>
      </c>
      <c r="B4128" s="1">
        <v>799</v>
      </c>
      <c r="C4128" s="1">
        <v>54</v>
      </c>
      <c r="D4128" t="str">
        <f>VLOOKUP(B4128,Заказы!A:C,3,0)</f>
        <v>2023-09-14 20:50:00</v>
      </c>
      <c r="E4128" t="str">
        <f>VLOOKUP(C4128,Меню!A:E,4,0)</f>
        <v>Суши</v>
      </c>
      <c r="F4128">
        <f>VLOOKUP(C4128,Меню!A:E,5,0)</f>
        <v>100</v>
      </c>
    </row>
    <row r="4129" spans="1:6" ht="15.75" hidden="1" customHeight="1" x14ac:dyDescent="0.35">
      <c r="A4129" s="1">
        <v>4128</v>
      </c>
      <c r="B4129" s="1">
        <v>800</v>
      </c>
      <c r="C4129" s="1">
        <v>58</v>
      </c>
      <c r="D4129" t="str">
        <f>VLOOKUP(B4129,Заказы!A:C,3,0)</f>
        <v>2023-09-15 22:19:00</v>
      </c>
      <c r="E4129" t="str">
        <f>VLOOKUP(C4129,Меню!A:E,4,0)</f>
        <v>Суши</v>
      </c>
      <c r="F4129">
        <f>VLOOKUP(C4129,Меню!A:E,5,0)</f>
        <v>200</v>
      </c>
    </row>
    <row r="4130" spans="1:6" ht="15.75" hidden="1" customHeight="1" x14ac:dyDescent="0.35">
      <c r="A4130" s="1">
        <v>4129</v>
      </c>
      <c r="B4130" s="1">
        <v>800</v>
      </c>
      <c r="C4130" s="1">
        <v>58</v>
      </c>
      <c r="D4130" t="str">
        <f>VLOOKUP(B4130,Заказы!A:C,3,0)</f>
        <v>2023-09-15 22:19:00</v>
      </c>
      <c r="E4130" t="str">
        <f>VLOOKUP(C4130,Меню!A:E,4,0)</f>
        <v>Суши</v>
      </c>
      <c r="F4130">
        <f>VLOOKUP(C4130,Меню!A:E,5,0)</f>
        <v>200</v>
      </c>
    </row>
    <row r="4131" spans="1:6" ht="15.75" hidden="1" customHeight="1" x14ac:dyDescent="0.35">
      <c r="A4131" s="1">
        <v>4130</v>
      </c>
      <c r="B4131" s="1">
        <v>800</v>
      </c>
      <c r="C4131" s="1">
        <v>3</v>
      </c>
      <c r="D4131" t="str">
        <f>VLOOKUP(B4131,Заказы!A:C,3,0)</f>
        <v>2023-09-15 22:19:00</v>
      </c>
      <c r="E4131" t="str">
        <f>VLOOKUP(C4131,Меню!A:E,4,0)</f>
        <v>Завтрак</v>
      </c>
      <c r="F4131">
        <f>VLOOKUP(C4131,Меню!A:E,5,0)</f>
        <v>150</v>
      </c>
    </row>
    <row r="4132" spans="1:6" ht="15.75" hidden="1" customHeight="1" x14ac:dyDescent="0.35">
      <c r="A4132" s="1">
        <v>4131</v>
      </c>
      <c r="B4132" s="1">
        <v>801</v>
      </c>
      <c r="C4132" s="1">
        <v>60</v>
      </c>
      <c r="D4132" t="str">
        <f>VLOOKUP(B4132,Заказы!A:C,3,0)</f>
        <v>2023-09-16 17:12:00</v>
      </c>
      <c r="E4132" t="str">
        <f>VLOOKUP(C4132,Меню!A:E,4,0)</f>
        <v>Суши</v>
      </c>
      <c r="F4132">
        <f>VLOOKUP(C4132,Меню!A:E,5,0)</f>
        <v>250</v>
      </c>
    </row>
    <row r="4133" spans="1:6" ht="15.75" hidden="1" customHeight="1" x14ac:dyDescent="0.35">
      <c r="A4133" s="1">
        <v>4132</v>
      </c>
      <c r="B4133" s="1">
        <v>801</v>
      </c>
      <c r="C4133" s="1">
        <v>54</v>
      </c>
      <c r="D4133" t="str">
        <f>VLOOKUP(B4133,Заказы!A:C,3,0)</f>
        <v>2023-09-16 17:12:00</v>
      </c>
      <c r="E4133" t="str">
        <f>VLOOKUP(C4133,Меню!A:E,4,0)</f>
        <v>Суши</v>
      </c>
      <c r="F4133">
        <f>VLOOKUP(C4133,Меню!A:E,5,0)</f>
        <v>100</v>
      </c>
    </row>
    <row r="4134" spans="1:6" ht="15.75" hidden="1" customHeight="1" x14ac:dyDescent="0.35">
      <c r="A4134" s="1">
        <v>4133</v>
      </c>
      <c r="B4134" s="1">
        <v>801</v>
      </c>
      <c r="C4134" s="1">
        <v>14</v>
      </c>
      <c r="D4134" t="str">
        <f>VLOOKUP(B4134,Заказы!A:C,3,0)</f>
        <v>2023-09-16 17:12:00</v>
      </c>
      <c r="E4134" t="str">
        <f>VLOOKUP(C4134,Меню!A:E,4,0)</f>
        <v>Первое</v>
      </c>
      <c r="F4134">
        <f>VLOOKUP(C4134,Меню!A:E,5,0)</f>
        <v>350</v>
      </c>
    </row>
    <row r="4135" spans="1:6" ht="15.75" hidden="1" customHeight="1" x14ac:dyDescent="0.35">
      <c r="A4135" s="1">
        <v>4134</v>
      </c>
      <c r="B4135" s="1">
        <v>801</v>
      </c>
      <c r="C4135" s="1">
        <v>31</v>
      </c>
      <c r="D4135" t="str">
        <f>VLOOKUP(B4135,Заказы!A:C,3,0)</f>
        <v>2023-09-16 17:12:00</v>
      </c>
      <c r="E4135" t="str">
        <f>VLOOKUP(C4135,Меню!A:E,4,0)</f>
        <v>Десерт</v>
      </c>
      <c r="F4135">
        <f>VLOOKUP(C4135,Меню!A:E,5,0)</f>
        <v>150</v>
      </c>
    </row>
    <row r="4136" spans="1:6" ht="15.75" hidden="1" customHeight="1" x14ac:dyDescent="0.35">
      <c r="A4136" s="1">
        <v>4135</v>
      </c>
      <c r="B4136" s="1">
        <v>801</v>
      </c>
      <c r="C4136" s="1">
        <v>7</v>
      </c>
      <c r="D4136" t="str">
        <f>VLOOKUP(B4136,Заказы!A:C,3,0)</f>
        <v>2023-09-16 17:12:00</v>
      </c>
      <c r="E4136" t="str">
        <f>VLOOKUP(C4136,Меню!A:E,4,0)</f>
        <v>Завтрак</v>
      </c>
      <c r="F4136">
        <f>VLOOKUP(C4136,Меню!A:E,5,0)</f>
        <v>200</v>
      </c>
    </row>
    <row r="4137" spans="1:6" ht="15.75" hidden="1" customHeight="1" x14ac:dyDescent="0.35">
      <c r="A4137" s="1">
        <v>4136</v>
      </c>
      <c r="B4137" s="1">
        <v>802</v>
      </c>
      <c r="C4137" s="1">
        <v>39</v>
      </c>
      <c r="D4137" t="str">
        <f>VLOOKUP(B4137,Заказы!A:C,3,0)</f>
        <v>2023-09-16 18:01:00</v>
      </c>
      <c r="E4137" t="str">
        <f>VLOOKUP(C4137,Меню!A:E,4,0)</f>
        <v>Десерт</v>
      </c>
      <c r="F4137">
        <f>VLOOKUP(C4137,Меню!A:E,5,0)</f>
        <v>150</v>
      </c>
    </row>
    <row r="4138" spans="1:6" ht="15.75" hidden="1" customHeight="1" x14ac:dyDescent="0.35">
      <c r="A4138" s="1">
        <v>4137</v>
      </c>
      <c r="B4138" s="1">
        <v>802</v>
      </c>
      <c r="C4138" s="1">
        <v>58</v>
      </c>
      <c r="D4138" t="str">
        <f>VLOOKUP(B4138,Заказы!A:C,3,0)</f>
        <v>2023-09-16 18:01:00</v>
      </c>
      <c r="E4138" t="str">
        <f>VLOOKUP(C4138,Меню!A:E,4,0)</f>
        <v>Суши</v>
      </c>
      <c r="F4138">
        <f>VLOOKUP(C4138,Меню!A:E,5,0)</f>
        <v>200</v>
      </c>
    </row>
    <row r="4139" spans="1:6" ht="15.75" hidden="1" customHeight="1" x14ac:dyDescent="0.35">
      <c r="A4139" s="1">
        <v>4138</v>
      </c>
      <c r="B4139" s="1">
        <v>802</v>
      </c>
      <c r="C4139" s="1">
        <v>35</v>
      </c>
      <c r="D4139" t="str">
        <f>VLOOKUP(B4139,Заказы!A:C,3,0)</f>
        <v>2023-09-16 18:01:00</v>
      </c>
      <c r="E4139" t="str">
        <f>VLOOKUP(C4139,Меню!A:E,4,0)</f>
        <v>Десерт</v>
      </c>
      <c r="F4139">
        <f>VLOOKUP(C4139,Меню!A:E,5,0)</f>
        <v>150</v>
      </c>
    </row>
    <row r="4140" spans="1:6" ht="15.75" hidden="1" customHeight="1" x14ac:dyDescent="0.35">
      <c r="A4140" s="1">
        <v>4139</v>
      </c>
      <c r="B4140" s="1">
        <v>802</v>
      </c>
      <c r="C4140" s="1">
        <v>46</v>
      </c>
      <c r="D4140" t="str">
        <f>VLOOKUP(B4140,Заказы!A:C,3,0)</f>
        <v>2023-09-16 18:01:00</v>
      </c>
      <c r="E4140" t="str">
        <f>VLOOKUP(C4140,Меню!A:E,4,0)</f>
        <v>Суши</v>
      </c>
      <c r="F4140">
        <f>VLOOKUP(C4140,Меню!A:E,5,0)</f>
        <v>200</v>
      </c>
    </row>
    <row r="4141" spans="1:6" ht="15.75" hidden="1" customHeight="1" x14ac:dyDescent="0.35">
      <c r="A4141" s="1">
        <v>4140</v>
      </c>
      <c r="B4141" s="1">
        <v>802</v>
      </c>
      <c r="C4141" s="1">
        <v>9</v>
      </c>
      <c r="D4141" t="str">
        <f>VLOOKUP(B4141,Заказы!A:C,3,0)</f>
        <v>2023-09-16 18:01:00</v>
      </c>
      <c r="E4141" t="str">
        <f>VLOOKUP(C4141,Меню!A:E,4,0)</f>
        <v>Завтрак</v>
      </c>
      <c r="F4141">
        <f>VLOOKUP(C4141,Меню!A:E,5,0)</f>
        <v>220</v>
      </c>
    </row>
    <row r="4142" spans="1:6" ht="15.75" hidden="1" customHeight="1" x14ac:dyDescent="0.35">
      <c r="A4142" s="1">
        <v>4141</v>
      </c>
      <c r="B4142" s="1">
        <v>803</v>
      </c>
      <c r="C4142" s="1">
        <v>36</v>
      </c>
      <c r="D4142" t="str">
        <f>VLOOKUP(B4142,Заказы!A:C,3,0)</f>
        <v>2023-09-16 18:42:00</v>
      </c>
      <c r="E4142" t="str">
        <f>VLOOKUP(C4142,Меню!A:E,4,0)</f>
        <v>Десерт</v>
      </c>
      <c r="F4142">
        <f>VLOOKUP(C4142,Меню!A:E,5,0)</f>
        <v>150</v>
      </c>
    </row>
    <row r="4143" spans="1:6" ht="15.75" hidden="1" customHeight="1" x14ac:dyDescent="0.35">
      <c r="A4143" s="1">
        <v>4142</v>
      </c>
      <c r="B4143" s="1">
        <v>803</v>
      </c>
      <c r="C4143" s="1">
        <v>46</v>
      </c>
      <c r="D4143" t="str">
        <f>VLOOKUP(B4143,Заказы!A:C,3,0)</f>
        <v>2023-09-16 18:42:00</v>
      </c>
      <c r="E4143" t="str">
        <f>VLOOKUP(C4143,Меню!A:E,4,0)</f>
        <v>Суши</v>
      </c>
      <c r="F4143">
        <f>VLOOKUP(C4143,Меню!A:E,5,0)</f>
        <v>200</v>
      </c>
    </row>
    <row r="4144" spans="1:6" ht="15.75" hidden="1" customHeight="1" x14ac:dyDescent="0.35">
      <c r="A4144" s="1">
        <v>4143</v>
      </c>
      <c r="B4144" s="1">
        <v>803</v>
      </c>
      <c r="C4144" s="1">
        <v>57</v>
      </c>
      <c r="D4144" t="str">
        <f>VLOOKUP(B4144,Заказы!A:C,3,0)</f>
        <v>2023-09-16 18:42:00</v>
      </c>
      <c r="E4144" t="str">
        <f>VLOOKUP(C4144,Меню!A:E,4,0)</f>
        <v>Суши</v>
      </c>
      <c r="F4144">
        <f>VLOOKUP(C4144,Меню!A:E,5,0)</f>
        <v>200</v>
      </c>
    </row>
    <row r="4145" spans="1:6" ht="15.75" hidden="1" customHeight="1" x14ac:dyDescent="0.35">
      <c r="A4145" s="1">
        <v>4144</v>
      </c>
      <c r="B4145" s="1">
        <v>804</v>
      </c>
      <c r="C4145" s="1">
        <v>33</v>
      </c>
      <c r="D4145" t="str">
        <f>VLOOKUP(B4145,Заказы!A:C,3,0)</f>
        <v>2023-09-16 19:58:00</v>
      </c>
      <c r="E4145" t="str">
        <f>VLOOKUP(C4145,Меню!A:E,4,0)</f>
        <v>Десерт</v>
      </c>
      <c r="F4145">
        <f>VLOOKUP(C4145,Меню!A:E,5,0)</f>
        <v>150</v>
      </c>
    </row>
    <row r="4146" spans="1:6" ht="15.75" hidden="1" customHeight="1" x14ac:dyDescent="0.35">
      <c r="A4146" s="1">
        <v>4145</v>
      </c>
      <c r="B4146" s="1">
        <v>804</v>
      </c>
      <c r="C4146" s="1">
        <v>27</v>
      </c>
      <c r="D4146" t="str">
        <f>VLOOKUP(B4146,Заказы!A:C,3,0)</f>
        <v>2023-09-16 19:58:00</v>
      </c>
      <c r="E4146" t="str">
        <f>VLOOKUP(C4146,Меню!A:E,4,0)</f>
        <v>Салат</v>
      </c>
      <c r="F4146">
        <f>VLOOKUP(C4146,Меню!A:E,5,0)</f>
        <v>250</v>
      </c>
    </row>
    <row r="4147" spans="1:6" ht="15.75" hidden="1" customHeight="1" x14ac:dyDescent="0.35">
      <c r="A4147" s="1">
        <v>4146</v>
      </c>
      <c r="B4147" s="1">
        <v>804</v>
      </c>
      <c r="C4147" s="1">
        <v>58</v>
      </c>
      <c r="D4147" t="str">
        <f>VLOOKUP(B4147,Заказы!A:C,3,0)</f>
        <v>2023-09-16 19:58:00</v>
      </c>
      <c r="E4147" t="str">
        <f>VLOOKUP(C4147,Меню!A:E,4,0)</f>
        <v>Суши</v>
      </c>
      <c r="F4147">
        <f>VLOOKUP(C4147,Меню!A:E,5,0)</f>
        <v>200</v>
      </c>
    </row>
    <row r="4148" spans="1:6" ht="15.75" hidden="1" customHeight="1" x14ac:dyDescent="0.35">
      <c r="A4148" s="1">
        <v>4147</v>
      </c>
      <c r="B4148" s="1">
        <v>805</v>
      </c>
      <c r="C4148" s="1">
        <v>57</v>
      </c>
      <c r="D4148" t="str">
        <f>VLOOKUP(B4148,Заказы!A:C,3,0)</f>
        <v>2023-09-16 20:49:00</v>
      </c>
      <c r="E4148" t="str">
        <f>VLOOKUP(C4148,Меню!A:E,4,0)</f>
        <v>Суши</v>
      </c>
      <c r="F4148">
        <f>VLOOKUP(C4148,Меню!A:E,5,0)</f>
        <v>200</v>
      </c>
    </row>
    <row r="4149" spans="1:6" ht="15.75" hidden="1" customHeight="1" x14ac:dyDescent="0.35">
      <c r="A4149" s="1">
        <v>4148</v>
      </c>
      <c r="B4149" s="1">
        <v>805</v>
      </c>
      <c r="C4149" s="1">
        <v>2</v>
      </c>
      <c r="D4149" t="str">
        <f>VLOOKUP(B4149,Заказы!A:C,3,0)</f>
        <v>2023-09-16 20:49:00</v>
      </c>
      <c r="E4149" t="str">
        <f>VLOOKUP(C4149,Меню!A:E,4,0)</f>
        <v>Завтрак</v>
      </c>
      <c r="F4149">
        <f>VLOOKUP(C4149,Меню!A:E,5,0)</f>
        <v>250</v>
      </c>
    </row>
    <row r="4150" spans="1:6" ht="15.75" hidden="1" customHeight="1" x14ac:dyDescent="0.35">
      <c r="A4150" s="1">
        <v>4149</v>
      </c>
      <c r="B4150" s="1">
        <v>805</v>
      </c>
      <c r="C4150" s="1">
        <v>35</v>
      </c>
      <c r="D4150" t="str">
        <f>VLOOKUP(B4150,Заказы!A:C,3,0)</f>
        <v>2023-09-16 20:49:00</v>
      </c>
      <c r="E4150" t="str">
        <f>VLOOKUP(C4150,Меню!A:E,4,0)</f>
        <v>Десерт</v>
      </c>
      <c r="F4150">
        <f>VLOOKUP(C4150,Меню!A:E,5,0)</f>
        <v>150</v>
      </c>
    </row>
    <row r="4151" spans="1:6" ht="15.75" hidden="1" customHeight="1" x14ac:dyDescent="0.35">
      <c r="A4151" s="1">
        <v>4150</v>
      </c>
      <c r="B4151" s="1">
        <v>806</v>
      </c>
      <c r="C4151" s="1">
        <v>55</v>
      </c>
      <c r="D4151" t="str">
        <f>VLOOKUP(B4151,Заказы!A:C,3,0)</f>
        <v>2023-09-17 15:56:00</v>
      </c>
      <c r="E4151" t="str">
        <f>VLOOKUP(C4151,Меню!A:E,4,0)</f>
        <v>Суши</v>
      </c>
      <c r="F4151">
        <f>VLOOKUP(C4151,Меню!A:E,5,0)</f>
        <v>100</v>
      </c>
    </row>
    <row r="4152" spans="1:6" ht="15.75" hidden="1" customHeight="1" x14ac:dyDescent="0.35">
      <c r="A4152" s="1">
        <v>4151</v>
      </c>
      <c r="B4152" s="1">
        <v>806</v>
      </c>
      <c r="C4152" s="1">
        <v>56</v>
      </c>
      <c r="D4152" t="str">
        <f>VLOOKUP(B4152,Заказы!A:C,3,0)</f>
        <v>2023-09-17 15:56:00</v>
      </c>
      <c r="E4152" t="str">
        <f>VLOOKUP(C4152,Меню!A:E,4,0)</f>
        <v>Суши</v>
      </c>
      <c r="F4152">
        <f>VLOOKUP(C4152,Меню!A:E,5,0)</f>
        <v>200</v>
      </c>
    </row>
    <row r="4153" spans="1:6" ht="15.75" hidden="1" customHeight="1" x14ac:dyDescent="0.35">
      <c r="A4153" s="1">
        <v>4152</v>
      </c>
      <c r="B4153" s="1">
        <v>807</v>
      </c>
      <c r="C4153" s="1">
        <v>58</v>
      </c>
      <c r="D4153" t="str">
        <f>VLOOKUP(B4153,Заказы!A:C,3,0)</f>
        <v>2023-09-17 16:57:00</v>
      </c>
      <c r="E4153" t="str">
        <f>VLOOKUP(C4153,Меню!A:E,4,0)</f>
        <v>Суши</v>
      </c>
      <c r="F4153">
        <f>VLOOKUP(C4153,Меню!A:E,5,0)</f>
        <v>200</v>
      </c>
    </row>
    <row r="4154" spans="1:6" ht="15.75" hidden="1" customHeight="1" x14ac:dyDescent="0.35">
      <c r="A4154" s="1">
        <v>4153</v>
      </c>
      <c r="B4154" s="1">
        <v>807</v>
      </c>
      <c r="C4154" s="1">
        <v>10</v>
      </c>
      <c r="D4154" t="str">
        <f>VLOOKUP(B4154,Заказы!A:C,3,0)</f>
        <v>2023-09-17 16:57:00</v>
      </c>
      <c r="E4154" t="str">
        <f>VLOOKUP(C4154,Меню!A:E,4,0)</f>
        <v>Завтрак</v>
      </c>
      <c r="F4154">
        <f>VLOOKUP(C4154,Меню!A:E,5,0)</f>
        <v>200</v>
      </c>
    </row>
    <row r="4155" spans="1:6" ht="15.75" hidden="1" customHeight="1" x14ac:dyDescent="0.35">
      <c r="A4155" s="1">
        <v>4154</v>
      </c>
      <c r="B4155" s="1">
        <v>807</v>
      </c>
      <c r="C4155" s="1">
        <v>50</v>
      </c>
      <c r="D4155" t="str">
        <f>VLOOKUP(B4155,Заказы!A:C,3,0)</f>
        <v>2023-09-17 16:57:00</v>
      </c>
      <c r="E4155" t="str">
        <f>VLOOKUP(C4155,Меню!A:E,4,0)</f>
        <v>Суши</v>
      </c>
      <c r="F4155">
        <f>VLOOKUP(C4155,Меню!A:E,5,0)</f>
        <v>200</v>
      </c>
    </row>
    <row r="4156" spans="1:6" ht="15.75" hidden="1" customHeight="1" x14ac:dyDescent="0.35">
      <c r="A4156" s="1">
        <v>4155</v>
      </c>
      <c r="B4156" s="1">
        <v>808</v>
      </c>
      <c r="C4156" s="1">
        <v>55</v>
      </c>
      <c r="D4156" t="str">
        <f>VLOOKUP(B4156,Заказы!A:C,3,0)</f>
        <v>2023-09-17 19:31:00</v>
      </c>
      <c r="E4156" t="str">
        <f>VLOOKUP(C4156,Меню!A:E,4,0)</f>
        <v>Суши</v>
      </c>
      <c r="F4156">
        <f>VLOOKUP(C4156,Меню!A:E,5,0)</f>
        <v>100</v>
      </c>
    </row>
    <row r="4157" spans="1:6" ht="15.75" hidden="1" customHeight="1" x14ac:dyDescent="0.35">
      <c r="A4157" s="1">
        <v>4156</v>
      </c>
      <c r="B4157" s="1">
        <v>808</v>
      </c>
      <c r="C4157" s="1">
        <v>37</v>
      </c>
      <c r="D4157" t="str">
        <f>VLOOKUP(B4157,Заказы!A:C,3,0)</f>
        <v>2023-09-17 19:31:00</v>
      </c>
      <c r="E4157" t="str">
        <f>VLOOKUP(C4157,Меню!A:E,4,0)</f>
        <v>Десерт</v>
      </c>
      <c r="F4157">
        <f>VLOOKUP(C4157,Меню!A:E,5,0)</f>
        <v>100</v>
      </c>
    </row>
    <row r="4158" spans="1:6" ht="15.75" hidden="1" customHeight="1" x14ac:dyDescent="0.35">
      <c r="A4158" s="1">
        <v>4157</v>
      </c>
      <c r="B4158" s="1">
        <v>808</v>
      </c>
      <c r="C4158" s="1">
        <v>19</v>
      </c>
      <c r="D4158" t="str">
        <f>VLOOKUP(B4158,Заказы!A:C,3,0)</f>
        <v>2023-09-17 19:31:00</v>
      </c>
      <c r="E4158" t="str">
        <f>VLOOKUP(C4158,Меню!A:E,4,0)</f>
        <v>Первое</v>
      </c>
      <c r="F4158">
        <f>VLOOKUP(C4158,Меню!A:E,5,0)</f>
        <v>300</v>
      </c>
    </row>
    <row r="4159" spans="1:6" ht="15.75" hidden="1" customHeight="1" x14ac:dyDescent="0.35">
      <c r="A4159" s="1">
        <v>4158</v>
      </c>
      <c r="B4159" s="1">
        <v>808</v>
      </c>
      <c r="C4159" s="1">
        <v>14</v>
      </c>
      <c r="D4159" t="str">
        <f>VLOOKUP(B4159,Заказы!A:C,3,0)</f>
        <v>2023-09-17 19:31:00</v>
      </c>
      <c r="E4159" t="str">
        <f>VLOOKUP(C4159,Меню!A:E,4,0)</f>
        <v>Первое</v>
      </c>
      <c r="F4159">
        <f>VLOOKUP(C4159,Меню!A:E,5,0)</f>
        <v>350</v>
      </c>
    </row>
    <row r="4160" spans="1:6" ht="15.75" hidden="1" customHeight="1" x14ac:dyDescent="0.35">
      <c r="A4160" s="1">
        <v>4159</v>
      </c>
      <c r="B4160" s="1">
        <v>808</v>
      </c>
      <c r="C4160" s="1">
        <v>30</v>
      </c>
      <c r="D4160" t="str">
        <f>VLOOKUP(B4160,Заказы!A:C,3,0)</f>
        <v>2023-09-17 19:31:00</v>
      </c>
      <c r="E4160" t="str">
        <f>VLOOKUP(C4160,Меню!A:E,4,0)</f>
        <v>Салат</v>
      </c>
      <c r="F4160">
        <f>VLOOKUP(C4160,Меню!A:E,5,0)</f>
        <v>250</v>
      </c>
    </row>
    <row r="4161" spans="1:6" ht="15.75" hidden="1" customHeight="1" x14ac:dyDescent="0.35">
      <c r="A4161" s="1">
        <v>4160</v>
      </c>
      <c r="B4161" s="1">
        <v>808</v>
      </c>
      <c r="C4161" s="1">
        <v>50</v>
      </c>
      <c r="D4161" t="str">
        <f>VLOOKUP(B4161,Заказы!A:C,3,0)</f>
        <v>2023-09-17 19:31:00</v>
      </c>
      <c r="E4161" t="str">
        <f>VLOOKUP(C4161,Меню!A:E,4,0)</f>
        <v>Суши</v>
      </c>
      <c r="F4161">
        <f>VLOOKUP(C4161,Меню!A:E,5,0)</f>
        <v>200</v>
      </c>
    </row>
    <row r="4162" spans="1:6" ht="15.75" hidden="1" customHeight="1" x14ac:dyDescent="0.35">
      <c r="A4162" s="1">
        <v>4161</v>
      </c>
      <c r="B4162" s="1">
        <v>808</v>
      </c>
      <c r="C4162" s="1">
        <v>60</v>
      </c>
      <c r="D4162" t="str">
        <f>VLOOKUP(B4162,Заказы!A:C,3,0)</f>
        <v>2023-09-17 19:31:00</v>
      </c>
      <c r="E4162" t="str">
        <f>VLOOKUP(C4162,Меню!A:E,4,0)</f>
        <v>Суши</v>
      </c>
      <c r="F4162">
        <f>VLOOKUP(C4162,Меню!A:E,5,0)</f>
        <v>250</v>
      </c>
    </row>
    <row r="4163" spans="1:6" ht="15.75" hidden="1" customHeight="1" x14ac:dyDescent="0.35">
      <c r="A4163" s="1">
        <v>4162</v>
      </c>
      <c r="B4163" s="1">
        <v>808</v>
      </c>
      <c r="C4163" s="1">
        <v>16</v>
      </c>
      <c r="D4163" t="str">
        <f>VLOOKUP(B4163,Заказы!A:C,3,0)</f>
        <v>2023-09-17 19:31:00</v>
      </c>
      <c r="E4163" t="str">
        <f>VLOOKUP(C4163,Меню!A:E,4,0)</f>
        <v>Первое</v>
      </c>
      <c r="F4163">
        <f>VLOOKUP(C4163,Меню!A:E,5,0)</f>
        <v>250</v>
      </c>
    </row>
    <row r="4164" spans="1:6" ht="15.75" hidden="1" customHeight="1" x14ac:dyDescent="0.35">
      <c r="A4164" s="1">
        <v>4163</v>
      </c>
      <c r="B4164" s="1">
        <v>808</v>
      </c>
      <c r="C4164" s="1">
        <v>44</v>
      </c>
      <c r="D4164" t="str">
        <f>VLOOKUP(B4164,Заказы!A:C,3,0)</f>
        <v>2023-09-17 19:31:00</v>
      </c>
      <c r="E4164" t="str">
        <f>VLOOKUP(C4164,Меню!A:E,4,0)</f>
        <v>Суши</v>
      </c>
      <c r="F4164">
        <f>VLOOKUP(C4164,Меню!A:E,5,0)</f>
        <v>250</v>
      </c>
    </row>
    <row r="4165" spans="1:6" ht="15.75" hidden="1" customHeight="1" x14ac:dyDescent="0.35">
      <c r="A4165" s="1">
        <v>4164</v>
      </c>
      <c r="B4165" s="1">
        <v>808</v>
      </c>
      <c r="C4165" s="1">
        <v>5</v>
      </c>
      <c r="D4165" t="str">
        <f>VLOOKUP(B4165,Заказы!A:C,3,0)</f>
        <v>2023-09-17 19:31:00</v>
      </c>
      <c r="E4165" t="str">
        <f>VLOOKUP(C4165,Меню!A:E,4,0)</f>
        <v>Завтрак</v>
      </c>
      <c r="F4165">
        <f>VLOOKUP(C4165,Меню!A:E,5,0)</f>
        <v>220</v>
      </c>
    </row>
    <row r="4166" spans="1:6" ht="15.75" hidden="1" customHeight="1" x14ac:dyDescent="0.35">
      <c r="A4166" s="1">
        <v>4165</v>
      </c>
      <c r="B4166" s="1">
        <v>809</v>
      </c>
      <c r="C4166" s="1">
        <v>32</v>
      </c>
      <c r="D4166" t="str">
        <f>VLOOKUP(B4166,Заказы!A:C,3,0)</f>
        <v>2023-09-17 20:18:00</v>
      </c>
      <c r="E4166" t="str">
        <f>VLOOKUP(C4166,Меню!A:E,4,0)</f>
        <v>Десерт</v>
      </c>
      <c r="F4166">
        <f>VLOOKUP(C4166,Меню!A:E,5,0)</f>
        <v>150</v>
      </c>
    </row>
    <row r="4167" spans="1:6" ht="15.75" hidden="1" customHeight="1" x14ac:dyDescent="0.35">
      <c r="A4167" s="1">
        <v>4166</v>
      </c>
      <c r="B4167" s="1">
        <v>809</v>
      </c>
      <c r="C4167" s="1">
        <v>49</v>
      </c>
      <c r="D4167" t="str">
        <f>VLOOKUP(B4167,Заказы!A:C,3,0)</f>
        <v>2023-09-17 20:18:00</v>
      </c>
      <c r="E4167" t="str">
        <f>VLOOKUP(C4167,Меню!A:E,4,0)</f>
        <v>Суши</v>
      </c>
      <c r="F4167">
        <f>VLOOKUP(C4167,Меню!A:E,5,0)</f>
        <v>200</v>
      </c>
    </row>
    <row r="4168" spans="1:6" ht="15.75" hidden="1" customHeight="1" x14ac:dyDescent="0.35">
      <c r="A4168" s="1">
        <v>4167</v>
      </c>
      <c r="B4168" s="1">
        <v>809</v>
      </c>
      <c r="C4168" s="1">
        <v>12</v>
      </c>
      <c r="D4168" t="str">
        <f>VLOOKUP(B4168,Заказы!A:C,3,0)</f>
        <v>2023-09-17 20:18:00</v>
      </c>
      <c r="E4168" t="str">
        <f>VLOOKUP(C4168,Меню!A:E,4,0)</f>
        <v>Первое</v>
      </c>
      <c r="F4168">
        <f>VLOOKUP(C4168,Меню!A:E,5,0)</f>
        <v>300</v>
      </c>
    </row>
    <row r="4169" spans="1:6" ht="15.75" hidden="1" customHeight="1" x14ac:dyDescent="0.35">
      <c r="A4169" s="1">
        <v>4168</v>
      </c>
      <c r="B4169" s="1">
        <v>809</v>
      </c>
      <c r="C4169" s="1">
        <v>7</v>
      </c>
      <c r="D4169" t="str">
        <f>VLOOKUP(B4169,Заказы!A:C,3,0)</f>
        <v>2023-09-17 20:18:00</v>
      </c>
      <c r="E4169" t="str">
        <f>VLOOKUP(C4169,Меню!A:E,4,0)</f>
        <v>Завтрак</v>
      </c>
      <c r="F4169">
        <f>VLOOKUP(C4169,Меню!A:E,5,0)</f>
        <v>200</v>
      </c>
    </row>
    <row r="4170" spans="1:6" ht="15.75" hidden="1" customHeight="1" x14ac:dyDescent="0.35">
      <c r="A4170" s="1">
        <v>4169</v>
      </c>
      <c r="B4170" s="1">
        <v>809</v>
      </c>
      <c r="C4170" s="1">
        <v>55</v>
      </c>
      <c r="D4170" t="str">
        <f>VLOOKUP(B4170,Заказы!A:C,3,0)</f>
        <v>2023-09-17 20:18:00</v>
      </c>
      <c r="E4170" t="str">
        <f>VLOOKUP(C4170,Меню!A:E,4,0)</f>
        <v>Суши</v>
      </c>
      <c r="F4170">
        <f>VLOOKUP(C4170,Меню!A:E,5,0)</f>
        <v>100</v>
      </c>
    </row>
    <row r="4171" spans="1:6" ht="15.75" hidden="1" customHeight="1" x14ac:dyDescent="0.35">
      <c r="A4171" s="1">
        <v>4170</v>
      </c>
      <c r="B4171" s="1">
        <v>809</v>
      </c>
      <c r="C4171" s="1">
        <v>31</v>
      </c>
      <c r="D4171" t="str">
        <f>VLOOKUP(B4171,Заказы!A:C,3,0)</f>
        <v>2023-09-17 20:18:00</v>
      </c>
      <c r="E4171" t="str">
        <f>VLOOKUP(C4171,Меню!A:E,4,0)</f>
        <v>Десерт</v>
      </c>
      <c r="F4171">
        <f>VLOOKUP(C4171,Меню!A:E,5,0)</f>
        <v>150</v>
      </c>
    </row>
    <row r="4172" spans="1:6" ht="15.75" hidden="1" customHeight="1" x14ac:dyDescent="0.35">
      <c r="A4172" s="1">
        <v>4171</v>
      </c>
      <c r="B4172" s="1">
        <v>809</v>
      </c>
      <c r="C4172" s="1">
        <v>49</v>
      </c>
      <c r="D4172" t="str">
        <f>VLOOKUP(B4172,Заказы!A:C,3,0)</f>
        <v>2023-09-17 20:18:00</v>
      </c>
      <c r="E4172" t="str">
        <f>VLOOKUP(C4172,Меню!A:E,4,0)</f>
        <v>Суши</v>
      </c>
      <c r="F4172">
        <f>VLOOKUP(C4172,Меню!A:E,5,0)</f>
        <v>200</v>
      </c>
    </row>
    <row r="4173" spans="1:6" ht="15.75" hidden="1" customHeight="1" x14ac:dyDescent="0.35">
      <c r="A4173" s="1">
        <v>4172</v>
      </c>
      <c r="B4173" s="1">
        <v>810</v>
      </c>
      <c r="C4173" s="1">
        <v>7</v>
      </c>
      <c r="D4173" t="str">
        <f>VLOOKUP(B4173,Заказы!A:C,3,0)</f>
        <v>2023-09-17 21:18:00</v>
      </c>
      <c r="E4173" t="str">
        <f>VLOOKUP(C4173,Меню!A:E,4,0)</f>
        <v>Завтрак</v>
      </c>
      <c r="F4173">
        <f>VLOOKUP(C4173,Меню!A:E,5,0)</f>
        <v>200</v>
      </c>
    </row>
    <row r="4174" spans="1:6" ht="15.75" hidden="1" customHeight="1" x14ac:dyDescent="0.35">
      <c r="A4174" s="1">
        <v>4173</v>
      </c>
      <c r="B4174" s="1">
        <v>810</v>
      </c>
      <c r="C4174" s="1">
        <v>40</v>
      </c>
      <c r="D4174" t="str">
        <f>VLOOKUP(B4174,Заказы!A:C,3,0)</f>
        <v>2023-09-17 21:18:00</v>
      </c>
      <c r="E4174" t="str">
        <f>VLOOKUP(C4174,Меню!A:E,4,0)</f>
        <v>Десерт</v>
      </c>
      <c r="F4174">
        <f>VLOOKUP(C4174,Меню!A:E,5,0)</f>
        <v>150</v>
      </c>
    </row>
    <row r="4175" spans="1:6" ht="15.75" hidden="1" customHeight="1" x14ac:dyDescent="0.35">
      <c r="A4175" s="1">
        <v>4174</v>
      </c>
      <c r="B4175" s="1">
        <v>810</v>
      </c>
      <c r="C4175" s="1">
        <v>36</v>
      </c>
      <c r="D4175" t="str">
        <f>VLOOKUP(B4175,Заказы!A:C,3,0)</f>
        <v>2023-09-17 21:18:00</v>
      </c>
      <c r="E4175" t="str">
        <f>VLOOKUP(C4175,Меню!A:E,4,0)</f>
        <v>Десерт</v>
      </c>
      <c r="F4175">
        <f>VLOOKUP(C4175,Меню!A:E,5,0)</f>
        <v>150</v>
      </c>
    </row>
    <row r="4176" spans="1:6" ht="15.75" hidden="1" customHeight="1" x14ac:dyDescent="0.35">
      <c r="A4176" s="1">
        <v>4175</v>
      </c>
      <c r="B4176" s="1">
        <v>810</v>
      </c>
      <c r="C4176" s="1">
        <v>50</v>
      </c>
      <c r="D4176" t="str">
        <f>VLOOKUP(B4176,Заказы!A:C,3,0)</f>
        <v>2023-09-17 21:18:00</v>
      </c>
      <c r="E4176" t="str">
        <f>VLOOKUP(C4176,Меню!A:E,4,0)</f>
        <v>Суши</v>
      </c>
      <c r="F4176">
        <f>VLOOKUP(C4176,Меню!A:E,5,0)</f>
        <v>200</v>
      </c>
    </row>
    <row r="4177" spans="1:6" ht="15.75" hidden="1" customHeight="1" x14ac:dyDescent="0.35">
      <c r="A4177" s="1">
        <v>4176</v>
      </c>
      <c r="B4177" s="1">
        <v>810</v>
      </c>
      <c r="C4177" s="1">
        <v>6</v>
      </c>
      <c r="D4177" t="str">
        <f>VLOOKUP(B4177,Заказы!A:C,3,0)</f>
        <v>2023-09-17 21:18:00</v>
      </c>
      <c r="E4177" t="str">
        <f>VLOOKUP(C4177,Меню!A:E,4,0)</f>
        <v>Завтрак</v>
      </c>
      <c r="F4177">
        <f>VLOOKUP(C4177,Меню!A:E,5,0)</f>
        <v>300</v>
      </c>
    </row>
    <row r="4178" spans="1:6" ht="15.75" hidden="1" customHeight="1" x14ac:dyDescent="0.35">
      <c r="A4178" s="1">
        <v>4177</v>
      </c>
      <c r="B4178" s="1">
        <v>811</v>
      </c>
      <c r="C4178" s="1">
        <v>9</v>
      </c>
      <c r="D4178" t="str">
        <f>VLOOKUP(B4178,Заказы!A:C,3,0)</f>
        <v>2023-09-17 22:46:00</v>
      </c>
      <c r="E4178" t="str">
        <f>VLOOKUP(C4178,Меню!A:E,4,0)</f>
        <v>Завтрак</v>
      </c>
      <c r="F4178">
        <f>VLOOKUP(C4178,Меню!A:E,5,0)</f>
        <v>220</v>
      </c>
    </row>
    <row r="4179" spans="1:6" ht="15.75" hidden="1" customHeight="1" x14ac:dyDescent="0.35">
      <c r="A4179" s="1">
        <v>4178</v>
      </c>
      <c r="B4179" s="1">
        <v>812</v>
      </c>
      <c r="C4179" s="1">
        <v>29</v>
      </c>
      <c r="D4179" t="str">
        <f>VLOOKUP(B4179,Заказы!A:C,3,0)</f>
        <v>2023-09-18 17:57:00</v>
      </c>
      <c r="E4179" t="str">
        <f>VLOOKUP(C4179,Меню!A:E,4,0)</f>
        <v>Салат</v>
      </c>
      <c r="F4179">
        <f>VLOOKUP(C4179,Меню!A:E,5,0)</f>
        <v>250</v>
      </c>
    </row>
    <row r="4180" spans="1:6" ht="15.75" hidden="1" customHeight="1" x14ac:dyDescent="0.35">
      <c r="A4180" s="1">
        <v>4179</v>
      </c>
      <c r="B4180" s="1">
        <v>812</v>
      </c>
      <c r="C4180" s="1">
        <v>8</v>
      </c>
      <c r="D4180" t="str">
        <f>VLOOKUP(B4180,Заказы!A:C,3,0)</f>
        <v>2023-09-18 17:57:00</v>
      </c>
      <c r="E4180" t="str">
        <f>VLOOKUP(C4180,Меню!A:E,4,0)</f>
        <v>Завтрак</v>
      </c>
      <c r="F4180">
        <f>VLOOKUP(C4180,Меню!A:E,5,0)</f>
        <v>180</v>
      </c>
    </row>
    <row r="4181" spans="1:6" ht="15.75" hidden="1" customHeight="1" x14ac:dyDescent="0.35">
      <c r="A4181" s="1">
        <v>4180</v>
      </c>
      <c r="B4181" s="1">
        <v>813</v>
      </c>
      <c r="C4181" s="1">
        <v>23</v>
      </c>
      <c r="D4181" t="str">
        <f>VLOOKUP(B4181,Заказы!A:C,3,0)</f>
        <v>2023-09-18 18:03:00</v>
      </c>
      <c r="E4181" t="str">
        <f>VLOOKUP(C4181,Меню!A:E,4,0)</f>
        <v>Салат</v>
      </c>
      <c r="F4181">
        <f>VLOOKUP(C4181,Меню!A:E,5,0)</f>
        <v>250</v>
      </c>
    </row>
    <row r="4182" spans="1:6" ht="15.75" hidden="1" customHeight="1" x14ac:dyDescent="0.35">
      <c r="A4182" s="1">
        <v>4181</v>
      </c>
      <c r="B4182" s="1">
        <v>813</v>
      </c>
      <c r="C4182" s="1">
        <v>8</v>
      </c>
      <c r="D4182" t="str">
        <f>VLOOKUP(B4182,Заказы!A:C,3,0)</f>
        <v>2023-09-18 18:03:00</v>
      </c>
      <c r="E4182" t="str">
        <f>VLOOKUP(C4182,Меню!A:E,4,0)</f>
        <v>Завтрак</v>
      </c>
      <c r="F4182">
        <f>VLOOKUP(C4182,Меню!A:E,5,0)</f>
        <v>180</v>
      </c>
    </row>
    <row r="4183" spans="1:6" ht="15.75" hidden="1" customHeight="1" x14ac:dyDescent="0.35">
      <c r="A4183" s="1">
        <v>4182</v>
      </c>
      <c r="B4183" s="1">
        <v>814</v>
      </c>
      <c r="C4183" s="1">
        <v>15</v>
      </c>
      <c r="D4183" t="str">
        <f>VLOOKUP(B4183,Заказы!A:C,3,0)</f>
        <v>2023-09-18 19:51:00</v>
      </c>
      <c r="E4183" t="str">
        <f>VLOOKUP(C4183,Меню!A:E,4,0)</f>
        <v>Первое</v>
      </c>
      <c r="F4183">
        <f>VLOOKUP(C4183,Меню!A:E,5,0)</f>
        <v>250</v>
      </c>
    </row>
    <row r="4184" spans="1:6" ht="15.75" hidden="1" customHeight="1" x14ac:dyDescent="0.35">
      <c r="A4184" s="1">
        <v>4183</v>
      </c>
      <c r="B4184" s="1">
        <v>814</v>
      </c>
      <c r="C4184" s="1">
        <v>17</v>
      </c>
      <c r="D4184" t="str">
        <f>VLOOKUP(B4184,Заказы!A:C,3,0)</f>
        <v>2023-09-18 19:51:00</v>
      </c>
      <c r="E4184" t="str">
        <f>VLOOKUP(C4184,Меню!A:E,4,0)</f>
        <v>Первое</v>
      </c>
      <c r="F4184">
        <f>VLOOKUP(C4184,Меню!A:E,5,0)</f>
        <v>250</v>
      </c>
    </row>
    <row r="4185" spans="1:6" ht="15.75" hidden="1" customHeight="1" x14ac:dyDescent="0.35">
      <c r="A4185" s="1">
        <v>4184</v>
      </c>
      <c r="B4185" s="1">
        <v>814</v>
      </c>
      <c r="C4185" s="1">
        <v>27</v>
      </c>
      <c r="D4185" t="str">
        <f>VLOOKUP(B4185,Заказы!A:C,3,0)</f>
        <v>2023-09-18 19:51:00</v>
      </c>
      <c r="E4185" t="str">
        <f>VLOOKUP(C4185,Меню!A:E,4,0)</f>
        <v>Салат</v>
      </c>
      <c r="F4185">
        <f>VLOOKUP(C4185,Меню!A:E,5,0)</f>
        <v>250</v>
      </c>
    </row>
    <row r="4186" spans="1:6" ht="15.75" hidden="1" customHeight="1" x14ac:dyDescent="0.35">
      <c r="A4186" s="1">
        <v>4185</v>
      </c>
      <c r="B4186" s="1">
        <v>814</v>
      </c>
      <c r="C4186" s="1">
        <v>36</v>
      </c>
      <c r="D4186" t="str">
        <f>VLOOKUP(B4186,Заказы!A:C,3,0)</f>
        <v>2023-09-18 19:51:00</v>
      </c>
      <c r="E4186" t="str">
        <f>VLOOKUP(C4186,Меню!A:E,4,0)</f>
        <v>Десерт</v>
      </c>
      <c r="F4186">
        <f>VLOOKUP(C4186,Меню!A:E,5,0)</f>
        <v>150</v>
      </c>
    </row>
    <row r="4187" spans="1:6" ht="15.75" hidden="1" customHeight="1" x14ac:dyDescent="0.35">
      <c r="A4187" s="1">
        <v>4186</v>
      </c>
      <c r="B4187" s="1">
        <v>814</v>
      </c>
      <c r="C4187" s="1">
        <v>4</v>
      </c>
      <c r="D4187" t="str">
        <f>VLOOKUP(B4187,Заказы!A:C,3,0)</f>
        <v>2023-09-18 19:51:00</v>
      </c>
      <c r="E4187" t="str">
        <f>VLOOKUP(C4187,Меню!A:E,4,0)</f>
        <v>Завтрак</v>
      </c>
      <c r="F4187">
        <f>VLOOKUP(C4187,Меню!A:E,5,0)</f>
        <v>180</v>
      </c>
    </row>
    <row r="4188" spans="1:6" ht="15.75" hidden="1" customHeight="1" x14ac:dyDescent="0.35">
      <c r="A4188" s="1">
        <v>4187</v>
      </c>
      <c r="B4188" s="1">
        <v>814</v>
      </c>
      <c r="C4188" s="1">
        <v>6</v>
      </c>
      <c r="D4188" t="str">
        <f>VLOOKUP(B4188,Заказы!A:C,3,0)</f>
        <v>2023-09-18 19:51:00</v>
      </c>
      <c r="E4188" t="str">
        <f>VLOOKUP(C4188,Меню!A:E,4,0)</f>
        <v>Завтрак</v>
      </c>
      <c r="F4188">
        <f>VLOOKUP(C4188,Меню!A:E,5,0)</f>
        <v>300</v>
      </c>
    </row>
    <row r="4189" spans="1:6" ht="15.75" hidden="1" customHeight="1" x14ac:dyDescent="0.35">
      <c r="A4189" s="1">
        <v>4188</v>
      </c>
      <c r="B4189" s="1">
        <v>814</v>
      </c>
      <c r="C4189" s="1">
        <v>46</v>
      </c>
      <c r="D4189" t="str">
        <f>VLOOKUP(B4189,Заказы!A:C,3,0)</f>
        <v>2023-09-18 19:51:00</v>
      </c>
      <c r="E4189" t="str">
        <f>VLOOKUP(C4189,Меню!A:E,4,0)</f>
        <v>Суши</v>
      </c>
      <c r="F4189">
        <f>VLOOKUP(C4189,Меню!A:E,5,0)</f>
        <v>200</v>
      </c>
    </row>
    <row r="4190" spans="1:6" ht="15.75" hidden="1" customHeight="1" x14ac:dyDescent="0.35">
      <c r="A4190" s="1">
        <v>4189</v>
      </c>
      <c r="B4190" s="1">
        <v>814</v>
      </c>
      <c r="C4190" s="1">
        <v>36</v>
      </c>
      <c r="D4190" t="str">
        <f>VLOOKUP(B4190,Заказы!A:C,3,0)</f>
        <v>2023-09-18 19:51:00</v>
      </c>
      <c r="E4190" t="str">
        <f>VLOOKUP(C4190,Меню!A:E,4,0)</f>
        <v>Десерт</v>
      </c>
      <c r="F4190">
        <f>VLOOKUP(C4190,Меню!A:E,5,0)</f>
        <v>150</v>
      </c>
    </row>
    <row r="4191" spans="1:6" ht="15.75" hidden="1" customHeight="1" x14ac:dyDescent="0.35">
      <c r="A4191" s="1">
        <v>4190</v>
      </c>
      <c r="B4191" s="1">
        <v>815</v>
      </c>
      <c r="C4191" s="1">
        <v>39</v>
      </c>
      <c r="D4191" t="str">
        <f>VLOOKUP(B4191,Заказы!A:C,3,0)</f>
        <v>2023-09-18 21:24:00</v>
      </c>
      <c r="E4191" t="str">
        <f>VLOOKUP(C4191,Меню!A:E,4,0)</f>
        <v>Десерт</v>
      </c>
      <c r="F4191">
        <f>VLOOKUP(C4191,Меню!A:E,5,0)</f>
        <v>150</v>
      </c>
    </row>
    <row r="4192" spans="1:6" ht="15.75" hidden="1" customHeight="1" x14ac:dyDescent="0.35">
      <c r="A4192" s="1">
        <v>4191</v>
      </c>
      <c r="B4192" s="1">
        <v>815</v>
      </c>
      <c r="C4192" s="1">
        <v>54</v>
      </c>
      <c r="D4192" t="str">
        <f>VLOOKUP(B4192,Заказы!A:C,3,0)</f>
        <v>2023-09-18 21:24:00</v>
      </c>
      <c r="E4192" t="str">
        <f>VLOOKUP(C4192,Меню!A:E,4,0)</f>
        <v>Суши</v>
      </c>
      <c r="F4192">
        <f>VLOOKUP(C4192,Меню!A:E,5,0)</f>
        <v>100</v>
      </c>
    </row>
    <row r="4193" spans="1:6" ht="15.75" hidden="1" customHeight="1" x14ac:dyDescent="0.35">
      <c r="A4193" s="1">
        <v>4192</v>
      </c>
      <c r="B4193" s="1">
        <v>815</v>
      </c>
      <c r="C4193" s="1">
        <v>49</v>
      </c>
      <c r="D4193" t="str">
        <f>VLOOKUP(B4193,Заказы!A:C,3,0)</f>
        <v>2023-09-18 21:24:00</v>
      </c>
      <c r="E4193" t="str">
        <f>VLOOKUP(C4193,Меню!A:E,4,0)</f>
        <v>Суши</v>
      </c>
      <c r="F4193">
        <f>VLOOKUP(C4193,Меню!A:E,5,0)</f>
        <v>200</v>
      </c>
    </row>
    <row r="4194" spans="1:6" ht="15.75" hidden="1" customHeight="1" x14ac:dyDescent="0.35">
      <c r="A4194" s="1">
        <v>4193</v>
      </c>
      <c r="B4194" s="1">
        <v>815</v>
      </c>
      <c r="C4194" s="1">
        <v>16</v>
      </c>
      <c r="D4194" t="str">
        <f>VLOOKUP(B4194,Заказы!A:C,3,0)</f>
        <v>2023-09-18 21:24:00</v>
      </c>
      <c r="E4194" t="str">
        <f>VLOOKUP(C4194,Меню!A:E,4,0)</f>
        <v>Первое</v>
      </c>
      <c r="F4194">
        <f>VLOOKUP(C4194,Меню!A:E,5,0)</f>
        <v>250</v>
      </c>
    </row>
    <row r="4195" spans="1:6" ht="15.75" hidden="1" customHeight="1" x14ac:dyDescent="0.35">
      <c r="A4195" s="1">
        <v>4194</v>
      </c>
      <c r="B4195" s="1">
        <v>815</v>
      </c>
      <c r="C4195" s="1">
        <v>3</v>
      </c>
      <c r="D4195" t="str">
        <f>VLOOKUP(B4195,Заказы!A:C,3,0)</f>
        <v>2023-09-18 21:24:00</v>
      </c>
      <c r="E4195" t="str">
        <f>VLOOKUP(C4195,Меню!A:E,4,0)</f>
        <v>Завтрак</v>
      </c>
      <c r="F4195">
        <f>VLOOKUP(C4195,Меню!A:E,5,0)</f>
        <v>150</v>
      </c>
    </row>
    <row r="4196" spans="1:6" ht="15.75" hidden="1" customHeight="1" x14ac:dyDescent="0.35">
      <c r="A4196" s="1">
        <v>4195</v>
      </c>
      <c r="B4196" s="1">
        <v>815</v>
      </c>
      <c r="C4196" s="1">
        <v>25</v>
      </c>
      <c r="D4196" t="str">
        <f>VLOOKUP(B4196,Заказы!A:C,3,0)</f>
        <v>2023-09-18 21:24:00</v>
      </c>
      <c r="E4196" t="str">
        <f>VLOOKUP(C4196,Меню!A:E,4,0)</f>
        <v>Салат</v>
      </c>
      <c r="F4196">
        <f>VLOOKUP(C4196,Меню!A:E,5,0)</f>
        <v>250</v>
      </c>
    </row>
    <row r="4197" spans="1:6" ht="15.75" hidden="1" customHeight="1" x14ac:dyDescent="0.35">
      <c r="A4197" s="1">
        <v>4196</v>
      </c>
      <c r="B4197" s="1">
        <v>816</v>
      </c>
      <c r="C4197" s="1">
        <v>18</v>
      </c>
      <c r="D4197" t="str">
        <f>VLOOKUP(B4197,Заказы!A:C,3,0)</f>
        <v>2023-09-18 21:50:00</v>
      </c>
      <c r="E4197" t="str">
        <f>VLOOKUP(C4197,Меню!A:E,4,0)</f>
        <v>Первое</v>
      </c>
      <c r="F4197">
        <f>VLOOKUP(C4197,Меню!A:E,5,0)</f>
        <v>300</v>
      </c>
    </row>
    <row r="4198" spans="1:6" ht="15.75" hidden="1" customHeight="1" x14ac:dyDescent="0.35">
      <c r="A4198" s="1">
        <v>4197</v>
      </c>
      <c r="B4198" s="1">
        <v>816</v>
      </c>
      <c r="C4198" s="1">
        <v>48</v>
      </c>
      <c r="D4198" t="str">
        <f>VLOOKUP(B4198,Заказы!A:C,3,0)</f>
        <v>2023-09-18 21:50:00</v>
      </c>
      <c r="E4198" t="str">
        <f>VLOOKUP(C4198,Меню!A:E,4,0)</f>
        <v>Суши</v>
      </c>
      <c r="F4198">
        <f>VLOOKUP(C4198,Меню!A:E,5,0)</f>
        <v>200</v>
      </c>
    </row>
    <row r="4199" spans="1:6" ht="15.75" hidden="1" customHeight="1" x14ac:dyDescent="0.35">
      <c r="A4199" s="1">
        <v>4198</v>
      </c>
      <c r="B4199" s="1">
        <v>816</v>
      </c>
      <c r="C4199" s="1">
        <v>23</v>
      </c>
      <c r="D4199" t="str">
        <f>VLOOKUP(B4199,Заказы!A:C,3,0)</f>
        <v>2023-09-18 21:50:00</v>
      </c>
      <c r="E4199" t="str">
        <f>VLOOKUP(C4199,Меню!A:E,4,0)</f>
        <v>Салат</v>
      </c>
      <c r="F4199">
        <f>VLOOKUP(C4199,Меню!A:E,5,0)</f>
        <v>250</v>
      </c>
    </row>
    <row r="4200" spans="1:6" ht="15.75" hidden="1" customHeight="1" x14ac:dyDescent="0.35">
      <c r="A4200" s="1">
        <v>4199</v>
      </c>
      <c r="B4200" s="1">
        <v>816</v>
      </c>
      <c r="C4200" s="1">
        <v>8</v>
      </c>
      <c r="D4200" t="str">
        <f>VLOOKUP(B4200,Заказы!A:C,3,0)</f>
        <v>2023-09-18 21:50:00</v>
      </c>
      <c r="E4200" t="str">
        <f>VLOOKUP(C4200,Меню!A:E,4,0)</f>
        <v>Завтрак</v>
      </c>
      <c r="F4200">
        <f>VLOOKUP(C4200,Меню!A:E,5,0)</f>
        <v>180</v>
      </c>
    </row>
    <row r="4201" spans="1:6" ht="15.75" hidden="1" customHeight="1" x14ac:dyDescent="0.35">
      <c r="A4201" s="1">
        <v>4200</v>
      </c>
      <c r="B4201" s="1">
        <v>817</v>
      </c>
      <c r="C4201" s="1">
        <v>23</v>
      </c>
      <c r="D4201" t="str">
        <f>VLOOKUP(B4201,Заказы!A:C,3,0)</f>
        <v>2023-09-19 17:36:00</v>
      </c>
      <c r="E4201" t="str">
        <f>VLOOKUP(C4201,Меню!A:E,4,0)</f>
        <v>Салат</v>
      </c>
      <c r="F4201">
        <f>VLOOKUP(C4201,Меню!A:E,5,0)</f>
        <v>250</v>
      </c>
    </row>
    <row r="4202" spans="1:6" ht="15.75" hidden="1" customHeight="1" x14ac:dyDescent="0.35">
      <c r="A4202" s="1">
        <v>4201</v>
      </c>
      <c r="B4202" s="1">
        <v>818</v>
      </c>
      <c r="C4202" s="1">
        <v>14</v>
      </c>
      <c r="D4202" t="str">
        <f>VLOOKUP(B4202,Заказы!A:C,3,0)</f>
        <v>2023-09-19 18:08:00</v>
      </c>
      <c r="E4202" t="str">
        <f>VLOOKUP(C4202,Меню!A:E,4,0)</f>
        <v>Первое</v>
      </c>
      <c r="F4202">
        <f>VLOOKUP(C4202,Меню!A:E,5,0)</f>
        <v>350</v>
      </c>
    </row>
    <row r="4203" spans="1:6" ht="15.75" hidden="1" customHeight="1" x14ac:dyDescent="0.35">
      <c r="A4203" s="1">
        <v>4202</v>
      </c>
      <c r="B4203" s="1">
        <v>818</v>
      </c>
      <c r="C4203" s="1">
        <v>25</v>
      </c>
      <c r="D4203" t="str">
        <f>VLOOKUP(B4203,Заказы!A:C,3,0)</f>
        <v>2023-09-19 18:08:00</v>
      </c>
      <c r="E4203" t="str">
        <f>VLOOKUP(C4203,Меню!A:E,4,0)</f>
        <v>Салат</v>
      </c>
      <c r="F4203">
        <f>VLOOKUP(C4203,Меню!A:E,5,0)</f>
        <v>250</v>
      </c>
    </row>
    <row r="4204" spans="1:6" ht="15.75" hidden="1" customHeight="1" x14ac:dyDescent="0.35">
      <c r="A4204" s="1">
        <v>4203</v>
      </c>
      <c r="B4204" s="1">
        <v>818</v>
      </c>
      <c r="C4204" s="1">
        <v>3</v>
      </c>
      <c r="D4204" t="str">
        <f>VLOOKUP(B4204,Заказы!A:C,3,0)</f>
        <v>2023-09-19 18:08:00</v>
      </c>
      <c r="E4204" t="str">
        <f>VLOOKUP(C4204,Меню!A:E,4,0)</f>
        <v>Завтрак</v>
      </c>
      <c r="F4204">
        <f>VLOOKUP(C4204,Меню!A:E,5,0)</f>
        <v>150</v>
      </c>
    </row>
    <row r="4205" spans="1:6" ht="15.75" hidden="1" customHeight="1" x14ac:dyDescent="0.35">
      <c r="A4205" s="1">
        <v>4204</v>
      </c>
      <c r="B4205" s="1">
        <v>818</v>
      </c>
      <c r="C4205" s="1">
        <v>49</v>
      </c>
      <c r="D4205" t="str">
        <f>VLOOKUP(B4205,Заказы!A:C,3,0)</f>
        <v>2023-09-19 18:08:00</v>
      </c>
      <c r="E4205" t="str">
        <f>VLOOKUP(C4205,Меню!A:E,4,0)</f>
        <v>Суши</v>
      </c>
      <c r="F4205">
        <f>VLOOKUP(C4205,Меню!A:E,5,0)</f>
        <v>200</v>
      </c>
    </row>
    <row r="4206" spans="1:6" ht="15.75" hidden="1" customHeight="1" x14ac:dyDescent="0.35">
      <c r="A4206" s="1">
        <v>4205</v>
      </c>
      <c r="B4206" s="1">
        <v>818</v>
      </c>
      <c r="C4206" s="1">
        <v>59</v>
      </c>
      <c r="D4206" t="str">
        <f>VLOOKUP(B4206,Заказы!A:C,3,0)</f>
        <v>2023-09-19 18:08:00</v>
      </c>
      <c r="E4206" t="str">
        <f>VLOOKUP(C4206,Меню!A:E,4,0)</f>
        <v>Суши</v>
      </c>
      <c r="F4206">
        <f>VLOOKUP(C4206,Меню!A:E,5,0)</f>
        <v>300</v>
      </c>
    </row>
    <row r="4207" spans="1:6" ht="15.75" hidden="1" customHeight="1" x14ac:dyDescent="0.35">
      <c r="A4207" s="1">
        <v>4206</v>
      </c>
      <c r="B4207" s="1">
        <v>819</v>
      </c>
      <c r="C4207" s="1">
        <v>14</v>
      </c>
      <c r="D4207" t="str">
        <f>VLOOKUP(B4207,Заказы!A:C,3,0)</f>
        <v>2023-09-19 20:16:00</v>
      </c>
      <c r="E4207" t="str">
        <f>VLOOKUP(C4207,Меню!A:E,4,0)</f>
        <v>Первое</v>
      </c>
      <c r="F4207">
        <f>VLOOKUP(C4207,Меню!A:E,5,0)</f>
        <v>350</v>
      </c>
    </row>
    <row r="4208" spans="1:6" ht="15.75" hidden="1" customHeight="1" x14ac:dyDescent="0.35">
      <c r="A4208" s="1">
        <v>4207</v>
      </c>
      <c r="B4208" s="1">
        <v>819</v>
      </c>
      <c r="C4208" s="1">
        <v>36</v>
      </c>
      <c r="D4208" t="str">
        <f>VLOOKUP(B4208,Заказы!A:C,3,0)</f>
        <v>2023-09-19 20:16:00</v>
      </c>
      <c r="E4208" t="str">
        <f>VLOOKUP(C4208,Меню!A:E,4,0)</f>
        <v>Десерт</v>
      </c>
      <c r="F4208">
        <f>VLOOKUP(C4208,Меню!A:E,5,0)</f>
        <v>150</v>
      </c>
    </row>
    <row r="4209" spans="1:6" ht="15.75" hidden="1" customHeight="1" x14ac:dyDescent="0.35">
      <c r="A4209" s="1">
        <v>4208</v>
      </c>
      <c r="B4209" s="1">
        <v>820</v>
      </c>
      <c r="C4209" s="1">
        <v>21</v>
      </c>
      <c r="D4209" t="str">
        <f>VLOOKUP(B4209,Заказы!A:C,3,0)</f>
        <v>2023-09-19 20:42:00</v>
      </c>
      <c r="E4209" t="str">
        <f>VLOOKUP(C4209,Меню!A:E,4,0)</f>
        <v>Салат</v>
      </c>
      <c r="F4209">
        <f>VLOOKUP(C4209,Меню!A:E,5,0)</f>
        <v>250</v>
      </c>
    </row>
    <row r="4210" spans="1:6" ht="15.75" hidden="1" customHeight="1" x14ac:dyDescent="0.35">
      <c r="A4210" s="1">
        <v>4209</v>
      </c>
      <c r="B4210" s="1">
        <v>820</v>
      </c>
      <c r="C4210" s="1">
        <v>58</v>
      </c>
      <c r="D4210" t="str">
        <f>VLOOKUP(B4210,Заказы!A:C,3,0)</f>
        <v>2023-09-19 20:42:00</v>
      </c>
      <c r="E4210" t="str">
        <f>VLOOKUP(C4210,Меню!A:E,4,0)</f>
        <v>Суши</v>
      </c>
      <c r="F4210">
        <f>VLOOKUP(C4210,Меню!A:E,5,0)</f>
        <v>200</v>
      </c>
    </row>
    <row r="4211" spans="1:6" ht="15.75" hidden="1" customHeight="1" x14ac:dyDescent="0.35">
      <c r="A4211" s="1">
        <v>4210</v>
      </c>
      <c r="B4211" s="1">
        <v>820</v>
      </c>
      <c r="C4211" s="1">
        <v>16</v>
      </c>
      <c r="D4211" t="str">
        <f>VLOOKUP(B4211,Заказы!A:C,3,0)</f>
        <v>2023-09-19 20:42:00</v>
      </c>
      <c r="E4211" t="str">
        <f>VLOOKUP(C4211,Меню!A:E,4,0)</f>
        <v>Первое</v>
      </c>
      <c r="F4211">
        <f>VLOOKUP(C4211,Меню!A:E,5,0)</f>
        <v>250</v>
      </c>
    </row>
    <row r="4212" spans="1:6" ht="15.75" hidden="1" customHeight="1" x14ac:dyDescent="0.35">
      <c r="A4212" s="1">
        <v>4211</v>
      </c>
      <c r="B4212" s="1">
        <v>820</v>
      </c>
      <c r="C4212" s="1">
        <v>30</v>
      </c>
      <c r="D4212" t="str">
        <f>VLOOKUP(B4212,Заказы!A:C,3,0)</f>
        <v>2023-09-19 20:42:00</v>
      </c>
      <c r="E4212" t="str">
        <f>VLOOKUP(C4212,Меню!A:E,4,0)</f>
        <v>Салат</v>
      </c>
      <c r="F4212">
        <f>VLOOKUP(C4212,Меню!A:E,5,0)</f>
        <v>250</v>
      </c>
    </row>
    <row r="4213" spans="1:6" ht="15.75" hidden="1" customHeight="1" x14ac:dyDescent="0.35">
      <c r="A4213" s="1">
        <v>4212</v>
      </c>
      <c r="B4213" s="1">
        <v>821</v>
      </c>
      <c r="C4213" s="1">
        <v>12</v>
      </c>
      <c r="D4213" t="str">
        <f>VLOOKUP(B4213,Заказы!A:C,3,0)</f>
        <v>2023-09-19 22:01:00</v>
      </c>
      <c r="E4213" t="str">
        <f>VLOOKUP(C4213,Меню!A:E,4,0)</f>
        <v>Первое</v>
      </c>
      <c r="F4213">
        <f>VLOOKUP(C4213,Меню!A:E,5,0)</f>
        <v>300</v>
      </c>
    </row>
    <row r="4214" spans="1:6" ht="15.75" hidden="1" customHeight="1" x14ac:dyDescent="0.35">
      <c r="A4214" s="1">
        <v>4213</v>
      </c>
      <c r="B4214" s="1">
        <v>821</v>
      </c>
      <c r="C4214" s="1">
        <v>30</v>
      </c>
      <c r="D4214" t="str">
        <f>VLOOKUP(B4214,Заказы!A:C,3,0)</f>
        <v>2023-09-19 22:01:00</v>
      </c>
      <c r="E4214" t="str">
        <f>VLOOKUP(C4214,Меню!A:E,4,0)</f>
        <v>Салат</v>
      </c>
      <c r="F4214">
        <f>VLOOKUP(C4214,Меню!A:E,5,0)</f>
        <v>250</v>
      </c>
    </row>
    <row r="4215" spans="1:6" ht="15.75" hidden="1" customHeight="1" x14ac:dyDescent="0.35">
      <c r="A4215" s="1">
        <v>4214</v>
      </c>
      <c r="B4215" s="1">
        <v>821</v>
      </c>
      <c r="C4215" s="1">
        <v>38</v>
      </c>
      <c r="D4215" t="str">
        <f>VLOOKUP(B4215,Заказы!A:C,3,0)</f>
        <v>2023-09-19 22:01:00</v>
      </c>
      <c r="E4215" t="str">
        <f>VLOOKUP(C4215,Меню!A:E,4,0)</f>
        <v>Десерт</v>
      </c>
      <c r="F4215">
        <f>VLOOKUP(C4215,Меню!A:E,5,0)</f>
        <v>150</v>
      </c>
    </row>
    <row r="4216" spans="1:6" ht="15.75" hidden="1" customHeight="1" x14ac:dyDescent="0.35">
      <c r="A4216" s="1">
        <v>4215</v>
      </c>
      <c r="B4216" s="1">
        <v>821</v>
      </c>
      <c r="C4216" s="1">
        <v>59</v>
      </c>
      <c r="D4216" t="str">
        <f>VLOOKUP(B4216,Заказы!A:C,3,0)</f>
        <v>2023-09-19 22:01:00</v>
      </c>
      <c r="E4216" t="str">
        <f>VLOOKUP(C4216,Меню!A:E,4,0)</f>
        <v>Суши</v>
      </c>
      <c r="F4216">
        <f>VLOOKUP(C4216,Меню!A:E,5,0)</f>
        <v>300</v>
      </c>
    </row>
    <row r="4217" spans="1:6" ht="15.75" hidden="1" customHeight="1" x14ac:dyDescent="0.35">
      <c r="A4217" s="1">
        <v>4216</v>
      </c>
      <c r="B4217" s="1">
        <v>821</v>
      </c>
      <c r="C4217" s="1">
        <v>29</v>
      </c>
      <c r="D4217" t="str">
        <f>VLOOKUP(B4217,Заказы!A:C,3,0)</f>
        <v>2023-09-19 22:01:00</v>
      </c>
      <c r="E4217" t="str">
        <f>VLOOKUP(C4217,Меню!A:E,4,0)</f>
        <v>Салат</v>
      </c>
      <c r="F4217">
        <f>VLOOKUP(C4217,Меню!A:E,5,0)</f>
        <v>250</v>
      </c>
    </row>
    <row r="4218" spans="1:6" ht="15.75" hidden="1" customHeight="1" x14ac:dyDescent="0.35">
      <c r="A4218" s="1">
        <v>4217</v>
      </c>
      <c r="B4218" s="1">
        <v>821</v>
      </c>
      <c r="C4218" s="1">
        <v>56</v>
      </c>
      <c r="D4218" t="str">
        <f>VLOOKUP(B4218,Заказы!A:C,3,0)</f>
        <v>2023-09-19 22:01:00</v>
      </c>
      <c r="E4218" t="str">
        <f>VLOOKUP(C4218,Меню!A:E,4,0)</f>
        <v>Суши</v>
      </c>
      <c r="F4218">
        <f>VLOOKUP(C4218,Меню!A:E,5,0)</f>
        <v>200</v>
      </c>
    </row>
    <row r="4219" spans="1:6" ht="15.75" hidden="1" customHeight="1" x14ac:dyDescent="0.35">
      <c r="A4219" s="1">
        <v>4218</v>
      </c>
      <c r="B4219" s="1">
        <v>821</v>
      </c>
      <c r="C4219" s="1">
        <v>39</v>
      </c>
      <c r="D4219" t="str">
        <f>VLOOKUP(B4219,Заказы!A:C,3,0)</f>
        <v>2023-09-19 22:01:00</v>
      </c>
      <c r="E4219" t="str">
        <f>VLOOKUP(C4219,Меню!A:E,4,0)</f>
        <v>Десерт</v>
      </c>
      <c r="F4219">
        <f>VLOOKUP(C4219,Меню!A:E,5,0)</f>
        <v>150</v>
      </c>
    </row>
    <row r="4220" spans="1:6" ht="15.75" hidden="1" customHeight="1" x14ac:dyDescent="0.35">
      <c r="A4220" s="1">
        <v>4219</v>
      </c>
      <c r="B4220" s="1">
        <v>821</v>
      </c>
      <c r="C4220" s="1">
        <v>49</v>
      </c>
      <c r="D4220" t="str">
        <f>VLOOKUP(B4220,Заказы!A:C,3,0)</f>
        <v>2023-09-19 22:01:00</v>
      </c>
      <c r="E4220" t="str">
        <f>VLOOKUP(C4220,Меню!A:E,4,0)</f>
        <v>Суши</v>
      </c>
      <c r="F4220">
        <f>VLOOKUP(C4220,Меню!A:E,5,0)</f>
        <v>200</v>
      </c>
    </row>
    <row r="4221" spans="1:6" ht="15.75" hidden="1" customHeight="1" x14ac:dyDescent="0.35">
      <c r="A4221" s="1">
        <v>4220</v>
      </c>
      <c r="B4221" s="1">
        <v>821</v>
      </c>
      <c r="C4221" s="1">
        <v>32</v>
      </c>
      <c r="D4221" t="str">
        <f>VLOOKUP(B4221,Заказы!A:C,3,0)</f>
        <v>2023-09-19 22:01:00</v>
      </c>
      <c r="E4221" t="str">
        <f>VLOOKUP(C4221,Меню!A:E,4,0)</f>
        <v>Десерт</v>
      </c>
      <c r="F4221">
        <f>VLOOKUP(C4221,Меню!A:E,5,0)</f>
        <v>150</v>
      </c>
    </row>
    <row r="4222" spans="1:6" ht="15.75" hidden="1" customHeight="1" x14ac:dyDescent="0.35">
      <c r="A4222" s="1">
        <v>4221</v>
      </c>
      <c r="B4222" s="1">
        <v>822</v>
      </c>
      <c r="C4222" s="1">
        <v>46</v>
      </c>
      <c r="D4222" t="str">
        <f>VLOOKUP(B4222,Заказы!A:C,3,0)</f>
        <v>2023-09-19 22:35:00</v>
      </c>
      <c r="E4222" t="str">
        <f>VLOOKUP(C4222,Меню!A:E,4,0)</f>
        <v>Суши</v>
      </c>
      <c r="F4222">
        <f>VLOOKUP(C4222,Меню!A:E,5,0)</f>
        <v>200</v>
      </c>
    </row>
    <row r="4223" spans="1:6" ht="15.75" hidden="1" customHeight="1" x14ac:dyDescent="0.35">
      <c r="A4223" s="1">
        <v>4222</v>
      </c>
      <c r="B4223" s="1">
        <v>822</v>
      </c>
      <c r="C4223" s="1">
        <v>29</v>
      </c>
      <c r="D4223" t="str">
        <f>VLOOKUP(B4223,Заказы!A:C,3,0)</f>
        <v>2023-09-19 22:35:00</v>
      </c>
      <c r="E4223" t="str">
        <f>VLOOKUP(C4223,Меню!A:E,4,0)</f>
        <v>Салат</v>
      </c>
      <c r="F4223">
        <f>VLOOKUP(C4223,Меню!A:E,5,0)</f>
        <v>250</v>
      </c>
    </row>
    <row r="4224" spans="1:6" ht="15.75" hidden="1" customHeight="1" x14ac:dyDescent="0.35">
      <c r="A4224" s="1">
        <v>4223</v>
      </c>
      <c r="B4224" s="1">
        <v>822</v>
      </c>
      <c r="C4224" s="1">
        <v>33</v>
      </c>
      <c r="D4224" t="str">
        <f>VLOOKUP(B4224,Заказы!A:C,3,0)</f>
        <v>2023-09-19 22:35:00</v>
      </c>
      <c r="E4224" t="str">
        <f>VLOOKUP(C4224,Меню!A:E,4,0)</f>
        <v>Десерт</v>
      </c>
      <c r="F4224">
        <f>VLOOKUP(C4224,Меню!A:E,5,0)</f>
        <v>150</v>
      </c>
    </row>
    <row r="4225" spans="1:6" ht="15.75" hidden="1" customHeight="1" x14ac:dyDescent="0.35">
      <c r="A4225" s="1">
        <v>4224</v>
      </c>
      <c r="B4225" s="1">
        <v>822</v>
      </c>
      <c r="C4225" s="1">
        <v>20</v>
      </c>
      <c r="D4225" t="str">
        <f>VLOOKUP(B4225,Заказы!A:C,3,0)</f>
        <v>2023-09-19 22:35:00</v>
      </c>
      <c r="E4225" t="str">
        <f>VLOOKUP(C4225,Меню!A:E,4,0)</f>
        <v>Первое</v>
      </c>
      <c r="F4225">
        <f>VLOOKUP(C4225,Меню!A:E,5,0)</f>
        <v>250</v>
      </c>
    </row>
    <row r="4226" spans="1:6" ht="15.75" hidden="1" customHeight="1" x14ac:dyDescent="0.35">
      <c r="A4226" s="1">
        <v>4225</v>
      </c>
      <c r="B4226" s="1">
        <v>822</v>
      </c>
      <c r="C4226" s="1">
        <v>34</v>
      </c>
      <c r="D4226" t="str">
        <f>VLOOKUP(B4226,Заказы!A:C,3,0)</f>
        <v>2023-09-19 22:35:00</v>
      </c>
      <c r="E4226" t="str">
        <f>VLOOKUP(C4226,Меню!A:E,4,0)</f>
        <v>Десерт</v>
      </c>
      <c r="F4226">
        <f>VLOOKUP(C4226,Меню!A:E,5,0)</f>
        <v>150</v>
      </c>
    </row>
    <row r="4227" spans="1:6" ht="15.75" hidden="1" customHeight="1" x14ac:dyDescent="0.35">
      <c r="A4227" s="1">
        <v>4226</v>
      </c>
      <c r="B4227" s="1">
        <v>822</v>
      </c>
      <c r="C4227" s="1">
        <v>25</v>
      </c>
      <c r="D4227" t="str">
        <f>VLOOKUP(B4227,Заказы!A:C,3,0)</f>
        <v>2023-09-19 22:35:00</v>
      </c>
      <c r="E4227" t="str">
        <f>VLOOKUP(C4227,Меню!A:E,4,0)</f>
        <v>Салат</v>
      </c>
      <c r="F4227">
        <f>VLOOKUP(C4227,Меню!A:E,5,0)</f>
        <v>250</v>
      </c>
    </row>
    <row r="4228" spans="1:6" ht="15.75" hidden="1" customHeight="1" x14ac:dyDescent="0.35">
      <c r="A4228" s="1">
        <v>4227</v>
      </c>
      <c r="B4228" s="1">
        <v>822</v>
      </c>
      <c r="C4228" s="1">
        <v>58</v>
      </c>
      <c r="D4228" t="str">
        <f>VLOOKUP(B4228,Заказы!A:C,3,0)</f>
        <v>2023-09-19 22:35:00</v>
      </c>
      <c r="E4228" t="str">
        <f>VLOOKUP(C4228,Меню!A:E,4,0)</f>
        <v>Суши</v>
      </c>
      <c r="F4228">
        <f>VLOOKUP(C4228,Меню!A:E,5,0)</f>
        <v>200</v>
      </c>
    </row>
    <row r="4229" spans="1:6" ht="15.75" hidden="1" customHeight="1" x14ac:dyDescent="0.35">
      <c r="A4229" s="1">
        <v>4228</v>
      </c>
      <c r="B4229" s="1">
        <v>822</v>
      </c>
      <c r="C4229" s="1">
        <v>37</v>
      </c>
      <c r="D4229" t="str">
        <f>VLOOKUP(B4229,Заказы!A:C,3,0)</f>
        <v>2023-09-19 22:35:00</v>
      </c>
      <c r="E4229" t="str">
        <f>VLOOKUP(C4229,Меню!A:E,4,0)</f>
        <v>Десерт</v>
      </c>
      <c r="F4229">
        <f>VLOOKUP(C4229,Меню!A:E,5,0)</f>
        <v>100</v>
      </c>
    </row>
    <row r="4230" spans="1:6" ht="15.75" hidden="1" customHeight="1" x14ac:dyDescent="0.35">
      <c r="A4230" s="1">
        <v>4229</v>
      </c>
      <c r="B4230" s="1">
        <v>823</v>
      </c>
      <c r="C4230" s="1">
        <v>30</v>
      </c>
      <c r="D4230" t="str">
        <f>VLOOKUP(B4230,Заказы!A:C,3,0)</f>
        <v>2023-09-20 15:58:00</v>
      </c>
      <c r="E4230" t="str">
        <f>VLOOKUP(C4230,Меню!A:E,4,0)</f>
        <v>Салат</v>
      </c>
      <c r="F4230">
        <f>VLOOKUP(C4230,Меню!A:E,5,0)</f>
        <v>250</v>
      </c>
    </row>
    <row r="4231" spans="1:6" ht="15.75" hidden="1" customHeight="1" x14ac:dyDescent="0.35">
      <c r="A4231" s="1">
        <v>4230</v>
      </c>
      <c r="B4231" s="1">
        <v>823</v>
      </c>
      <c r="C4231" s="1">
        <v>38</v>
      </c>
      <c r="D4231" t="str">
        <f>VLOOKUP(B4231,Заказы!A:C,3,0)</f>
        <v>2023-09-20 15:58:00</v>
      </c>
      <c r="E4231" t="str">
        <f>VLOOKUP(C4231,Меню!A:E,4,0)</f>
        <v>Десерт</v>
      </c>
      <c r="F4231">
        <f>VLOOKUP(C4231,Меню!A:E,5,0)</f>
        <v>150</v>
      </c>
    </row>
    <row r="4232" spans="1:6" ht="15.75" hidden="1" customHeight="1" x14ac:dyDescent="0.35">
      <c r="A4232" s="1">
        <v>4231</v>
      </c>
      <c r="B4232" s="1">
        <v>823</v>
      </c>
      <c r="C4232" s="1">
        <v>27</v>
      </c>
      <c r="D4232" t="str">
        <f>VLOOKUP(B4232,Заказы!A:C,3,0)</f>
        <v>2023-09-20 15:58:00</v>
      </c>
      <c r="E4232" t="str">
        <f>VLOOKUP(C4232,Меню!A:E,4,0)</f>
        <v>Салат</v>
      </c>
      <c r="F4232">
        <f>VLOOKUP(C4232,Меню!A:E,5,0)</f>
        <v>250</v>
      </c>
    </row>
    <row r="4233" spans="1:6" ht="15.75" hidden="1" customHeight="1" x14ac:dyDescent="0.35">
      <c r="A4233" s="1">
        <v>4232</v>
      </c>
      <c r="B4233" s="1">
        <v>823</v>
      </c>
      <c r="C4233" s="1">
        <v>60</v>
      </c>
      <c r="D4233" t="str">
        <f>VLOOKUP(B4233,Заказы!A:C,3,0)</f>
        <v>2023-09-20 15:58:00</v>
      </c>
      <c r="E4233" t="str">
        <f>VLOOKUP(C4233,Меню!A:E,4,0)</f>
        <v>Суши</v>
      </c>
      <c r="F4233">
        <f>VLOOKUP(C4233,Меню!A:E,5,0)</f>
        <v>250</v>
      </c>
    </row>
    <row r="4234" spans="1:6" ht="15.75" hidden="1" customHeight="1" x14ac:dyDescent="0.35">
      <c r="A4234" s="1">
        <v>4233</v>
      </c>
      <c r="B4234" s="1">
        <v>823</v>
      </c>
      <c r="C4234" s="1">
        <v>45</v>
      </c>
      <c r="D4234" t="str">
        <f>VLOOKUP(B4234,Заказы!A:C,3,0)</f>
        <v>2023-09-20 15:58:00</v>
      </c>
      <c r="E4234" t="str">
        <f>VLOOKUP(C4234,Меню!A:E,4,0)</f>
        <v>Суши</v>
      </c>
      <c r="F4234">
        <f>VLOOKUP(C4234,Меню!A:E,5,0)</f>
        <v>200</v>
      </c>
    </row>
    <row r="4235" spans="1:6" ht="15.75" hidden="1" customHeight="1" x14ac:dyDescent="0.35">
      <c r="A4235" s="1">
        <v>4234</v>
      </c>
      <c r="B4235" s="1">
        <v>823</v>
      </c>
      <c r="C4235" s="1">
        <v>9</v>
      </c>
      <c r="D4235" t="str">
        <f>VLOOKUP(B4235,Заказы!A:C,3,0)</f>
        <v>2023-09-20 15:58:00</v>
      </c>
      <c r="E4235" t="str">
        <f>VLOOKUP(C4235,Меню!A:E,4,0)</f>
        <v>Завтрак</v>
      </c>
      <c r="F4235">
        <f>VLOOKUP(C4235,Меню!A:E,5,0)</f>
        <v>220</v>
      </c>
    </row>
    <row r="4236" spans="1:6" ht="15.75" hidden="1" customHeight="1" x14ac:dyDescent="0.35">
      <c r="A4236" s="1">
        <v>4235</v>
      </c>
      <c r="B4236" s="1">
        <v>823</v>
      </c>
      <c r="C4236" s="1">
        <v>2</v>
      </c>
      <c r="D4236" t="str">
        <f>VLOOKUP(B4236,Заказы!A:C,3,0)</f>
        <v>2023-09-20 15:58:00</v>
      </c>
      <c r="E4236" t="str">
        <f>VLOOKUP(C4236,Меню!A:E,4,0)</f>
        <v>Завтрак</v>
      </c>
      <c r="F4236">
        <f>VLOOKUP(C4236,Меню!A:E,5,0)</f>
        <v>250</v>
      </c>
    </row>
    <row r="4237" spans="1:6" ht="15.75" hidden="1" customHeight="1" x14ac:dyDescent="0.35">
      <c r="A4237" s="1">
        <v>4236</v>
      </c>
      <c r="B4237" s="1">
        <v>823</v>
      </c>
      <c r="C4237" s="1">
        <v>58</v>
      </c>
      <c r="D4237" t="str">
        <f>VLOOKUP(B4237,Заказы!A:C,3,0)</f>
        <v>2023-09-20 15:58:00</v>
      </c>
      <c r="E4237" t="str">
        <f>VLOOKUP(C4237,Меню!A:E,4,0)</f>
        <v>Суши</v>
      </c>
      <c r="F4237">
        <f>VLOOKUP(C4237,Меню!A:E,5,0)</f>
        <v>200</v>
      </c>
    </row>
    <row r="4238" spans="1:6" ht="15.75" hidden="1" customHeight="1" x14ac:dyDescent="0.35">
      <c r="A4238" s="1">
        <v>4237</v>
      </c>
      <c r="B4238" s="1">
        <v>824</v>
      </c>
      <c r="C4238" s="1">
        <v>21</v>
      </c>
      <c r="D4238" t="str">
        <f>VLOOKUP(B4238,Заказы!A:C,3,0)</f>
        <v>2023-09-20 17:09:00</v>
      </c>
      <c r="E4238" t="str">
        <f>VLOOKUP(C4238,Меню!A:E,4,0)</f>
        <v>Салат</v>
      </c>
      <c r="F4238">
        <f>VLOOKUP(C4238,Меню!A:E,5,0)</f>
        <v>250</v>
      </c>
    </row>
    <row r="4239" spans="1:6" ht="15.75" hidden="1" customHeight="1" x14ac:dyDescent="0.35">
      <c r="A4239" s="1">
        <v>4238</v>
      </c>
      <c r="B4239" s="1">
        <v>824</v>
      </c>
      <c r="C4239" s="1">
        <v>56</v>
      </c>
      <c r="D4239" t="str">
        <f>VLOOKUP(B4239,Заказы!A:C,3,0)</f>
        <v>2023-09-20 17:09:00</v>
      </c>
      <c r="E4239" t="str">
        <f>VLOOKUP(C4239,Меню!A:E,4,0)</f>
        <v>Суши</v>
      </c>
      <c r="F4239">
        <f>VLOOKUP(C4239,Меню!A:E,5,0)</f>
        <v>200</v>
      </c>
    </row>
    <row r="4240" spans="1:6" ht="15.75" hidden="1" customHeight="1" x14ac:dyDescent="0.35">
      <c r="A4240" s="1">
        <v>4239</v>
      </c>
      <c r="B4240" s="1">
        <v>824</v>
      </c>
      <c r="C4240" s="1">
        <v>56</v>
      </c>
      <c r="D4240" t="str">
        <f>VLOOKUP(B4240,Заказы!A:C,3,0)</f>
        <v>2023-09-20 17:09:00</v>
      </c>
      <c r="E4240" t="str">
        <f>VLOOKUP(C4240,Меню!A:E,4,0)</f>
        <v>Суши</v>
      </c>
      <c r="F4240">
        <f>VLOOKUP(C4240,Меню!A:E,5,0)</f>
        <v>200</v>
      </c>
    </row>
    <row r="4241" spans="1:6" ht="15.75" hidden="1" customHeight="1" x14ac:dyDescent="0.35">
      <c r="A4241" s="1">
        <v>4240</v>
      </c>
      <c r="B4241" s="1">
        <v>824</v>
      </c>
      <c r="C4241" s="1">
        <v>43</v>
      </c>
      <c r="D4241" t="str">
        <f>VLOOKUP(B4241,Заказы!A:C,3,0)</f>
        <v>2023-09-20 17:09:00</v>
      </c>
      <c r="E4241" t="str">
        <f>VLOOKUP(C4241,Меню!A:E,4,0)</f>
        <v>Суши</v>
      </c>
      <c r="F4241">
        <f>VLOOKUP(C4241,Меню!A:E,5,0)</f>
        <v>250</v>
      </c>
    </row>
    <row r="4242" spans="1:6" ht="15.75" hidden="1" customHeight="1" x14ac:dyDescent="0.35">
      <c r="A4242" s="1">
        <v>4241</v>
      </c>
      <c r="B4242" s="1">
        <v>824</v>
      </c>
      <c r="C4242" s="1">
        <v>12</v>
      </c>
      <c r="D4242" t="str">
        <f>VLOOKUP(B4242,Заказы!A:C,3,0)</f>
        <v>2023-09-20 17:09:00</v>
      </c>
      <c r="E4242" t="str">
        <f>VLOOKUP(C4242,Меню!A:E,4,0)</f>
        <v>Первое</v>
      </c>
      <c r="F4242">
        <f>VLOOKUP(C4242,Меню!A:E,5,0)</f>
        <v>300</v>
      </c>
    </row>
    <row r="4243" spans="1:6" ht="15.75" hidden="1" customHeight="1" x14ac:dyDescent="0.35">
      <c r="A4243" s="1">
        <v>4242</v>
      </c>
      <c r="B4243" s="1">
        <v>824</v>
      </c>
      <c r="C4243" s="1">
        <v>41</v>
      </c>
      <c r="D4243" t="str">
        <f>VLOOKUP(B4243,Заказы!A:C,3,0)</f>
        <v>2023-09-20 17:09:00</v>
      </c>
      <c r="E4243" t="str">
        <f>VLOOKUP(C4243,Меню!A:E,4,0)</f>
        <v>Суши</v>
      </c>
      <c r="F4243">
        <f>VLOOKUP(C4243,Меню!A:E,5,0)</f>
        <v>220</v>
      </c>
    </row>
    <row r="4244" spans="1:6" ht="15.75" hidden="1" customHeight="1" x14ac:dyDescent="0.35">
      <c r="A4244" s="1">
        <v>4243</v>
      </c>
      <c r="B4244" s="1">
        <v>825</v>
      </c>
      <c r="C4244" s="1">
        <v>53</v>
      </c>
      <c r="D4244" t="str">
        <f>VLOOKUP(B4244,Заказы!A:C,3,0)</f>
        <v>2023-09-20 18:00:00</v>
      </c>
      <c r="E4244" t="str">
        <f>VLOOKUP(C4244,Меню!A:E,4,0)</f>
        <v>Суши</v>
      </c>
      <c r="F4244">
        <f>VLOOKUP(C4244,Меню!A:E,5,0)</f>
        <v>100</v>
      </c>
    </row>
    <row r="4245" spans="1:6" ht="15.75" hidden="1" customHeight="1" x14ac:dyDescent="0.35">
      <c r="A4245" s="1">
        <v>4244</v>
      </c>
      <c r="B4245" s="1">
        <v>825</v>
      </c>
      <c r="C4245" s="1">
        <v>49</v>
      </c>
      <c r="D4245" t="str">
        <f>VLOOKUP(B4245,Заказы!A:C,3,0)</f>
        <v>2023-09-20 18:00:00</v>
      </c>
      <c r="E4245" t="str">
        <f>VLOOKUP(C4245,Меню!A:E,4,0)</f>
        <v>Суши</v>
      </c>
      <c r="F4245">
        <f>VLOOKUP(C4245,Меню!A:E,5,0)</f>
        <v>200</v>
      </c>
    </row>
    <row r="4246" spans="1:6" ht="15.75" hidden="1" customHeight="1" x14ac:dyDescent="0.35">
      <c r="A4246" s="1">
        <v>4245</v>
      </c>
      <c r="B4246" s="1">
        <v>825</v>
      </c>
      <c r="C4246" s="1">
        <v>31</v>
      </c>
      <c r="D4246" t="str">
        <f>VLOOKUP(B4246,Заказы!A:C,3,0)</f>
        <v>2023-09-20 18:00:00</v>
      </c>
      <c r="E4246" t="str">
        <f>VLOOKUP(C4246,Меню!A:E,4,0)</f>
        <v>Десерт</v>
      </c>
      <c r="F4246">
        <f>VLOOKUP(C4246,Меню!A:E,5,0)</f>
        <v>150</v>
      </c>
    </row>
    <row r="4247" spans="1:6" ht="15.75" hidden="1" customHeight="1" x14ac:dyDescent="0.35">
      <c r="A4247" s="1">
        <v>4246</v>
      </c>
      <c r="B4247" s="1">
        <v>825</v>
      </c>
      <c r="C4247" s="1">
        <v>45</v>
      </c>
      <c r="D4247" t="str">
        <f>VLOOKUP(B4247,Заказы!A:C,3,0)</f>
        <v>2023-09-20 18:00:00</v>
      </c>
      <c r="E4247" t="str">
        <f>VLOOKUP(C4247,Меню!A:E,4,0)</f>
        <v>Суши</v>
      </c>
      <c r="F4247">
        <f>VLOOKUP(C4247,Меню!A:E,5,0)</f>
        <v>200</v>
      </c>
    </row>
    <row r="4248" spans="1:6" ht="15.75" hidden="1" customHeight="1" x14ac:dyDescent="0.35">
      <c r="A4248" s="1">
        <v>4247</v>
      </c>
      <c r="B4248" s="1">
        <v>825</v>
      </c>
      <c r="C4248" s="1">
        <v>39</v>
      </c>
      <c r="D4248" t="str">
        <f>VLOOKUP(B4248,Заказы!A:C,3,0)</f>
        <v>2023-09-20 18:00:00</v>
      </c>
      <c r="E4248" t="str">
        <f>VLOOKUP(C4248,Меню!A:E,4,0)</f>
        <v>Десерт</v>
      </c>
      <c r="F4248">
        <f>VLOOKUP(C4248,Меню!A:E,5,0)</f>
        <v>150</v>
      </c>
    </row>
    <row r="4249" spans="1:6" ht="15.75" hidden="1" customHeight="1" x14ac:dyDescent="0.35">
      <c r="A4249" s="1">
        <v>4248</v>
      </c>
      <c r="B4249" s="1">
        <v>826</v>
      </c>
      <c r="C4249" s="1">
        <v>51</v>
      </c>
      <c r="D4249" t="str">
        <f>VLOOKUP(B4249,Заказы!A:C,3,0)</f>
        <v>2023-09-20 18:31:00</v>
      </c>
      <c r="E4249" t="str">
        <f>VLOOKUP(C4249,Меню!A:E,4,0)</f>
        <v>Суши</v>
      </c>
      <c r="F4249">
        <f>VLOOKUP(C4249,Меню!A:E,5,0)</f>
        <v>100</v>
      </c>
    </row>
    <row r="4250" spans="1:6" ht="15.75" hidden="1" customHeight="1" x14ac:dyDescent="0.35">
      <c r="A4250" s="1">
        <v>4249</v>
      </c>
      <c r="B4250" s="1">
        <v>826</v>
      </c>
      <c r="C4250" s="1">
        <v>36</v>
      </c>
      <c r="D4250" t="str">
        <f>VLOOKUP(B4250,Заказы!A:C,3,0)</f>
        <v>2023-09-20 18:31:00</v>
      </c>
      <c r="E4250" t="str">
        <f>VLOOKUP(C4250,Меню!A:E,4,0)</f>
        <v>Десерт</v>
      </c>
      <c r="F4250">
        <f>VLOOKUP(C4250,Меню!A:E,5,0)</f>
        <v>150</v>
      </c>
    </row>
    <row r="4251" spans="1:6" ht="15.75" hidden="1" customHeight="1" x14ac:dyDescent="0.35">
      <c r="A4251" s="1">
        <v>4250</v>
      </c>
      <c r="B4251" s="1">
        <v>826</v>
      </c>
      <c r="C4251" s="1">
        <v>37</v>
      </c>
      <c r="D4251" t="str">
        <f>VLOOKUP(B4251,Заказы!A:C,3,0)</f>
        <v>2023-09-20 18:31:00</v>
      </c>
      <c r="E4251" t="str">
        <f>VLOOKUP(C4251,Меню!A:E,4,0)</f>
        <v>Десерт</v>
      </c>
      <c r="F4251">
        <f>VLOOKUP(C4251,Меню!A:E,5,0)</f>
        <v>100</v>
      </c>
    </row>
    <row r="4252" spans="1:6" ht="15.75" hidden="1" customHeight="1" x14ac:dyDescent="0.35">
      <c r="A4252" s="1">
        <v>4251</v>
      </c>
      <c r="B4252" s="1">
        <v>826</v>
      </c>
      <c r="C4252" s="1">
        <v>24</v>
      </c>
      <c r="D4252" t="str">
        <f>VLOOKUP(B4252,Заказы!A:C,3,0)</f>
        <v>2023-09-20 18:31:00</v>
      </c>
      <c r="E4252" t="str">
        <f>VLOOKUP(C4252,Меню!A:E,4,0)</f>
        <v>Салат</v>
      </c>
      <c r="F4252">
        <f>VLOOKUP(C4252,Меню!A:E,5,0)</f>
        <v>250</v>
      </c>
    </row>
    <row r="4253" spans="1:6" ht="15.75" hidden="1" customHeight="1" x14ac:dyDescent="0.35">
      <c r="A4253" s="1">
        <v>4252</v>
      </c>
      <c r="B4253" s="1">
        <v>826</v>
      </c>
      <c r="C4253" s="1">
        <v>22</v>
      </c>
      <c r="D4253" t="str">
        <f>VLOOKUP(B4253,Заказы!A:C,3,0)</f>
        <v>2023-09-20 18:31:00</v>
      </c>
      <c r="E4253" t="str">
        <f>VLOOKUP(C4253,Меню!A:E,4,0)</f>
        <v>Салат</v>
      </c>
      <c r="F4253">
        <f>VLOOKUP(C4253,Меню!A:E,5,0)</f>
        <v>250</v>
      </c>
    </row>
    <row r="4254" spans="1:6" ht="15.75" hidden="1" customHeight="1" x14ac:dyDescent="0.35">
      <c r="A4254" s="1">
        <v>4253</v>
      </c>
      <c r="B4254" s="1">
        <v>826</v>
      </c>
      <c r="C4254" s="1">
        <v>21</v>
      </c>
      <c r="D4254" t="str">
        <f>VLOOKUP(B4254,Заказы!A:C,3,0)</f>
        <v>2023-09-20 18:31:00</v>
      </c>
      <c r="E4254" t="str">
        <f>VLOOKUP(C4254,Меню!A:E,4,0)</f>
        <v>Салат</v>
      </c>
      <c r="F4254">
        <f>VLOOKUP(C4254,Меню!A:E,5,0)</f>
        <v>250</v>
      </c>
    </row>
    <row r="4255" spans="1:6" ht="15.75" hidden="1" customHeight="1" x14ac:dyDescent="0.35">
      <c r="A4255" s="1">
        <v>4254</v>
      </c>
      <c r="B4255" s="1">
        <v>827</v>
      </c>
      <c r="C4255" s="1">
        <v>47</v>
      </c>
      <c r="D4255" t="str">
        <f>VLOOKUP(B4255,Заказы!A:C,3,0)</f>
        <v>2023-09-20 21:18:00</v>
      </c>
      <c r="E4255" t="str">
        <f>VLOOKUP(C4255,Меню!A:E,4,0)</f>
        <v>Суши</v>
      </c>
      <c r="F4255">
        <f>VLOOKUP(C4255,Меню!A:E,5,0)</f>
        <v>200</v>
      </c>
    </row>
    <row r="4256" spans="1:6" ht="15.75" hidden="1" customHeight="1" x14ac:dyDescent="0.35">
      <c r="A4256" s="1">
        <v>4255</v>
      </c>
      <c r="B4256" s="1">
        <v>827</v>
      </c>
      <c r="C4256" s="1">
        <v>29</v>
      </c>
      <c r="D4256" t="str">
        <f>VLOOKUP(B4256,Заказы!A:C,3,0)</f>
        <v>2023-09-20 21:18:00</v>
      </c>
      <c r="E4256" t="str">
        <f>VLOOKUP(C4256,Меню!A:E,4,0)</f>
        <v>Салат</v>
      </c>
      <c r="F4256">
        <f>VLOOKUP(C4256,Меню!A:E,5,0)</f>
        <v>250</v>
      </c>
    </row>
    <row r="4257" spans="1:6" ht="15.75" hidden="1" customHeight="1" x14ac:dyDescent="0.35">
      <c r="A4257" s="1">
        <v>4256</v>
      </c>
      <c r="B4257" s="1">
        <v>828</v>
      </c>
      <c r="C4257" s="1">
        <v>48</v>
      </c>
      <c r="D4257" t="str">
        <f>VLOOKUP(B4257,Заказы!A:C,3,0)</f>
        <v>2023-09-20 21:58:00</v>
      </c>
      <c r="E4257" t="str">
        <f>VLOOKUP(C4257,Меню!A:E,4,0)</f>
        <v>Суши</v>
      </c>
      <c r="F4257">
        <f>VLOOKUP(C4257,Меню!A:E,5,0)</f>
        <v>200</v>
      </c>
    </row>
    <row r="4258" spans="1:6" ht="15.75" hidden="1" customHeight="1" x14ac:dyDescent="0.35">
      <c r="A4258" s="1">
        <v>4257</v>
      </c>
      <c r="B4258" s="1">
        <v>828</v>
      </c>
      <c r="C4258" s="1">
        <v>47</v>
      </c>
      <c r="D4258" t="str">
        <f>VLOOKUP(B4258,Заказы!A:C,3,0)</f>
        <v>2023-09-20 21:58:00</v>
      </c>
      <c r="E4258" t="str">
        <f>VLOOKUP(C4258,Меню!A:E,4,0)</f>
        <v>Суши</v>
      </c>
      <c r="F4258">
        <f>VLOOKUP(C4258,Меню!A:E,5,0)</f>
        <v>200</v>
      </c>
    </row>
    <row r="4259" spans="1:6" ht="15.75" hidden="1" customHeight="1" x14ac:dyDescent="0.35">
      <c r="A4259" s="1">
        <v>4258</v>
      </c>
      <c r="B4259" s="1">
        <v>828</v>
      </c>
      <c r="C4259" s="1">
        <v>47</v>
      </c>
      <c r="D4259" t="str">
        <f>VLOOKUP(B4259,Заказы!A:C,3,0)</f>
        <v>2023-09-20 21:58:00</v>
      </c>
      <c r="E4259" t="str">
        <f>VLOOKUP(C4259,Меню!A:E,4,0)</f>
        <v>Суши</v>
      </c>
      <c r="F4259">
        <f>VLOOKUP(C4259,Меню!A:E,5,0)</f>
        <v>200</v>
      </c>
    </row>
    <row r="4260" spans="1:6" ht="15.75" hidden="1" customHeight="1" x14ac:dyDescent="0.35">
      <c r="A4260" s="1">
        <v>4259</v>
      </c>
      <c r="B4260" s="1">
        <v>828</v>
      </c>
      <c r="C4260" s="1">
        <v>56</v>
      </c>
      <c r="D4260" t="str">
        <f>VLOOKUP(B4260,Заказы!A:C,3,0)</f>
        <v>2023-09-20 21:58:00</v>
      </c>
      <c r="E4260" t="str">
        <f>VLOOKUP(C4260,Меню!A:E,4,0)</f>
        <v>Суши</v>
      </c>
      <c r="F4260">
        <f>VLOOKUP(C4260,Меню!A:E,5,0)</f>
        <v>200</v>
      </c>
    </row>
    <row r="4261" spans="1:6" ht="15.75" hidden="1" customHeight="1" x14ac:dyDescent="0.35">
      <c r="A4261" s="1">
        <v>4260</v>
      </c>
      <c r="B4261" s="1">
        <v>828</v>
      </c>
      <c r="C4261" s="1">
        <v>56</v>
      </c>
      <c r="D4261" t="str">
        <f>VLOOKUP(B4261,Заказы!A:C,3,0)</f>
        <v>2023-09-20 21:58:00</v>
      </c>
      <c r="E4261" t="str">
        <f>VLOOKUP(C4261,Меню!A:E,4,0)</f>
        <v>Суши</v>
      </c>
      <c r="F4261">
        <f>VLOOKUP(C4261,Меню!A:E,5,0)</f>
        <v>200</v>
      </c>
    </row>
    <row r="4262" spans="1:6" ht="15.75" hidden="1" customHeight="1" x14ac:dyDescent="0.35">
      <c r="A4262" s="1">
        <v>4261</v>
      </c>
      <c r="B4262" s="1">
        <v>828</v>
      </c>
      <c r="C4262" s="1">
        <v>50</v>
      </c>
      <c r="D4262" t="str">
        <f>VLOOKUP(B4262,Заказы!A:C,3,0)</f>
        <v>2023-09-20 21:58:00</v>
      </c>
      <c r="E4262" t="str">
        <f>VLOOKUP(C4262,Меню!A:E,4,0)</f>
        <v>Суши</v>
      </c>
      <c r="F4262">
        <f>VLOOKUP(C4262,Меню!A:E,5,0)</f>
        <v>200</v>
      </c>
    </row>
    <row r="4263" spans="1:6" ht="15.75" hidden="1" customHeight="1" x14ac:dyDescent="0.35">
      <c r="A4263" s="1">
        <v>4262</v>
      </c>
      <c r="B4263" s="1">
        <v>829</v>
      </c>
      <c r="C4263" s="1">
        <v>44</v>
      </c>
      <c r="D4263" t="str">
        <f>VLOOKUP(B4263,Заказы!A:C,3,0)</f>
        <v>2023-09-20 22:58:00</v>
      </c>
      <c r="E4263" t="str">
        <f>VLOOKUP(C4263,Меню!A:E,4,0)</f>
        <v>Суши</v>
      </c>
      <c r="F4263">
        <f>VLOOKUP(C4263,Меню!A:E,5,0)</f>
        <v>250</v>
      </c>
    </row>
    <row r="4264" spans="1:6" ht="15.75" hidden="1" customHeight="1" x14ac:dyDescent="0.35">
      <c r="A4264" s="1">
        <v>4263</v>
      </c>
      <c r="B4264" s="1">
        <v>829</v>
      </c>
      <c r="C4264" s="1">
        <v>52</v>
      </c>
      <c r="D4264" t="str">
        <f>VLOOKUP(B4264,Заказы!A:C,3,0)</f>
        <v>2023-09-20 22:58:00</v>
      </c>
      <c r="E4264" t="str">
        <f>VLOOKUP(C4264,Меню!A:E,4,0)</f>
        <v>Суши</v>
      </c>
      <c r="F4264">
        <f>VLOOKUP(C4264,Меню!A:E,5,0)</f>
        <v>100</v>
      </c>
    </row>
    <row r="4265" spans="1:6" ht="15.75" hidden="1" customHeight="1" x14ac:dyDescent="0.35">
      <c r="A4265" s="1">
        <v>4264</v>
      </c>
      <c r="B4265" s="1">
        <v>829</v>
      </c>
      <c r="C4265" s="1">
        <v>36</v>
      </c>
      <c r="D4265" t="str">
        <f>VLOOKUP(B4265,Заказы!A:C,3,0)</f>
        <v>2023-09-20 22:58:00</v>
      </c>
      <c r="E4265" t="str">
        <f>VLOOKUP(C4265,Меню!A:E,4,0)</f>
        <v>Десерт</v>
      </c>
      <c r="F4265">
        <f>VLOOKUP(C4265,Меню!A:E,5,0)</f>
        <v>150</v>
      </c>
    </row>
    <row r="4266" spans="1:6" ht="15.75" hidden="1" customHeight="1" x14ac:dyDescent="0.35">
      <c r="A4266" s="1">
        <v>4265</v>
      </c>
      <c r="B4266" s="1">
        <v>829</v>
      </c>
      <c r="C4266" s="1">
        <v>60</v>
      </c>
      <c r="D4266" t="str">
        <f>VLOOKUP(B4266,Заказы!A:C,3,0)</f>
        <v>2023-09-20 22:58:00</v>
      </c>
      <c r="E4266" t="str">
        <f>VLOOKUP(C4266,Меню!A:E,4,0)</f>
        <v>Суши</v>
      </c>
      <c r="F4266">
        <f>VLOOKUP(C4266,Меню!A:E,5,0)</f>
        <v>250</v>
      </c>
    </row>
    <row r="4267" spans="1:6" ht="15.75" hidden="1" customHeight="1" x14ac:dyDescent="0.35">
      <c r="A4267" s="1">
        <v>4266</v>
      </c>
      <c r="B4267" s="1">
        <v>829</v>
      </c>
      <c r="C4267" s="1">
        <v>17</v>
      </c>
      <c r="D4267" t="str">
        <f>VLOOKUP(B4267,Заказы!A:C,3,0)</f>
        <v>2023-09-20 22:58:00</v>
      </c>
      <c r="E4267" t="str">
        <f>VLOOKUP(C4267,Меню!A:E,4,0)</f>
        <v>Первое</v>
      </c>
      <c r="F4267">
        <f>VLOOKUP(C4267,Меню!A:E,5,0)</f>
        <v>250</v>
      </c>
    </row>
    <row r="4268" spans="1:6" ht="15.75" hidden="1" customHeight="1" x14ac:dyDescent="0.35">
      <c r="A4268" s="1">
        <v>4267</v>
      </c>
      <c r="B4268" s="1">
        <v>830</v>
      </c>
      <c r="C4268" s="1">
        <v>32</v>
      </c>
      <c r="D4268" t="str">
        <f>VLOOKUP(B4268,Заказы!A:C,3,0)</f>
        <v>2023-09-21 15:18:00</v>
      </c>
      <c r="E4268" t="str">
        <f>VLOOKUP(C4268,Меню!A:E,4,0)</f>
        <v>Десерт</v>
      </c>
      <c r="F4268">
        <f>VLOOKUP(C4268,Меню!A:E,5,0)</f>
        <v>150</v>
      </c>
    </row>
    <row r="4269" spans="1:6" ht="15.75" hidden="1" customHeight="1" x14ac:dyDescent="0.35">
      <c r="A4269" s="1">
        <v>4268</v>
      </c>
      <c r="B4269" s="1">
        <v>831</v>
      </c>
      <c r="C4269" s="1">
        <v>59</v>
      </c>
      <c r="D4269" t="str">
        <f>VLOOKUP(B4269,Заказы!A:C,3,0)</f>
        <v>2023-09-21 16:28:00</v>
      </c>
      <c r="E4269" t="str">
        <f>VLOOKUP(C4269,Меню!A:E,4,0)</f>
        <v>Суши</v>
      </c>
      <c r="F4269">
        <f>VLOOKUP(C4269,Меню!A:E,5,0)</f>
        <v>300</v>
      </c>
    </row>
    <row r="4270" spans="1:6" ht="15.75" hidden="1" customHeight="1" x14ac:dyDescent="0.35">
      <c r="A4270" s="1">
        <v>4269</v>
      </c>
      <c r="B4270" s="1">
        <v>831</v>
      </c>
      <c r="C4270" s="1">
        <v>49</v>
      </c>
      <c r="D4270" t="str">
        <f>VLOOKUP(B4270,Заказы!A:C,3,0)</f>
        <v>2023-09-21 16:28:00</v>
      </c>
      <c r="E4270" t="str">
        <f>VLOOKUP(C4270,Меню!A:E,4,0)</f>
        <v>Суши</v>
      </c>
      <c r="F4270">
        <f>VLOOKUP(C4270,Меню!A:E,5,0)</f>
        <v>200</v>
      </c>
    </row>
    <row r="4271" spans="1:6" ht="15.75" hidden="1" customHeight="1" x14ac:dyDescent="0.35">
      <c r="A4271" s="1">
        <v>4270</v>
      </c>
      <c r="B4271" s="1">
        <v>831</v>
      </c>
      <c r="C4271" s="1">
        <v>25</v>
      </c>
      <c r="D4271" t="str">
        <f>VLOOKUP(B4271,Заказы!A:C,3,0)</f>
        <v>2023-09-21 16:28:00</v>
      </c>
      <c r="E4271" t="str">
        <f>VLOOKUP(C4271,Меню!A:E,4,0)</f>
        <v>Салат</v>
      </c>
      <c r="F4271">
        <f>VLOOKUP(C4271,Меню!A:E,5,0)</f>
        <v>250</v>
      </c>
    </row>
    <row r="4272" spans="1:6" ht="15.75" hidden="1" customHeight="1" x14ac:dyDescent="0.35">
      <c r="A4272" s="1">
        <v>4271</v>
      </c>
      <c r="B4272" s="1">
        <v>831</v>
      </c>
      <c r="C4272" s="1">
        <v>59</v>
      </c>
      <c r="D4272" t="str">
        <f>VLOOKUP(B4272,Заказы!A:C,3,0)</f>
        <v>2023-09-21 16:28:00</v>
      </c>
      <c r="E4272" t="str">
        <f>VLOOKUP(C4272,Меню!A:E,4,0)</f>
        <v>Суши</v>
      </c>
      <c r="F4272">
        <f>VLOOKUP(C4272,Меню!A:E,5,0)</f>
        <v>300</v>
      </c>
    </row>
    <row r="4273" spans="1:6" ht="15.75" hidden="1" customHeight="1" x14ac:dyDescent="0.35">
      <c r="A4273" s="1">
        <v>4272</v>
      </c>
      <c r="B4273" s="1">
        <v>831</v>
      </c>
      <c r="C4273" s="1">
        <v>3</v>
      </c>
      <c r="D4273" t="str">
        <f>VLOOKUP(B4273,Заказы!A:C,3,0)</f>
        <v>2023-09-21 16:28:00</v>
      </c>
      <c r="E4273" t="str">
        <f>VLOOKUP(C4273,Меню!A:E,4,0)</f>
        <v>Завтрак</v>
      </c>
      <c r="F4273">
        <f>VLOOKUP(C4273,Меню!A:E,5,0)</f>
        <v>150</v>
      </c>
    </row>
    <row r="4274" spans="1:6" ht="15.75" hidden="1" customHeight="1" x14ac:dyDescent="0.35">
      <c r="A4274" s="1">
        <v>4273</v>
      </c>
      <c r="B4274" s="1">
        <v>832</v>
      </c>
      <c r="C4274" s="1">
        <v>57</v>
      </c>
      <c r="D4274" t="str">
        <f>VLOOKUP(B4274,Заказы!A:C,3,0)</f>
        <v>2023-09-21 17:56:00</v>
      </c>
      <c r="E4274" t="str">
        <f>VLOOKUP(C4274,Меню!A:E,4,0)</f>
        <v>Суши</v>
      </c>
      <c r="F4274">
        <f>VLOOKUP(C4274,Меню!A:E,5,0)</f>
        <v>200</v>
      </c>
    </row>
    <row r="4275" spans="1:6" ht="15.75" hidden="1" customHeight="1" x14ac:dyDescent="0.35">
      <c r="A4275" s="1">
        <v>4274</v>
      </c>
      <c r="B4275" s="1">
        <v>832</v>
      </c>
      <c r="C4275" s="1">
        <v>44</v>
      </c>
      <c r="D4275" t="str">
        <f>VLOOKUP(B4275,Заказы!A:C,3,0)</f>
        <v>2023-09-21 17:56:00</v>
      </c>
      <c r="E4275" t="str">
        <f>VLOOKUP(C4275,Меню!A:E,4,0)</f>
        <v>Суши</v>
      </c>
      <c r="F4275">
        <f>VLOOKUP(C4275,Меню!A:E,5,0)</f>
        <v>250</v>
      </c>
    </row>
    <row r="4276" spans="1:6" ht="15.75" hidden="1" customHeight="1" x14ac:dyDescent="0.35">
      <c r="A4276" s="1">
        <v>4275</v>
      </c>
      <c r="B4276" s="1">
        <v>832</v>
      </c>
      <c r="C4276" s="1">
        <v>53</v>
      </c>
      <c r="D4276" t="str">
        <f>VLOOKUP(B4276,Заказы!A:C,3,0)</f>
        <v>2023-09-21 17:56:00</v>
      </c>
      <c r="E4276" t="str">
        <f>VLOOKUP(C4276,Меню!A:E,4,0)</f>
        <v>Суши</v>
      </c>
      <c r="F4276">
        <f>VLOOKUP(C4276,Меню!A:E,5,0)</f>
        <v>100</v>
      </c>
    </row>
    <row r="4277" spans="1:6" ht="15.75" hidden="1" customHeight="1" x14ac:dyDescent="0.35">
      <c r="A4277" s="1">
        <v>4276</v>
      </c>
      <c r="B4277" s="1">
        <v>832</v>
      </c>
      <c r="C4277" s="1">
        <v>30</v>
      </c>
      <c r="D4277" t="str">
        <f>VLOOKUP(B4277,Заказы!A:C,3,0)</f>
        <v>2023-09-21 17:56:00</v>
      </c>
      <c r="E4277" t="str">
        <f>VLOOKUP(C4277,Меню!A:E,4,0)</f>
        <v>Салат</v>
      </c>
      <c r="F4277">
        <f>VLOOKUP(C4277,Меню!A:E,5,0)</f>
        <v>250</v>
      </c>
    </row>
    <row r="4278" spans="1:6" ht="15.75" hidden="1" customHeight="1" x14ac:dyDescent="0.35">
      <c r="A4278" s="1">
        <v>4277</v>
      </c>
      <c r="B4278" s="1">
        <v>832</v>
      </c>
      <c r="C4278" s="1">
        <v>29</v>
      </c>
      <c r="D4278" t="str">
        <f>VLOOKUP(B4278,Заказы!A:C,3,0)</f>
        <v>2023-09-21 17:56:00</v>
      </c>
      <c r="E4278" t="str">
        <f>VLOOKUP(C4278,Меню!A:E,4,0)</f>
        <v>Салат</v>
      </c>
      <c r="F4278">
        <f>VLOOKUP(C4278,Меню!A:E,5,0)</f>
        <v>250</v>
      </c>
    </row>
    <row r="4279" spans="1:6" ht="15.75" hidden="1" customHeight="1" x14ac:dyDescent="0.35">
      <c r="A4279" s="1">
        <v>4278</v>
      </c>
      <c r="B4279" s="1">
        <v>833</v>
      </c>
      <c r="C4279" s="1">
        <v>16</v>
      </c>
      <c r="D4279" t="str">
        <f>VLOOKUP(B4279,Заказы!A:C,3,0)</f>
        <v>2023-09-22 19:06:00</v>
      </c>
      <c r="E4279" t="str">
        <f>VLOOKUP(C4279,Меню!A:E,4,0)</f>
        <v>Первое</v>
      </c>
      <c r="F4279">
        <f>VLOOKUP(C4279,Меню!A:E,5,0)</f>
        <v>250</v>
      </c>
    </row>
    <row r="4280" spans="1:6" ht="15.75" hidden="1" customHeight="1" x14ac:dyDescent="0.35">
      <c r="A4280" s="1">
        <v>4279</v>
      </c>
      <c r="B4280" s="1">
        <v>833</v>
      </c>
      <c r="C4280" s="1">
        <v>11</v>
      </c>
      <c r="D4280" t="str">
        <f>VLOOKUP(B4280,Заказы!A:C,3,0)</f>
        <v>2023-09-22 19:06:00</v>
      </c>
      <c r="E4280" t="str">
        <f>VLOOKUP(C4280,Меню!A:E,4,0)</f>
        <v>Первое</v>
      </c>
      <c r="F4280">
        <f>VLOOKUP(C4280,Меню!A:E,5,0)</f>
        <v>300</v>
      </c>
    </row>
    <row r="4281" spans="1:6" ht="15.75" hidden="1" customHeight="1" x14ac:dyDescent="0.35">
      <c r="A4281" s="1">
        <v>4280</v>
      </c>
      <c r="B4281" s="1">
        <v>833</v>
      </c>
      <c r="C4281" s="1">
        <v>17</v>
      </c>
      <c r="D4281" t="str">
        <f>VLOOKUP(B4281,Заказы!A:C,3,0)</f>
        <v>2023-09-22 19:06:00</v>
      </c>
      <c r="E4281" t="str">
        <f>VLOOKUP(C4281,Меню!A:E,4,0)</f>
        <v>Первое</v>
      </c>
      <c r="F4281">
        <f>VLOOKUP(C4281,Меню!A:E,5,0)</f>
        <v>250</v>
      </c>
    </row>
    <row r="4282" spans="1:6" ht="15.75" hidden="1" customHeight="1" x14ac:dyDescent="0.35">
      <c r="A4282" s="1">
        <v>4281</v>
      </c>
      <c r="B4282" s="1">
        <v>833</v>
      </c>
      <c r="C4282" s="1">
        <v>18</v>
      </c>
      <c r="D4282" t="str">
        <f>VLOOKUP(B4282,Заказы!A:C,3,0)</f>
        <v>2023-09-22 19:06:00</v>
      </c>
      <c r="E4282" t="str">
        <f>VLOOKUP(C4282,Меню!A:E,4,0)</f>
        <v>Первое</v>
      </c>
      <c r="F4282">
        <f>VLOOKUP(C4282,Меню!A:E,5,0)</f>
        <v>300</v>
      </c>
    </row>
    <row r="4283" spans="1:6" ht="15.75" hidden="1" customHeight="1" x14ac:dyDescent="0.35">
      <c r="A4283" s="1">
        <v>4282</v>
      </c>
      <c r="B4283" s="1">
        <v>833</v>
      </c>
      <c r="C4283" s="1">
        <v>1</v>
      </c>
      <c r="D4283" t="str">
        <f>VLOOKUP(B4283,Заказы!A:C,3,0)</f>
        <v>2023-09-22 19:06:00</v>
      </c>
      <c r="E4283" t="str">
        <f>VLOOKUP(C4283,Меню!A:E,4,0)</f>
        <v>Завтрак</v>
      </c>
      <c r="F4283">
        <f>VLOOKUP(C4283,Меню!A:E,5,0)</f>
        <v>200</v>
      </c>
    </row>
    <row r="4284" spans="1:6" ht="15.75" hidden="1" customHeight="1" x14ac:dyDescent="0.35">
      <c r="A4284" s="1">
        <v>4283</v>
      </c>
      <c r="B4284" s="1">
        <v>833</v>
      </c>
      <c r="C4284" s="1">
        <v>19</v>
      </c>
      <c r="D4284" t="str">
        <f>VLOOKUP(B4284,Заказы!A:C,3,0)</f>
        <v>2023-09-22 19:06:00</v>
      </c>
      <c r="E4284" t="str">
        <f>VLOOKUP(C4284,Меню!A:E,4,0)</f>
        <v>Первое</v>
      </c>
      <c r="F4284">
        <f>VLOOKUP(C4284,Меню!A:E,5,0)</f>
        <v>300</v>
      </c>
    </row>
    <row r="4285" spans="1:6" ht="15.75" hidden="1" customHeight="1" x14ac:dyDescent="0.35">
      <c r="A4285" s="1">
        <v>4284</v>
      </c>
      <c r="B4285" s="1">
        <v>834</v>
      </c>
      <c r="C4285" s="1">
        <v>12</v>
      </c>
      <c r="D4285" t="str">
        <f>VLOOKUP(B4285,Заказы!A:C,3,0)</f>
        <v>2023-09-23 18:02:00</v>
      </c>
      <c r="E4285" t="str">
        <f>VLOOKUP(C4285,Меню!A:E,4,0)</f>
        <v>Первое</v>
      </c>
      <c r="F4285">
        <f>VLOOKUP(C4285,Меню!A:E,5,0)</f>
        <v>300</v>
      </c>
    </row>
    <row r="4286" spans="1:6" ht="15.75" hidden="1" customHeight="1" x14ac:dyDescent="0.35">
      <c r="A4286" s="1">
        <v>4285</v>
      </c>
      <c r="B4286" s="1">
        <v>834</v>
      </c>
      <c r="C4286" s="1">
        <v>52</v>
      </c>
      <c r="D4286" t="str">
        <f>VLOOKUP(B4286,Заказы!A:C,3,0)</f>
        <v>2023-09-23 18:02:00</v>
      </c>
      <c r="E4286" t="str">
        <f>VLOOKUP(C4286,Меню!A:E,4,0)</f>
        <v>Суши</v>
      </c>
      <c r="F4286">
        <f>VLOOKUP(C4286,Меню!A:E,5,0)</f>
        <v>100</v>
      </c>
    </row>
    <row r="4287" spans="1:6" ht="15.75" hidden="1" customHeight="1" x14ac:dyDescent="0.35">
      <c r="A4287" s="1">
        <v>4286</v>
      </c>
      <c r="B4287" s="1">
        <v>834</v>
      </c>
      <c r="C4287" s="1">
        <v>3</v>
      </c>
      <c r="D4287" t="str">
        <f>VLOOKUP(B4287,Заказы!A:C,3,0)</f>
        <v>2023-09-23 18:02:00</v>
      </c>
      <c r="E4287" t="str">
        <f>VLOOKUP(C4287,Меню!A:E,4,0)</f>
        <v>Завтрак</v>
      </c>
      <c r="F4287">
        <f>VLOOKUP(C4287,Меню!A:E,5,0)</f>
        <v>150</v>
      </c>
    </row>
    <row r="4288" spans="1:6" ht="15.75" hidden="1" customHeight="1" x14ac:dyDescent="0.35">
      <c r="A4288" s="1">
        <v>4287</v>
      </c>
      <c r="B4288" s="1">
        <v>834</v>
      </c>
      <c r="C4288" s="1">
        <v>32</v>
      </c>
      <c r="D4288" t="str">
        <f>VLOOKUP(B4288,Заказы!A:C,3,0)</f>
        <v>2023-09-23 18:02:00</v>
      </c>
      <c r="E4288" t="str">
        <f>VLOOKUP(C4288,Меню!A:E,4,0)</f>
        <v>Десерт</v>
      </c>
      <c r="F4288">
        <f>VLOOKUP(C4288,Меню!A:E,5,0)</f>
        <v>150</v>
      </c>
    </row>
    <row r="4289" spans="1:6" ht="15.75" hidden="1" customHeight="1" x14ac:dyDescent="0.35">
      <c r="A4289" s="1">
        <v>4288</v>
      </c>
      <c r="B4289" s="1">
        <v>834</v>
      </c>
      <c r="C4289" s="1">
        <v>36</v>
      </c>
      <c r="D4289" t="str">
        <f>VLOOKUP(B4289,Заказы!A:C,3,0)</f>
        <v>2023-09-23 18:02:00</v>
      </c>
      <c r="E4289" t="str">
        <f>VLOOKUP(C4289,Меню!A:E,4,0)</f>
        <v>Десерт</v>
      </c>
      <c r="F4289">
        <f>VLOOKUP(C4289,Меню!A:E,5,0)</f>
        <v>150</v>
      </c>
    </row>
    <row r="4290" spans="1:6" ht="15.75" hidden="1" customHeight="1" x14ac:dyDescent="0.35">
      <c r="A4290" s="1">
        <v>4289</v>
      </c>
      <c r="B4290" s="1">
        <v>834</v>
      </c>
      <c r="C4290" s="1">
        <v>9</v>
      </c>
      <c r="D4290" t="str">
        <f>VLOOKUP(B4290,Заказы!A:C,3,0)</f>
        <v>2023-09-23 18:02:00</v>
      </c>
      <c r="E4290" t="str">
        <f>VLOOKUP(C4290,Меню!A:E,4,0)</f>
        <v>Завтрак</v>
      </c>
      <c r="F4290">
        <f>VLOOKUP(C4290,Меню!A:E,5,0)</f>
        <v>220</v>
      </c>
    </row>
    <row r="4291" spans="1:6" ht="15.75" hidden="1" customHeight="1" x14ac:dyDescent="0.35">
      <c r="A4291" s="1">
        <v>4290</v>
      </c>
      <c r="B4291" s="1">
        <v>835</v>
      </c>
      <c r="C4291" s="1">
        <v>55</v>
      </c>
      <c r="D4291" t="str">
        <f>VLOOKUP(B4291,Заказы!A:C,3,0)</f>
        <v>2023-09-23 18:54:00</v>
      </c>
      <c r="E4291" t="str">
        <f>VLOOKUP(C4291,Меню!A:E,4,0)</f>
        <v>Суши</v>
      </c>
      <c r="F4291">
        <f>VLOOKUP(C4291,Меню!A:E,5,0)</f>
        <v>100</v>
      </c>
    </row>
    <row r="4292" spans="1:6" ht="15.75" hidden="1" customHeight="1" x14ac:dyDescent="0.35">
      <c r="A4292" s="1">
        <v>4291</v>
      </c>
      <c r="B4292" s="1">
        <v>835</v>
      </c>
      <c r="C4292" s="1">
        <v>3</v>
      </c>
      <c r="D4292" t="str">
        <f>VLOOKUP(B4292,Заказы!A:C,3,0)</f>
        <v>2023-09-23 18:54:00</v>
      </c>
      <c r="E4292" t="str">
        <f>VLOOKUP(C4292,Меню!A:E,4,0)</f>
        <v>Завтрак</v>
      </c>
      <c r="F4292">
        <f>VLOOKUP(C4292,Меню!A:E,5,0)</f>
        <v>150</v>
      </c>
    </row>
    <row r="4293" spans="1:6" ht="15.75" hidden="1" customHeight="1" x14ac:dyDescent="0.35">
      <c r="A4293" s="1">
        <v>4292</v>
      </c>
      <c r="B4293" s="1">
        <v>835</v>
      </c>
      <c r="C4293" s="1">
        <v>39</v>
      </c>
      <c r="D4293" t="str">
        <f>VLOOKUP(B4293,Заказы!A:C,3,0)</f>
        <v>2023-09-23 18:54:00</v>
      </c>
      <c r="E4293" t="str">
        <f>VLOOKUP(C4293,Меню!A:E,4,0)</f>
        <v>Десерт</v>
      </c>
      <c r="F4293">
        <f>VLOOKUP(C4293,Меню!A:E,5,0)</f>
        <v>150</v>
      </c>
    </row>
    <row r="4294" spans="1:6" ht="15.75" hidden="1" customHeight="1" x14ac:dyDescent="0.35">
      <c r="A4294" s="1">
        <v>4293</v>
      </c>
      <c r="B4294" s="1">
        <v>835</v>
      </c>
      <c r="C4294" s="1">
        <v>14</v>
      </c>
      <c r="D4294" t="str">
        <f>VLOOKUP(B4294,Заказы!A:C,3,0)</f>
        <v>2023-09-23 18:54:00</v>
      </c>
      <c r="E4294" t="str">
        <f>VLOOKUP(C4294,Меню!A:E,4,0)</f>
        <v>Первое</v>
      </c>
      <c r="F4294">
        <f>VLOOKUP(C4294,Меню!A:E,5,0)</f>
        <v>350</v>
      </c>
    </row>
    <row r="4295" spans="1:6" ht="15.75" hidden="1" customHeight="1" x14ac:dyDescent="0.35">
      <c r="A4295" s="1">
        <v>4294</v>
      </c>
      <c r="B4295" s="1">
        <v>835</v>
      </c>
      <c r="C4295" s="1">
        <v>34</v>
      </c>
      <c r="D4295" t="str">
        <f>VLOOKUP(B4295,Заказы!A:C,3,0)</f>
        <v>2023-09-23 18:54:00</v>
      </c>
      <c r="E4295" t="str">
        <f>VLOOKUP(C4295,Меню!A:E,4,0)</f>
        <v>Десерт</v>
      </c>
      <c r="F4295">
        <f>VLOOKUP(C4295,Меню!A:E,5,0)</f>
        <v>150</v>
      </c>
    </row>
    <row r="4296" spans="1:6" ht="15.75" hidden="1" customHeight="1" x14ac:dyDescent="0.35">
      <c r="A4296" s="1">
        <v>4295</v>
      </c>
      <c r="B4296" s="1">
        <v>835</v>
      </c>
      <c r="C4296" s="1">
        <v>43</v>
      </c>
      <c r="D4296" t="str">
        <f>VLOOKUP(B4296,Заказы!A:C,3,0)</f>
        <v>2023-09-23 18:54:00</v>
      </c>
      <c r="E4296" t="str">
        <f>VLOOKUP(C4296,Меню!A:E,4,0)</f>
        <v>Суши</v>
      </c>
      <c r="F4296">
        <f>VLOOKUP(C4296,Меню!A:E,5,0)</f>
        <v>250</v>
      </c>
    </row>
    <row r="4297" spans="1:6" ht="15.75" hidden="1" customHeight="1" x14ac:dyDescent="0.35">
      <c r="A4297" s="1">
        <v>4296</v>
      </c>
      <c r="B4297" s="1">
        <v>835</v>
      </c>
      <c r="C4297" s="1">
        <v>6</v>
      </c>
      <c r="D4297" t="str">
        <f>VLOOKUP(B4297,Заказы!A:C,3,0)</f>
        <v>2023-09-23 18:54:00</v>
      </c>
      <c r="E4297" t="str">
        <f>VLOOKUP(C4297,Меню!A:E,4,0)</f>
        <v>Завтрак</v>
      </c>
      <c r="F4297">
        <f>VLOOKUP(C4297,Меню!A:E,5,0)</f>
        <v>300</v>
      </c>
    </row>
    <row r="4298" spans="1:6" ht="15.75" hidden="1" customHeight="1" x14ac:dyDescent="0.35">
      <c r="A4298" s="1">
        <v>4297</v>
      </c>
      <c r="B4298" s="1">
        <v>836</v>
      </c>
      <c r="C4298" s="1">
        <v>5</v>
      </c>
      <c r="D4298" t="str">
        <f>VLOOKUP(B4298,Заказы!A:C,3,0)</f>
        <v>2023-09-23 21:16:00</v>
      </c>
      <c r="E4298" t="str">
        <f>VLOOKUP(C4298,Меню!A:E,4,0)</f>
        <v>Завтрак</v>
      </c>
      <c r="F4298">
        <f>VLOOKUP(C4298,Меню!A:E,5,0)</f>
        <v>220</v>
      </c>
    </row>
    <row r="4299" spans="1:6" ht="15.75" hidden="1" customHeight="1" x14ac:dyDescent="0.35">
      <c r="A4299" s="1">
        <v>4298</v>
      </c>
      <c r="B4299" s="1">
        <v>836</v>
      </c>
      <c r="C4299" s="1">
        <v>31</v>
      </c>
      <c r="D4299" t="str">
        <f>VLOOKUP(B4299,Заказы!A:C,3,0)</f>
        <v>2023-09-23 21:16:00</v>
      </c>
      <c r="E4299" t="str">
        <f>VLOOKUP(C4299,Меню!A:E,4,0)</f>
        <v>Десерт</v>
      </c>
      <c r="F4299">
        <f>VLOOKUP(C4299,Меню!A:E,5,0)</f>
        <v>150</v>
      </c>
    </row>
    <row r="4300" spans="1:6" ht="15.75" hidden="1" customHeight="1" x14ac:dyDescent="0.35">
      <c r="A4300" s="1">
        <v>4299</v>
      </c>
      <c r="B4300" s="1">
        <v>836</v>
      </c>
      <c r="C4300" s="1">
        <v>27</v>
      </c>
      <c r="D4300" t="str">
        <f>VLOOKUP(B4300,Заказы!A:C,3,0)</f>
        <v>2023-09-23 21:16:00</v>
      </c>
      <c r="E4300" t="str">
        <f>VLOOKUP(C4300,Меню!A:E,4,0)</f>
        <v>Салат</v>
      </c>
      <c r="F4300">
        <f>VLOOKUP(C4300,Меню!A:E,5,0)</f>
        <v>250</v>
      </c>
    </row>
    <row r="4301" spans="1:6" ht="15.75" hidden="1" customHeight="1" x14ac:dyDescent="0.35">
      <c r="A4301" s="1">
        <v>4300</v>
      </c>
      <c r="B4301" s="1">
        <v>836</v>
      </c>
      <c r="C4301" s="1">
        <v>6</v>
      </c>
      <c r="D4301" t="str">
        <f>VLOOKUP(B4301,Заказы!A:C,3,0)</f>
        <v>2023-09-23 21:16:00</v>
      </c>
      <c r="E4301" t="str">
        <f>VLOOKUP(C4301,Меню!A:E,4,0)</f>
        <v>Завтрак</v>
      </c>
      <c r="F4301">
        <f>VLOOKUP(C4301,Меню!A:E,5,0)</f>
        <v>300</v>
      </c>
    </row>
    <row r="4302" spans="1:6" ht="15.75" hidden="1" customHeight="1" x14ac:dyDescent="0.35">
      <c r="A4302" s="1">
        <v>4301</v>
      </c>
      <c r="B4302" s="1">
        <v>836</v>
      </c>
      <c r="C4302" s="1">
        <v>17</v>
      </c>
      <c r="D4302" t="str">
        <f>VLOOKUP(B4302,Заказы!A:C,3,0)</f>
        <v>2023-09-23 21:16:00</v>
      </c>
      <c r="E4302" t="str">
        <f>VLOOKUP(C4302,Меню!A:E,4,0)</f>
        <v>Первое</v>
      </c>
      <c r="F4302">
        <f>VLOOKUP(C4302,Меню!A:E,5,0)</f>
        <v>250</v>
      </c>
    </row>
    <row r="4303" spans="1:6" ht="15.75" hidden="1" customHeight="1" x14ac:dyDescent="0.35">
      <c r="A4303" s="1">
        <v>4302</v>
      </c>
      <c r="B4303" s="1">
        <v>836</v>
      </c>
      <c r="C4303" s="1">
        <v>43</v>
      </c>
      <c r="D4303" t="str">
        <f>VLOOKUP(B4303,Заказы!A:C,3,0)</f>
        <v>2023-09-23 21:16:00</v>
      </c>
      <c r="E4303" t="str">
        <f>VLOOKUP(C4303,Меню!A:E,4,0)</f>
        <v>Суши</v>
      </c>
      <c r="F4303">
        <f>VLOOKUP(C4303,Меню!A:E,5,0)</f>
        <v>250</v>
      </c>
    </row>
    <row r="4304" spans="1:6" ht="15.75" hidden="1" customHeight="1" x14ac:dyDescent="0.35">
      <c r="A4304" s="1">
        <v>4303</v>
      </c>
      <c r="B4304" s="1">
        <v>837</v>
      </c>
      <c r="C4304" s="1">
        <v>46</v>
      </c>
      <c r="D4304" t="str">
        <f>VLOOKUP(B4304,Заказы!A:C,3,0)</f>
        <v>2023-09-24 16:17:00</v>
      </c>
      <c r="E4304" t="str">
        <f>VLOOKUP(C4304,Меню!A:E,4,0)</f>
        <v>Суши</v>
      </c>
      <c r="F4304">
        <f>VLOOKUP(C4304,Меню!A:E,5,0)</f>
        <v>200</v>
      </c>
    </row>
    <row r="4305" spans="1:6" ht="15.75" hidden="1" customHeight="1" x14ac:dyDescent="0.35">
      <c r="A4305" s="1">
        <v>4304</v>
      </c>
      <c r="B4305" s="1">
        <v>837</v>
      </c>
      <c r="C4305" s="1">
        <v>23</v>
      </c>
      <c r="D4305" t="str">
        <f>VLOOKUP(B4305,Заказы!A:C,3,0)</f>
        <v>2023-09-24 16:17:00</v>
      </c>
      <c r="E4305" t="str">
        <f>VLOOKUP(C4305,Меню!A:E,4,0)</f>
        <v>Салат</v>
      </c>
      <c r="F4305">
        <f>VLOOKUP(C4305,Меню!A:E,5,0)</f>
        <v>250</v>
      </c>
    </row>
    <row r="4306" spans="1:6" ht="15.75" hidden="1" customHeight="1" x14ac:dyDescent="0.35">
      <c r="A4306" s="1">
        <v>4305</v>
      </c>
      <c r="B4306" s="1">
        <v>837</v>
      </c>
      <c r="C4306" s="1">
        <v>28</v>
      </c>
      <c r="D4306" t="str">
        <f>VLOOKUP(B4306,Заказы!A:C,3,0)</f>
        <v>2023-09-24 16:17:00</v>
      </c>
      <c r="E4306" t="str">
        <f>VLOOKUP(C4306,Меню!A:E,4,0)</f>
        <v>Салат</v>
      </c>
      <c r="F4306">
        <f>VLOOKUP(C4306,Меню!A:E,5,0)</f>
        <v>250</v>
      </c>
    </row>
    <row r="4307" spans="1:6" ht="15.75" hidden="1" customHeight="1" x14ac:dyDescent="0.35">
      <c r="A4307" s="1">
        <v>4306</v>
      </c>
      <c r="B4307" s="1">
        <v>837</v>
      </c>
      <c r="C4307" s="1">
        <v>54</v>
      </c>
      <c r="D4307" t="str">
        <f>VLOOKUP(B4307,Заказы!A:C,3,0)</f>
        <v>2023-09-24 16:17:00</v>
      </c>
      <c r="E4307" t="str">
        <f>VLOOKUP(C4307,Меню!A:E,4,0)</f>
        <v>Суши</v>
      </c>
      <c r="F4307">
        <f>VLOOKUP(C4307,Меню!A:E,5,0)</f>
        <v>100</v>
      </c>
    </row>
    <row r="4308" spans="1:6" ht="15.75" hidden="1" customHeight="1" x14ac:dyDescent="0.35">
      <c r="A4308" s="1">
        <v>4307</v>
      </c>
      <c r="B4308" s="1">
        <v>837</v>
      </c>
      <c r="C4308" s="1">
        <v>50</v>
      </c>
      <c r="D4308" t="str">
        <f>VLOOKUP(B4308,Заказы!A:C,3,0)</f>
        <v>2023-09-24 16:17:00</v>
      </c>
      <c r="E4308" t="str">
        <f>VLOOKUP(C4308,Меню!A:E,4,0)</f>
        <v>Суши</v>
      </c>
      <c r="F4308">
        <f>VLOOKUP(C4308,Меню!A:E,5,0)</f>
        <v>200</v>
      </c>
    </row>
    <row r="4309" spans="1:6" ht="15.75" hidden="1" customHeight="1" x14ac:dyDescent="0.35">
      <c r="A4309" s="1">
        <v>4308</v>
      </c>
      <c r="B4309" s="1">
        <v>838</v>
      </c>
      <c r="C4309" s="1">
        <v>16</v>
      </c>
      <c r="D4309" t="str">
        <f>VLOOKUP(B4309,Заказы!A:C,3,0)</f>
        <v>2023-09-24 18:59:00</v>
      </c>
      <c r="E4309" t="str">
        <f>VLOOKUP(C4309,Меню!A:E,4,0)</f>
        <v>Первое</v>
      </c>
      <c r="F4309">
        <f>VLOOKUP(C4309,Меню!A:E,5,0)</f>
        <v>250</v>
      </c>
    </row>
    <row r="4310" spans="1:6" ht="15.75" hidden="1" customHeight="1" x14ac:dyDescent="0.35">
      <c r="A4310" s="1">
        <v>4309</v>
      </c>
      <c r="B4310" s="1">
        <v>838</v>
      </c>
      <c r="C4310" s="1">
        <v>17</v>
      </c>
      <c r="D4310" t="str">
        <f>VLOOKUP(B4310,Заказы!A:C,3,0)</f>
        <v>2023-09-24 18:59:00</v>
      </c>
      <c r="E4310" t="str">
        <f>VLOOKUP(C4310,Меню!A:E,4,0)</f>
        <v>Первое</v>
      </c>
      <c r="F4310">
        <f>VLOOKUP(C4310,Меню!A:E,5,0)</f>
        <v>250</v>
      </c>
    </row>
    <row r="4311" spans="1:6" ht="15.75" hidden="1" customHeight="1" x14ac:dyDescent="0.35">
      <c r="A4311" s="1">
        <v>4310</v>
      </c>
      <c r="B4311" s="1">
        <v>838</v>
      </c>
      <c r="C4311" s="1">
        <v>45</v>
      </c>
      <c r="D4311" t="str">
        <f>VLOOKUP(B4311,Заказы!A:C,3,0)</f>
        <v>2023-09-24 18:59:00</v>
      </c>
      <c r="E4311" t="str">
        <f>VLOOKUP(C4311,Меню!A:E,4,0)</f>
        <v>Суши</v>
      </c>
      <c r="F4311">
        <f>VLOOKUP(C4311,Меню!A:E,5,0)</f>
        <v>200</v>
      </c>
    </row>
    <row r="4312" spans="1:6" ht="15.75" hidden="1" customHeight="1" x14ac:dyDescent="0.35">
      <c r="A4312" s="1">
        <v>4311</v>
      </c>
      <c r="B4312" s="1">
        <v>839</v>
      </c>
      <c r="C4312" s="1">
        <v>8</v>
      </c>
      <c r="D4312" t="str">
        <f>VLOOKUP(B4312,Заказы!A:C,3,0)</f>
        <v>2023-09-24 22:27:00</v>
      </c>
      <c r="E4312" t="str">
        <f>VLOOKUP(C4312,Меню!A:E,4,0)</f>
        <v>Завтрак</v>
      </c>
      <c r="F4312">
        <f>VLOOKUP(C4312,Меню!A:E,5,0)</f>
        <v>180</v>
      </c>
    </row>
    <row r="4313" spans="1:6" ht="15.75" hidden="1" customHeight="1" x14ac:dyDescent="0.35">
      <c r="A4313" s="1">
        <v>4312</v>
      </c>
      <c r="B4313" s="1">
        <v>839</v>
      </c>
      <c r="C4313" s="1">
        <v>16</v>
      </c>
      <c r="D4313" t="str">
        <f>VLOOKUP(B4313,Заказы!A:C,3,0)</f>
        <v>2023-09-24 22:27:00</v>
      </c>
      <c r="E4313" t="str">
        <f>VLOOKUP(C4313,Меню!A:E,4,0)</f>
        <v>Первое</v>
      </c>
      <c r="F4313">
        <f>VLOOKUP(C4313,Меню!A:E,5,0)</f>
        <v>250</v>
      </c>
    </row>
    <row r="4314" spans="1:6" ht="15.75" hidden="1" customHeight="1" x14ac:dyDescent="0.35">
      <c r="A4314" s="1">
        <v>4313</v>
      </c>
      <c r="B4314" s="1">
        <v>839</v>
      </c>
      <c r="C4314" s="1">
        <v>17</v>
      </c>
      <c r="D4314" t="str">
        <f>VLOOKUP(B4314,Заказы!A:C,3,0)</f>
        <v>2023-09-24 22:27:00</v>
      </c>
      <c r="E4314" t="str">
        <f>VLOOKUP(C4314,Меню!A:E,4,0)</f>
        <v>Первое</v>
      </c>
      <c r="F4314">
        <f>VLOOKUP(C4314,Меню!A:E,5,0)</f>
        <v>250</v>
      </c>
    </row>
    <row r="4315" spans="1:6" ht="15.75" hidden="1" customHeight="1" x14ac:dyDescent="0.35">
      <c r="A4315" s="1">
        <v>4314</v>
      </c>
      <c r="B4315" s="1">
        <v>839</v>
      </c>
      <c r="C4315" s="1">
        <v>46</v>
      </c>
      <c r="D4315" t="str">
        <f>VLOOKUP(B4315,Заказы!A:C,3,0)</f>
        <v>2023-09-24 22:27:00</v>
      </c>
      <c r="E4315" t="str">
        <f>VLOOKUP(C4315,Меню!A:E,4,0)</f>
        <v>Суши</v>
      </c>
      <c r="F4315">
        <f>VLOOKUP(C4315,Меню!A:E,5,0)</f>
        <v>200</v>
      </c>
    </row>
    <row r="4316" spans="1:6" ht="15.75" hidden="1" customHeight="1" x14ac:dyDescent="0.35">
      <c r="A4316" s="1">
        <v>4315</v>
      </c>
      <c r="B4316" s="1">
        <v>839</v>
      </c>
      <c r="C4316" s="1">
        <v>6</v>
      </c>
      <c r="D4316" t="str">
        <f>VLOOKUP(B4316,Заказы!A:C,3,0)</f>
        <v>2023-09-24 22:27:00</v>
      </c>
      <c r="E4316" t="str">
        <f>VLOOKUP(C4316,Меню!A:E,4,0)</f>
        <v>Завтрак</v>
      </c>
      <c r="F4316">
        <f>VLOOKUP(C4316,Меню!A:E,5,0)</f>
        <v>300</v>
      </c>
    </row>
    <row r="4317" spans="1:6" ht="15.75" hidden="1" customHeight="1" x14ac:dyDescent="0.35">
      <c r="A4317" s="1">
        <v>4316</v>
      </c>
      <c r="B4317" s="1">
        <v>840</v>
      </c>
      <c r="C4317" s="1">
        <v>44</v>
      </c>
      <c r="D4317" t="str">
        <f>VLOOKUP(B4317,Заказы!A:C,3,0)</f>
        <v>2023-09-25 15:11:00</v>
      </c>
      <c r="E4317" t="str">
        <f>VLOOKUP(C4317,Меню!A:E,4,0)</f>
        <v>Суши</v>
      </c>
      <c r="F4317">
        <f>VLOOKUP(C4317,Меню!A:E,5,0)</f>
        <v>250</v>
      </c>
    </row>
    <row r="4318" spans="1:6" ht="15.75" hidden="1" customHeight="1" x14ac:dyDescent="0.35">
      <c r="A4318" s="1">
        <v>4317</v>
      </c>
      <c r="B4318" s="1">
        <v>840</v>
      </c>
      <c r="C4318" s="1">
        <v>52</v>
      </c>
      <c r="D4318" t="str">
        <f>VLOOKUP(B4318,Заказы!A:C,3,0)</f>
        <v>2023-09-25 15:11:00</v>
      </c>
      <c r="E4318" t="str">
        <f>VLOOKUP(C4318,Меню!A:E,4,0)</f>
        <v>Суши</v>
      </c>
      <c r="F4318">
        <f>VLOOKUP(C4318,Меню!A:E,5,0)</f>
        <v>100</v>
      </c>
    </row>
    <row r="4319" spans="1:6" ht="15.75" hidden="1" customHeight="1" x14ac:dyDescent="0.35">
      <c r="A4319" s="1">
        <v>4318</v>
      </c>
      <c r="B4319" s="1">
        <v>840</v>
      </c>
      <c r="C4319" s="1">
        <v>40</v>
      </c>
      <c r="D4319" t="str">
        <f>VLOOKUP(B4319,Заказы!A:C,3,0)</f>
        <v>2023-09-25 15:11:00</v>
      </c>
      <c r="E4319" t="str">
        <f>VLOOKUP(C4319,Меню!A:E,4,0)</f>
        <v>Десерт</v>
      </c>
      <c r="F4319">
        <f>VLOOKUP(C4319,Меню!A:E,5,0)</f>
        <v>150</v>
      </c>
    </row>
    <row r="4320" spans="1:6" ht="15.75" hidden="1" customHeight="1" x14ac:dyDescent="0.35">
      <c r="A4320" s="1">
        <v>4319</v>
      </c>
      <c r="B4320" s="1">
        <v>840</v>
      </c>
      <c r="C4320" s="1">
        <v>38</v>
      </c>
      <c r="D4320" t="str">
        <f>VLOOKUP(B4320,Заказы!A:C,3,0)</f>
        <v>2023-09-25 15:11:00</v>
      </c>
      <c r="E4320" t="str">
        <f>VLOOKUP(C4320,Меню!A:E,4,0)</f>
        <v>Десерт</v>
      </c>
      <c r="F4320">
        <f>VLOOKUP(C4320,Меню!A:E,5,0)</f>
        <v>150</v>
      </c>
    </row>
    <row r="4321" spans="1:6" ht="15.75" hidden="1" customHeight="1" x14ac:dyDescent="0.35">
      <c r="A4321" s="1">
        <v>4320</v>
      </c>
      <c r="B4321" s="1">
        <v>841</v>
      </c>
      <c r="C4321" s="1">
        <v>48</v>
      </c>
      <c r="D4321" t="str">
        <f>VLOOKUP(B4321,Заказы!A:C,3,0)</f>
        <v>2023-09-25 16:07:00</v>
      </c>
      <c r="E4321" t="str">
        <f>VLOOKUP(C4321,Меню!A:E,4,0)</f>
        <v>Суши</v>
      </c>
      <c r="F4321">
        <f>VLOOKUP(C4321,Меню!A:E,5,0)</f>
        <v>200</v>
      </c>
    </row>
    <row r="4322" spans="1:6" ht="15.75" hidden="1" customHeight="1" x14ac:dyDescent="0.35">
      <c r="A4322" s="1">
        <v>4321</v>
      </c>
      <c r="B4322" s="1">
        <v>841</v>
      </c>
      <c r="C4322" s="1">
        <v>27</v>
      </c>
      <c r="D4322" t="str">
        <f>VLOOKUP(B4322,Заказы!A:C,3,0)</f>
        <v>2023-09-25 16:07:00</v>
      </c>
      <c r="E4322" t="str">
        <f>VLOOKUP(C4322,Меню!A:E,4,0)</f>
        <v>Салат</v>
      </c>
      <c r="F4322">
        <f>VLOOKUP(C4322,Меню!A:E,5,0)</f>
        <v>250</v>
      </c>
    </row>
    <row r="4323" spans="1:6" ht="15.75" hidden="1" customHeight="1" x14ac:dyDescent="0.35">
      <c r="A4323" s="1">
        <v>4322</v>
      </c>
      <c r="B4323" s="1">
        <v>841</v>
      </c>
      <c r="C4323" s="1">
        <v>46</v>
      </c>
      <c r="D4323" t="str">
        <f>VLOOKUP(B4323,Заказы!A:C,3,0)</f>
        <v>2023-09-25 16:07:00</v>
      </c>
      <c r="E4323" t="str">
        <f>VLOOKUP(C4323,Меню!A:E,4,0)</f>
        <v>Суши</v>
      </c>
      <c r="F4323">
        <f>VLOOKUP(C4323,Меню!A:E,5,0)</f>
        <v>200</v>
      </c>
    </row>
    <row r="4324" spans="1:6" ht="15.75" hidden="1" customHeight="1" x14ac:dyDescent="0.35">
      <c r="A4324" s="1">
        <v>4323</v>
      </c>
      <c r="B4324" s="1">
        <v>841</v>
      </c>
      <c r="C4324" s="1">
        <v>8</v>
      </c>
      <c r="D4324" t="str">
        <f>VLOOKUP(B4324,Заказы!A:C,3,0)</f>
        <v>2023-09-25 16:07:00</v>
      </c>
      <c r="E4324" t="str">
        <f>VLOOKUP(C4324,Меню!A:E,4,0)</f>
        <v>Завтрак</v>
      </c>
      <c r="F4324">
        <f>VLOOKUP(C4324,Меню!A:E,5,0)</f>
        <v>180</v>
      </c>
    </row>
    <row r="4325" spans="1:6" ht="15.75" hidden="1" customHeight="1" x14ac:dyDescent="0.35">
      <c r="A4325" s="1">
        <v>4324</v>
      </c>
      <c r="B4325" s="1">
        <v>842</v>
      </c>
      <c r="C4325" s="1">
        <v>10</v>
      </c>
      <c r="D4325" t="str">
        <f>VLOOKUP(B4325,Заказы!A:C,3,0)</f>
        <v>2023-09-25 16:31:00</v>
      </c>
      <c r="E4325" t="str">
        <f>VLOOKUP(C4325,Меню!A:E,4,0)</f>
        <v>Завтрак</v>
      </c>
      <c r="F4325">
        <f>VLOOKUP(C4325,Меню!A:E,5,0)</f>
        <v>200</v>
      </c>
    </row>
    <row r="4326" spans="1:6" ht="15.75" hidden="1" customHeight="1" x14ac:dyDescent="0.35">
      <c r="A4326" s="1">
        <v>4325</v>
      </c>
      <c r="B4326" s="1">
        <v>842</v>
      </c>
      <c r="C4326" s="1">
        <v>51</v>
      </c>
      <c r="D4326" t="str">
        <f>VLOOKUP(B4326,Заказы!A:C,3,0)</f>
        <v>2023-09-25 16:31:00</v>
      </c>
      <c r="E4326" t="str">
        <f>VLOOKUP(C4326,Меню!A:E,4,0)</f>
        <v>Суши</v>
      </c>
      <c r="F4326">
        <f>VLOOKUP(C4326,Меню!A:E,5,0)</f>
        <v>100</v>
      </c>
    </row>
    <row r="4327" spans="1:6" ht="15.75" hidden="1" customHeight="1" x14ac:dyDescent="0.35">
      <c r="A4327" s="1">
        <v>4326</v>
      </c>
      <c r="B4327" s="1">
        <v>842</v>
      </c>
      <c r="C4327" s="1">
        <v>33</v>
      </c>
      <c r="D4327" t="str">
        <f>VLOOKUP(B4327,Заказы!A:C,3,0)</f>
        <v>2023-09-25 16:31:00</v>
      </c>
      <c r="E4327" t="str">
        <f>VLOOKUP(C4327,Меню!A:E,4,0)</f>
        <v>Десерт</v>
      </c>
      <c r="F4327">
        <f>VLOOKUP(C4327,Меню!A:E,5,0)</f>
        <v>150</v>
      </c>
    </row>
    <row r="4328" spans="1:6" ht="15.75" hidden="1" customHeight="1" x14ac:dyDescent="0.35">
      <c r="A4328" s="1">
        <v>4327</v>
      </c>
      <c r="B4328" s="1">
        <v>843</v>
      </c>
      <c r="C4328" s="1">
        <v>49</v>
      </c>
      <c r="D4328" t="str">
        <f>VLOOKUP(B4328,Заказы!A:C,3,0)</f>
        <v>2023-09-25 16:50:00</v>
      </c>
      <c r="E4328" t="str">
        <f>VLOOKUP(C4328,Меню!A:E,4,0)</f>
        <v>Суши</v>
      </c>
      <c r="F4328">
        <f>VLOOKUP(C4328,Меню!A:E,5,0)</f>
        <v>200</v>
      </c>
    </row>
    <row r="4329" spans="1:6" ht="15.75" hidden="1" customHeight="1" x14ac:dyDescent="0.35">
      <c r="A4329" s="1">
        <v>4328</v>
      </c>
      <c r="B4329" s="1">
        <v>843</v>
      </c>
      <c r="C4329" s="1">
        <v>57</v>
      </c>
      <c r="D4329" t="str">
        <f>VLOOKUP(B4329,Заказы!A:C,3,0)</f>
        <v>2023-09-25 16:50:00</v>
      </c>
      <c r="E4329" t="str">
        <f>VLOOKUP(C4329,Меню!A:E,4,0)</f>
        <v>Суши</v>
      </c>
      <c r="F4329">
        <f>VLOOKUP(C4329,Меню!A:E,5,0)</f>
        <v>200</v>
      </c>
    </row>
    <row r="4330" spans="1:6" ht="15.75" hidden="1" customHeight="1" x14ac:dyDescent="0.35">
      <c r="A4330" s="1">
        <v>4329</v>
      </c>
      <c r="B4330" s="1">
        <v>843</v>
      </c>
      <c r="C4330" s="1">
        <v>3</v>
      </c>
      <c r="D4330" t="str">
        <f>VLOOKUP(B4330,Заказы!A:C,3,0)</f>
        <v>2023-09-25 16:50:00</v>
      </c>
      <c r="E4330" t="str">
        <f>VLOOKUP(C4330,Меню!A:E,4,0)</f>
        <v>Завтрак</v>
      </c>
      <c r="F4330">
        <f>VLOOKUP(C4330,Меню!A:E,5,0)</f>
        <v>150</v>
      </c>
    </row>
    <row r="4331" spans="1:6" ht="15.75" hidden="1" customHeight="1" x14ac:dyDescent="0.35">
      <c r="A4331" s="1">
        <v>4330</v>
      </c>
      <c r="B4331" s="1">
        <v>843</v>
      </c>
      <c r="C4331" s="1">
        <v>23</v>
      </c>
      <c r="D4331" t="str">
        <f>VLOOKUP(B4331,Заказы!A:C,3,0)</f>
        <v>2023-09-25 16:50:00</v>
      </c>
      <c r="E4331" t="str">
        <f>VLOOKUP(C4331,Меню!A:E,4,0)</f>
        <v>Салат</v>
      </c>
      <c r="F4331">
        <f>VLOOKUP(C4331,Меню!A:E,5,0)</f>
        <v>250</v>
      </c>
    </row>
    <row r="4332" spans="1:6" ht="15.75" hidden="1" customHeight="1" x14ac:dyDescent="0.35">
      <c r="A4332" s="1">
        <v>4331</v>
      </c>
      <c r="B4332" s="1">
        <v>843</v>
      </c>
      <c r="C4332" s="1">
        <v>12</v>
      </c>
      <c r="D4332" t="str">
        <f>VLOOKUP(B4332,Заказы!A:C,3,0)</f>
        <v>2023-09-25 16:50:00</v>
      </c>
      <c r="E4332" t="str">
        <f>VLOOKUP(C4332,Меню!A:E,4,0)</f>
        <v>Первое</v>
      </c>
      <c r="F4332">
        <f>VLOOKUP(C4332,Меню!A:E,5,0)</f>
        <v>300</v>
      </c>
    </row>
    <row r="4333" spans="1:6" ht="15.75" hidden="1" customHeight="1" x14ac:dyDescent="0.35">
      <c r="A4333" s="1">
        <v>4332</v>
      </c>
      <c r="B4333" s="1">
        <v>843</v>
      </c>
      <c r="C4333" s="1">
        <v>35</v>
      </c>
      <c r="D4333" t="str">
        <f>VLOOKUP(B4333,Заказы!A:C,3,0)</f>
        <v>2023-09-25 16:50:00</v>
      </c>
      <c r="E4333" t="str">
        <f>VLOOKUP(C4333,Меню!A:E,4,0)</f>
        <v>Десерт</v>
      </c>
      <c r="F4333">
        <f>VLOOKUP(C4333,Меню!A:E,5,0)</f>
        <v>150</v>
      </c>
    </row>
    <row r="4334" spans="1:6" ht="15.75" hidden="1" customHeight="1" x14ac:dyDescent="0.35">
      <c r="A4334" s="1">
        <v>4333</v>
      </c>
      <c r="B4334" s="1">
        <v>843</v>
      </c>
      <c r="C4334" s="1">
        <v>29</v>
      </c>
      <c r="D4334" t="str">
        <f>VLOOKUP(B4334,Заказы!A:C,3,0)</f>
        <v>2023-09-25 16:50:00</v>
      </c>
      <c r="E4334" t="str">
        <f>VLOOKUP(C4334,Меню!A:E,4,0)</f>
        <v>Салат</v>
      </c>
      <c r="F4334">
        <f>VLOOKUP(C4334,Меню!A:E,5,0)</f>
        <v>250</v>
      </c>
    </row>
    <row r="4335" spans="1:6" ht="15.75" hidden="1" customHeight="1" x14ac:dyDescent="0.35">
      <c r="A4335" s="1">
        <v>4334</v>
      </c>
      <c r="B4335" s="1">
        <v>843</v>
      </c>
      <c r="C4335" s="1">
        <v>3</v>
      </c>
      <c r="D4335" t="str">
        <f>VLOOKUP(B4335,Заказы!A:C,3,0)</f>
        <v>2023-09-25 16:50:00</v>
      </c>
      <c r="E4335" t="str">
        <f>VLOOKUP(C4335,Меню!A:E,4,0)</f>
        <v>Завтрак</v>
      </c>
      <c r="F4335">
        <f>VLOOKUP(C4335,Меню!A:E,5,0)</f>
        <v>150</v>
      </c>
    </row>
    <row r="4336" spans="1:6" ht="15.75" hidden="1" customHeight="1" x14ac:dyDescent="0.35">
      <c r="A4336" s="1">
        <v>4335</v>
      </c>
      <c r="B4336" s="1">
        <v>843</v>
      </c>
      <c r="C4336" s="1">
        <v>15</v>
      </c>
      <c r="D4336" t="str">
        <f>VLOOKUP(B4336,Заказы!A:C,3,0)</f>
        <v>2023-09-25 16:50:00</v>
      </c>
      <c r="E4336" t="str">
        <f>VLOOKUP(C4336,Меню!A:E,4,0)</f>
        <v>Первое</v>
      </c>
      <c r="F4336">
        <f>VLOOKUP(C4336,Меню!A:E,5,0)</f>
        <v>250</v>
      </c>
    </row>
    <row r="4337" spans="1:6" ht="15.75" hidden="1" customHeight="1" x14ac:dyDescent="0.35">
      <c r="A4337" s="1">
        <v>4336</v>
      </c>
      <c r="B4337" s="1">
        <v>843</v>
      </c>
      <c r="C4337" s="1">
        <v>27</v>
      </c>
      <c r="D4337" t="str">
        <f>VLOOKUP(B4337,Заказы!A:C,3,0)</f>
        <v>2023-09-25 16:50:00</v>
      </c>
      <c r="E4337" t="str">
        <f>VLOOKUP(C4337,Меню!A:E,4,0)</f>
        <v>Салат</v>
      </c>
      <c r="F4337">
        <f>VLOOKUP(C4337,Меню!A:E,5,0)</f>
        <v>250</v>
      </c>
    </row>
    <row r="4338" spans="1:6" ht="15.75" hidden="1" customHeight="1" x14ac:dyDescent="0.35">
      <c r="A4338" s="1">
        <v>4337</v>
      </c>
      <c r="B4338" s="1">
        <v>844</v>
      </c>
      <c r="C4338" s="1">
        <v>28</v>
      </c>
      <c r="D4338" t="str">
        <f>VLOOKUP(B4338,Заказы!A:C,3,0)</f>
        <v>2023-09-25 17:15:00</v>
      </c>
      <c r="E4338" t="str">
        <f>VLOOKUP(C4338,Меню!A:E,4,0)</f>
        <v>Салат</v>
      </c>
      <c r="F4338">
        <f>VLOOKUP(C4338,Меню!A:E,5,0)</f>
        <v>250</v>
      </c>
    </row>
    <row r="4339" spans="1:6" ht="15.75" hidden="1" customHeight="1" x14ac:dyDescent="0.35">
      <c r="A4339" s="1">
        <v>4338</v>
      </c>
      <c r="B4339" s="1">
        <v>844</v>
      </c>
      <c r="C4339" s="1">
        <v>55</v>
      </c>
      <c r="D4339" t="str">
        <f>VLOOKUP(B4339,Заказы!A:C,3,0)</f>
        <v>2023-09-25 17:15:00</v>
      </c>
      <c r="E4339" t="str">
        <f>VLOOKUP(C4339,Меню!A:E,4,0)</f>
        <v>Суши</v>
      </c>
      <c r="F4339">
        <f>VLOOKUP(C4339,Меню!A:E,5,0)</f>
        <v>100</v>
      </c>
    </row>
    <row r="4340" spans="1:6" ht="15.75" hidden="1" customHeight="1" x14ac:dyDescent="0.35">
      <c r="A4340" s="1">
        <v>4339</v>
      </c>
      <c r="B4340" s="1">
        <v>844</v>
      </c>
      <c r="C4340" s="1">
        <v>9</v>
      </c>
      <c r="D4340" t="str">
        <f>VLOOKUP(B4340,Заказы!A:C,3,0)</f>
        <v>2023-09-25 17:15:00</v>
      </c>
      <c r="E4340" t="str">
        <f>VLOOKUP(C4340,Меню!A:E,4,0)</f>
        <v>Завтрак</v>
      </c>
      <c r="F4340">
        <f>VLOOKUP(C4340,Меню!A:E,5,0)</f>
        <v>220</v>
      </c>
    </row>
    <row r="4341" spans="1:6" ht="15.75" hidden="1" customHeight="1" x14ac:dyDescent="0.35">
      <c r="A4341" s="1">
        <v>4340</v>
      </c>
      <c r="B4341" s="1">
        <v>844</v>
      </c>
      <c r="C4341" s="1">
        <v>60</v>
      </c>
      <c r="D4341" t="str">
        <f>VLOOKUP(B4341,Заказы!A:C,3,0)</f>
        <v>2023-09-25 17:15:00</v>
      </c>
      <c r="E4341" t="str">
        <f>VLOOKUP(C4341,Меню!A:E,4,0)</f>
        <v>Суши</v>
      </c>
      <c r="F4341">
        <f>VLOOKUP(C4341,Меню!A:E,5,0)</f>
        <v>250</v>
      </c>
    </row>
    <row r="4342" spans="1:6" ht="15.75" hidden="1" customHeight="1" x14ac:dyDescent="0.35">
      <c r="A4342" s="1">
        <v>4341</v>
      </c>
      <c r="B4342" s="1">
        <v>844</v>
      </c>
      <c r="C4342" s="1">
        <v>39</v>
      </c>
      <c r="D4342" t="str">
        <f>VLOOKUP(B4342,Заказы!A:C,3,0)</f>
        <v>2023-09-25 17:15:00</v>
      </c>
      <c r="E4342" t="str">
        <f>VLOOKUP(C4342,Меню!A:E,4,0)</f>
        <v>Десерт</v>
      </c>
      <c r="F4342">
        <f>VLOOKUP(C4342,Меню!A:E,5,0)</f>
        <v>150</v>
      </c>
    </row>
    <row r="4343" spans="1:6" ht="15.75" hidden="1" customHeight="1" x14ac:dyDescent="0.35">
      <c r="A4343" s="1">
        <v>4342</v>
      </c>
      <c r="B4343" s="1">
        <v>844</v>
      </c>
      <c r="C4343" s="1">
        <v>58</v>
      </c>
      <c r="D4343" t="str">
        <f>VLOOKUP(B4343,Заказы!A:C,3,0)</f>
        <v>2023-09-25 17:15:00</v>
      </c>
      <c r="E4343" t="str">
        <f>VLOOKUP(C4343,Меню!A:E,4,0)</f>
        <v>Суши</v>
      </c>
      <c r="F4343">
        <f>VLOOKUP(C4343,Меню!A:E,5,0)</f>
        <v>200</v>
      </c>
    </row>
    <row r="4344" spans="1:6" ht="15.75" hidden="1" customHeight="1" x14ac:dyDescent="0.35">
      <c r="A4344" s="1">
        <v>4343</v>
      </c>
      <c r="B4344" s="1">
        <v>845</v>
      </c>
      <c r="C4344" s="1">
        <v>2</v>
      </c>
      <c r="D4344" t="str">
        <f>VLOOKUP(B4344,Заказы!A:C,3,0)</f>
        <v>2023-09-25 21:08:00</v>
      </c>
      <c r="E4344" t="str">
        <f>VLOOKUP(C4344,Меню!A:E,4,0)</f>
        <v>Завтрак</v>
      </c>
      <c r="F4344">
        <f>VLOOKUP(C4344,Меню!A:E,5,0)</f>
        <v>250</v>
      </c>
    </row>
    <row r="4345" spans="1:6" ht="15.75" hidden="1" customHeight="1" x14ac:dyDescent="0.35">
      <c r="A4345" s="1">
        <v>4344</v>
      </c>
      <c r="B4345" s="1">
        <v>845</v>
      </c>
      <c r="C4345" s="1">
        <v>21</v>
      </c>
      <c r="D4345" t="str">
        <f>VLOOKUP(B4345,Заказы!A:C,3,0)</f>
        <v>2023-09-25 21:08:00</v>
      </c>
      <c r="E4345" t="str">
        <f>VLOOKUP(C4345,Меню!A:E,4,0)</f>
        <v>Салат</v>
      </c>
      <c r="F4345">
        <f>VLOOKUP(C4345,Меню!A:E,5,0)</f>
        <v>250</v>
      </c>
    </row>
    <row r="4346" spans="1:6" ht="15.75" hidden="1" customHeight="1" x14ac:dyDescent="0.35">
      <c r="A4346" s="1">
        <v>4345</v>
      </c>
      <c r="B4346" s="1">
        <v>845</v>
      </c>
      <c r="C4346" s="1">
        <v>26</v>
      </c>
      <c r="D4346" t="str">
        <f>VLOOKUP(B4346,Заказы!A:C,3,0)</f>
        <v>2023-09-25 21:08:00</v>
      </c>
      <c r="E4346" t="str">
        <f>VLOOKUP(C4346,Меню!A:E,4,0)</f>
        <v>Салат</v>
      </c>
      <c r="F4346">
        <f>VLOOKUP(C4346,Меню!A:E,5,0)</f>
        <v>250</v>
      </c>
    </row>
    <row r="4347" spans="1:6" ht="15.75" hidden="1" customHeight="1" x14ac:dyDescent="0.35">
      <c r="A4347" s="1">
        <v>4346</v>
      </c>
      <c r="B4347" s="1">
        <v>845</v>
      </c>
      <c r="C4347" s="1">
        <v>7</v>
      </c>
      <c r="D4347" t="str">
        <f>VLOOKUP(B4347,Заказы!A:C,3,0)</f>
        <v>2023-09-25 21:08:00</v>
      </c>
      <c r="E4347" t="str">
        <f>VLOOKUP(C4347,Меню!A:E,4,0)</f>
        <v>Завтрак</v>
      </c>
      <c r="F4347">
        <f>VLOOKUP(C4347,Меню!A:E,5,0)</f>
        <v>200</v>
      </c>
    </row>
    <row r="4348" spans="1:6" ht="15.75" hidden="1" customHeight="1" x14ac:dyDescent="0.35">
      <c r="A4348" s="1">
        <v>4347</v>
      </c>
      <c r="B4348" s="1">
        <v>845</v>
      </c>
      <c r="C4348" s="1">
        <v>1</v>
      </c>
      <c r="D4348" t="str">
        <f>VLOOKUP(B4348,Заказы!A:C,3,0)</f>
        <v>2023-09-25 21:08:00</v>
      </c>
      <c r="E4348" t="str">
        <f>VLOOKUP(C4348,Меню!A:E,4,0)</f>
        <v>Завтрак</v>
      </c>
      <c r="F4348">
        <f>VLOOKUP(C4348,Меню!A:E,5,0)</f>
        <v>200</v>
      </c>
    </row>
    <row r="4349" spans="1:6" ht="15.75" hidden="1" customHeight="1" x14ac:dyDescent="0.35">
      <c r="A4349" s="1">
        <v>4348</v>
      </c>
      <c r="B4349" s="1">
        <v>845</v>
      </c>
      <c r="C4349" s="1">
        <v>42</v>
      </c>
      <c r="D4349" t="str">
        <f>VLOOKUP(B4349,Заказы!A:C,3,0)</f>
        <v>2023-09-25 21:08:00</v>
      </c>
      <c r="E4349" t="str">
        <f>VLOOKUP(C4349,Меню!A:E,4,0)</f>
        <v>Суши</v>
      </c>
      <c r="F4349">
        <f>VLOOKUP(C4349,Меню!A:E,5,0)</f>
        <v>250</v>
      </c>
    </row>
    <row r="4350" spans="1:6" ht="15.75" hidden="1" customHeight="1" x14ac:dyDescent="0.35">
      <c r="A4350" s="1">
        <v>4349</v>
      </c>
      <c r="B4350" s="1">
        <v>845</v>
      </c>
      <c r="C4350" s="1">
        <v>36</v>
      </c>
      <c r="D4350" t="str">
        <f>VLOOKUP(B4350,Заказы!A:C,3,0)</f>
        <v>2023-09-25 21:08:00</v>
      </c>
      <c r="E4350" t="str">
        <f>VLOOKUP(C4350,Меню!A:E,4,0)</f>
        <v>Десерт</v>
      </c>
      <c r="F4350">
        <f>VLOOKUP(C4350,Меню!A:E,5,0)</f>
        <v>150</v>
      </c>
    </row>
    <row r="4351" spans="1:6" ht="15.75" hidden="1" customHeight="1" x14ac:dyDescent="0.35">
      <c r="A4351" s="1">
        <v>4350</v>
      </c>
      <c r="B4351" s="1">
        <v>845</v>
      </c>
      <c r="C4351" s="1">
        <v>55</v>
      </c>
      <c r="D4351" t="str">
        <f>VLOOKUP(B4351,Заказы!A:C,3,0)</f>
        <v>2023-09-25 21:08:00</v>
      </c>
      <c r="E4351" t="str">
        <f>VLOOKUP(C4351,Меню!A:E,4,0)</f>
        <v>Суши</v>
      </c>
      <c r="F4351">
        <f>VLOOKUP(C4351,Меню!A:E,5,0)</f>
        <v>100</v>
      </c>
    </row>
    <row r="4352" spans="1:6" ht="15.75" hidden="1" customHeight="1" x14ac:dyDescent="0.35">
      <c r="A4352" s="1">
        <v>4351</v>
      </c>
      <c r="B4352" s="1">
        <v>845</v>
      </c>
      <c r="C4352" s="1">
        <v>46</v>
      </c>
      <c r="D4352" t="str">
        <f>VLOOKUP(B4352,Заказы!A:C,3,0)</f>
        <v>2023-09-25 21:08:00</v>
      </c>
      <c r="E4352" t="str">
        <f>VLOOKUP(C4352,Меню!A:E,4,0)</f>
        <v>Суши</v>
      </c>
      <c r="F4352">
        <f>VLOOKUP(C4352,Меню!A:E,5,0)</f>
        <v>200</v>
      </c>
    </row>
    <row r="4353" spans="1:6" ht="15.75" hidden="1" customHeight="1" x14ac:dyDescent="0.35">
      <c r="A4353" s="1">
        <v>4352</v>
      </c>
      <c r="B4353" s="1">
        <v>845</v>
      </c>
      <c r="C4353" s="1">
        <v>48</v>
      </c>
      <c r="D4353" t="str">
        <f>VLOOKUP(B4353,Заказы!A:C,3,0)</f>
        <v>2023-09-25 21:08:00</v>
      </c>
      <c r="E4353" t="str">
        <f>VLOOKUP(C4353,Меню!A:E,4,0)</f>
        <v>Суши</v>
      </c>
      <c r="F4353">
        <f>VLOOKUP(C4353,Меню!A:E,5,0)</f>
        <v>200</v>
      </c>
    </row>
    <row r="4354" spans="1:6" ht="15.75" hidden="1" customHeight="1" x14ac:dyDescent="0.35">
      <c r="A4354" s="1">
        <v>4353</v>
      </c>
      <c r="B4354" s="1">
        <v>846</v>
      </c>
      <c r="C4354" s="1">
        <v>6</v>
      </c>
      <c r="D4354" t="str">
        <f>VLOOKUP(B4354,Заказы!A:C,3,0)</f>
        <v>2023-09-25 21:23:00</v>
      </c>
      <c r="E4354" t="str">
        <f>VLOOKUP(C4354,Меню!A:E,4,0)</f>
        <v>Завтрак</v>
      </c>
      <c r="F4354">
        <f>VLOOKUP(C4354,Меню!A:E,5,0)</f>
        <v>300</v>
      </c>
    </row>
    <row r="4355" spans="1:6" ht="15.75" hidden="1" customHeight="1" x14ac:dyDescent="0.35">
      <c r="A4355" s="1">
        <v>4354</v>
      </c>
      <c r="B4355" s="1">
        <v>846</v>
      </c>
      <c r="C4355" s="1">
        <v>12</v>
      </c>
      <c r="D4355" t="str">
        <f>VLOOKUP(B4355,Заказы!A:C,3,0)</f>
        <v>2023-09-25 21:23:00</v>
      </c>
      <c r="E4355" t="str">
        <f>VLOOKUP(C4355,Меню!A:E,4,0)</f>
        <v>Первое</v>
      </c>
      <c r="F4355">
        <f>VLOOKUP(C4355,Меню!A:E,5,0)</f>
        <v>300</v>
      </c>
    </row>
    <row r="4356" spans="1:6" ht="15.75" hidden="1" customHeight="1" x14ac:dyDescent="0.35">
      <c r="A4356" s="1">
        <v>4355</v>
      </c>
      <c r="B4356" s="1">
        <v>846</v>
      </c>
      <c r="C4356" s="1">
        <v>34</v>
      </c>
      <c r="D4356" t="str">
        <f>VLOOKUP(B4356,Заказы!A:C,3,0)</f>
        <v>2023-09-25 21:23:00</v>
      </c>
      <c r="E4356" t="str">
        <f>VLOOKUP(C4356,Меню!A:E,4,0)</f>
        <v>Десерт</v>
      </c>
      <c r="F4356">
        <f>VLOOKUP(C4356,Меню!A:E,5,0)</f>
        <v>150</v>
      </c>
    </row>
    <row r="4357" spans="1:6" ht="15.75" hidden="1" customHeight="1" x14ac:dyDescent="0.35">
      <c r="A4357" s="1">
        <v>4356</v>
      </c>
      <c r="B4357" s="1">
        <v>846</v>
      </c>
      <c r="C4357" s="1">
        <v>26</v>
      </c>
      <c r="D4357" t="str">
        <f>VLOOKUP(B4357,Заказы!A:C,3,0)</f>
        <v>2023-09-25 21:23:00</v>
      </c>
      <c r="E4357" t="str">
        <f>VLOOKUP(C4357,Меню!A:E,4,0)</f>
        <v>Салат</v>
      </c>
      <c r="F4357">
        <f>VLOOKUP(C4357,Меню!A:E,5,0)</f>
        <v>250</v>
      </c>
    </row>
    <row r="4358" spans="1:6" ht="15.75" hidden="1" customHeight="1" x14ac:dyDescent="0.35">
      <c r="A4358" s="1">
        <v>4357</v>
      </c>
      <c r="B4358" s="1">
        <v>846</v>
      </c>
      <c r="C4358" s="1">
        <v>15</v>
      </c>
      <c r="D4358" t="str">
        <f>VLOOKUP(B4358,Заказы!A:C,3,0)</f>
        <v>2023-09-25 21:23:00</v>
      </c>
      <c r="E4358" t="str">
        <f>VLOOKUP(C4358,Меню!A:E,4,0)</f>
        <v>Первое</v>
      </c>
      <c r="F4358">
        <f>VLOOKUP(C4358,Меню!A:E,5,0)</f>
        <v>250</v>
      </c>
    </row>
    <row r="4359" spans="1:6" ht="15.75" hidden="1" customHeight="1" x14ac:dyDescent="0.35">
      <c r="A4359" s="1">
        <v>4358</v>
      </c>
      <c r="B4359" s="1">
        <v>846</v>
      </c>
      <c r="C4359" s="1">
        <v>16</v>
      </c>
      <c r="D4359" t="str">
        <f>VLOOKUP(B4359,Заказы!A:C,3,0)</f>
        <v>2023-09-25 21:23:00</v>
      </c>
      <c r="E4359" t="str">
        <f>VLOOKUP(C4359,Меню!A:E,4,0)</f>
        <v>Первое</v>
      </c>
      <c r="F4359">
        <f>VLOOKUP(C4359,Меню!A:E,5,0)</f>
        <v>250</v>
      </c>
    </row>
    <row r="4360" spans="1:6" ht="15.75" hidden="1" customHeight="1" x14ac:dyDescent="0.35">
      <c r="A4360" s="1">
        <v>4359</v>
      </c>
      <c r="B4360" s="1">
        <v>846</v>
      </c>
      <c r="C4360" s="1">
        <v>40</v>
      </c>
      <c r="D4360" t="str">
        <f>VLOOKUP(B4360,Заказы!A:C,3,0)</f>
        <v>2023-09-25 21:23:00</v>
      </c>
      <c r="E4360" t="str">
        <f>VLOOKUP(C4360,Меню!A:E,4,0)</f>
        <v>Десерт</v>
      </c>
      <c r="F4360">
        <f>VLOOKUP(C4360,Меню!A:E,5,0)</f>
        <v>150</v>
      </c>
    </row>
    <row r="4361" spans="1:6" ht="15.75" hidden="1" customHeight="1" x14ac:dyDescent="0.35">
      <c r="A4361" s="1">
        <v>4360</v>
      </c>
      <c r="B4361" s="1">
        <v>847</v>
      </c>
      <c r="C4361" s="1">
        <v>56</v>
      </c>
      <c r="D4361" t="str">
        <f>VLOOKUP(B4361,Заказы!A:C,3,0)</f>
        <v>2023-09-25 22:43:00</v>
      </c>
      <c r="E4361" t="str">
        <f>VLOOKUP(C4361,Меню!A:E,4,0)</f>
        <v>Суши</v>
      </c>
      <c r="F4361">
        <f>VLOOKUP(C4361,Меню!A:E,5,0)</f>
        <v>200</v>
      </c>
    </row>
    <row r="4362" spans="1:6" ht="15.75" hidden="1" customHeight="1" x14ac:dyDescent="0.35">
      <c r="A4362" s="1">
        <v>4361</v>
      </c>
      <c r="B4362" s="1">
        <v>847</v>
      </c>
      <c r="C4362" s="1">
        <v>58</v>
      </c>
      <c r="D4362" t="str">
        <f>VLOOKUP(B4362,Заказы!A:C,3,0)</f>
        <v>2023-09-25 22:43:00</v>
      </c>
      <c r="E4362" t="str">
        <f>VLOOKUP(C4362,Меню!A:E,4,0)</f>
        <v>Суши</v>
      </c>
      <c r="F4362">
        <f>VLOOKUP(C4362,Меню!A:E,5,0)</f>
        <v>200</v>
      </c>
    </row>
    <row r="4363" spans="1:6" ht="15.75" hidden="1" customHeight="1" x14ac:dyDescent="0.35">
      <c r="A4363" s="1">
        <v>4362</v>
      </c>
      <c r="B4363" s="1">
        <v>847</v>
      </c>
      <c r="C4363" s="1">
        <v>53</v>
      </c>
      <c r="D4363" t="str">
        <f>VLOOKUP(B4363,Заказы!A:C,3,0)</f>
        <v>2023-09-25 22:43:00</v>
      </c>
      <c r="E4363" t="str">
        <f>VLOOKUP(C4363,Меню!A:E,4,0)</f>
        <v>Суши</v>
      </c>
      <c r="F4363">
        <f>VLOOKUP(C4363,Меню!A:E,5,0)</f>
        <v>100</v>
      </c>
    </row>
    <row r="4364" spans="1:6" ht="15.75" hidden="1" customHeight="1" x14ac:dyDescent="0.35">
      <c r="A4364" s="1">
        <v>4363</v>
      </c>
      <c r="B4364" s="1">
        <v>848</v>
      </c>
      <c r="C4364" s="1">
        <v>60</v>
      </c>
      <c r="D4364" t="str">
        <f>VLOOKUP(B4364,Заказы!A:C,3,0)</f>
        <v>2023-09-26 18:53:00</v>
      </c>
      <c r="E4364" t="str">
        <f>VLOOKUP(C4364,Меню!A:E,4,0)</f>
        <v>Суши</v>
      </c>
      <c r="F4364">
        <f>VLOOKUP(C4364,Меню!A:E,5,0)</f>
        <v>250</v>
      </c>
    </row>
    <row r="4365" spans="1:6" ht="15.75" hidden="1" customHeight="1" x14ac:dyDescent="0.35">
      <c r="A4365" s="1">
        <v>4364</v>
      </c>
      <c r="B4365" s="1">
        <v>848</v>
      </c>
      <c r="C4365" s="1">
        <v>17</v>
      </c>
      <c r="D4365" t="str">
        <f>VLOOKUP(B4365,Заказы!A:C,3,0)</f>
        <v>2023-09-26 18:53:00</v>
      </c>
      <c r="E4365" t="str">
        <f>VLOOKUP(C4365,Меню!A:E,4,0)</f>
        <v>Первое</v>
      </c>
      <c r="F4365">
        <f>VLOOKUP(C4365,Меню!A:E,5,0)</f>
        <v>250</v>
      </c>
    </row>
    <row r="4366" spans="1:6" ht="15.75" hidden="1" customHeight="1" x14ac:dyDescent="0.35">
      <c r="A4366" s="1">
        <v>4365</v>
      </c>
      <c r="B4366" s="1">
        <v>848</v>
      </c>
      <c r="C4366" s="1">
        <v>27</v>
      </c>
      <c r="D4366" t="str">
        <f>VLOOKUP(B4366,Заказы!A:C,3,0)</f>
        <v>2023-09-26 18:53:00</v>
      </c>
      <c r="E4366" t="str">
        <f>VLOOKUP(C4366,Меню!A:E,4,0)</f>
        <v>Салат</v>
      </c>
      <c r="F4366">
        <f>VLOOKUP(C4366,Меню!A:E,5,0)</f>
        <v>250</v>
      </c>
    </row>
    <row r="4367" spans="1:6" ht="15.75" hidden="1" customHeight="1" x14ac:dyDescent="0.35">
      <c r="A4367" s="1">
        <v>4366</v>
      </c>
      <c r="B4367" s="1">
        <v>848</v>
      </c>
      <c r="C4367" s="1">
        <v>31</v>
      </c>
      <c r="D4367" t="str">
        <f>VLOOKUP(B4367,Заказы!A:C,3,0)</f>
        <v>2023-09-26 18:53:00</v>
      </c>
      <c r="E4367" t="str">
        <f>VLOOKUP(C4367,Меню!A:E,4,0)</f>
        <v>Десерт</v>
      </c>
      <c r="F4367">
        <f>VLOOKUP(C4367,Меню!A:E,5,0)</f>
        <v>150</v>
      </c>
    </row>
    <row r="4368" spans="1:6" ht="15.75" hidden="1" customHeight="1" x14ac:dyDescent="0.35">
      <c r="A4368" s="1">
        <v>4367</v>
      </c>
      <c r="B4368" s="1">
        <v>848</v>
      </c>
      <c r="C4368" s="1">
        <v>42</v>
      </c>
      <c r="D4368" t="str">
        <f>VLOOKUP(B4368,Заказы!A:C,3,0)</f>
        <v>2023-09-26 18:53:00</v>
      </c>
      <c r="E4368" t="str">
        <f>VLOOKUP(C4368,Меню!A:E,4,0)</f>
        <v>Суши</v>
      </c>
      <c r="F4368">
        <f>VLOOKUP(C4368,Меню!A:E,5,0)</f>
        <v>250</v>
      </c>
    </row>
    <row r="4369" spans="1:6" ht="15.75" hidden="1" customHeight="1" x14ac:dyDescent="0.35">
      <c r="A4369" s="1">
        <v>4368</v>
      </c>
      <c r="B4369" s="1">
        <v>848</v>
      </c>
      <c r="C4369" s="1">
        <v>54</v>
      </c>
      <c r="D4369" t="str">
        <f>VLOOKUP(B4369,Заказы!A:C,3,0)</f>
        <v>2023-09-26 18:53:00</v>
      </c>
      <c r="E4369" t="str">
        <f>VLOOKUP(C4369,Меню!A:E,4,0)</f>
        <v>Суши</v>
      </c>
      <c r="F4369">
        <f>VLOOKUP(C4369,Меню!A:E,5,0)</f>
        <v>100</v>
      </c>
    </row>
    <row r="4370" spans="1:6" ht="15.75" hidden="1" customHeight="1" x14ac:dyDescent="0.35">
      <c r="A4370" s="1">
        <v>4369</v>
      </c>
      <c r="B4370" s="1">
        <v>848</v>
      </c>
      <c r="C4370" s="1">
        <v>44</v>
      </c>
      <c r="D4370" t="str">
        <f>VLOOKUP(B4370,Заказы!A:C,3,0)</f>
        <v>2023-09-26 18:53:00</v>
      </c>
      <c r="E4370" t="str">
        <f>VLOOKUP(C4370,Меню!A:E,4,0)</f>
        <v>Суши</v>
      </c>
      <c r="F4370">
        <f>VLOOKUP(C4370,Меню!A:E,5,0)</f>
        <v>250</v>
      </c>
    </row>
    <row r="4371" spans="1:6" ht="15.75" hidden="1" customHeight="1" x14ac:dyDescent="0.35">
      <c r="A4371" s="1">
        <v>4370</v>
      </c>
      <c r="B4371" s="1">
        <v>848</v>
      </c>
      <c r="C4371" s="1">
        <v>4</v>
      </c>
      <c r="D4371" t="str">
        <f>VLOOKUP(B4371,Заказы!A:C,3,0)</f>
        <v>2023-09-26 18:53:00</v>
      </c>
      <c r="E4371" t="str">
        <f>VLOOKUP(C4371,Меню!A:E,4,0)</f>
        <v>Завтрак</v>
      </c>
      <c r="F4371">
        <f>VLOOKUP(C4371,Меню!A:E,5,0)</f>
        <v>180</v>
      </c>
    </row>
    <row r="4372" spans="1:6" ht="15.75" hidden="1" customHeight="1" x14ac:dyDescent="0.35">
      <c r="A4372" s="1">
        <v>4371</v>
      </c>
      <c r="B4372" s="1">
        <v>848</v>
      </c>
      <c r="C4372" s="1">
        <v>25</v>
      </c>
      <c r="D4372" t="str">
        <f>VLOOKUP(B4372,Заказы!A:C,3,0)</f>
        <v>2023-09-26 18:53:00</v>
      </c>
      <c r="E4372" t="str">
        <f>VLOOKUP(C4372,Меню!A:E,4,0)</f>
        <v>Салат</v>
      </c>
      <c r="F4372">
        <f>VLOOKUP(C4372,Меню!A:E,5,0)</f>
        <v>250</v>
      </c>
    </row>
    <row r="4373" spans="1:6" ht="15.75" hidden="1" customHeight="1" x14ac:dyDescent="0.35">
      <c r="A4373" s="1">
        <v>4372</v>
      </c>
      <c r="B4373" s="1">
        <v>849</v>
      </c>
      <c r="C4373" s="1">
        <v>20</v>
      </c>
      <c r="D4373" t="str">
        <f>VLOOKUP(B4373,Заказы!A:C,3,0)</f>
        <v>2023-09-27 18:21:00</v>
      </c>
      <c r="E4373" t="str">
        <f>VLOOKUP(C4373,Меню!A:E,4,0)</f>
        <v>Первое</v>
      </c>
      <c r="F4373">
        <f>VLOOKUP(C4373,Меню!A:E,5,0)</f>
        <v>250</v>
      </c>
    </row>
    <row r="4374" spans="1:6" ht="15.75" hidden="1" customHeight="1" x14ac:dyDescent="0.35">
      <c r="A4374" s="1">
        <v>4373</v>
      </c>
      <c r="B4374" s="1">
        <v>849</v>
      </c>
      <c r="C4374" s="1">
        <v>7</v>
      </c>
      <c r="D4374" t="str">
        <f>VLOOKUP(B4374,Заказы!A:C,3,0)</f>
        <v>2023-09-27 18:21:00</v>
      </c>
      <c r="E4374" t="str">
        <f>VLOOKUP(C4374,Меню!A:E,4,0)</f>
        <v>Завтрак</v>
      </c>
      <c r="F4374">
        <f>VLOOKUP(C4374,Меню!A:E,5,0)</f>
        <v>200</v>
      </c>
    </row>
    <row r="4375" spans="1:6" ht="15.75" hidden="1" customHeight="1" x14ac:dyDescent="0.35">
      <c r="A4375" s="1">
        <v>4374</v>
      </c>
      <c r="B4375" s="1">
        <v>849</v>
      </c>
      <c r="C4375" s="1">
        <v>60</v>
      </c>
      <c r="D4375" t="str">
        <f>VLOOKUP(B4375,Заказы!A:C,3,0)</f>
        <v>2023-09-27 18:21:00</v>
      </c>
      <c r="E4375" t="str">
        <f>VLOOKUP(C4375,Меню!A:E,4,0)</f>
        <v>Суши</v>
      </c>
      <c r="F4375">
        <f>VLOOKUP(C4375,Меню!A:E,5,0)</f>
        <v>250</v>
      </c>
    </row>
    <row r="4376" spans="1:6" ht="15.75" hidden="1" customHeight="1" x14ac:dyDescent="0.35">
      <c r="A4376" s="1">
        <v>4375</v>
      </c>
      <c r="B4376" s="1">
        <v>849</v>
      </c>
      <c r="C4376" s="1">
        <v>48</v>
      </c>
      <c r="D4376" t="str">
        <f>VLOOKUP(B4376,Заказы!A:C,3,0)</f>
        <v>2023-09-27 18:21:00</v>
      </c>
      <c r="E4376" t="str">
        <f>VLOOKUP(C4376,Меню!A:E,4,0)</f>
        <v>Суши</v>
      </c>
      <c r="F4376">
        <f>VLOOKUP(C4376,Меню!A:E,5,0)</f>
        <v>200</v>
      </c>
    </row>
    <row r="4377" spans="1:6" ht="15.75" hidden="1" customHeight="1" x14ac:dyDescent="0.35">
      <c r="A4377" s="1">
        <v>4376</v>
      </c>
      <c r="B4377" s="1">
        <v>850</v>
      </c>
      <c r="C4377" s="1">
        <v>58</v>
      </c>
      <c r="D4377" t="str">
        <f>VLOOKUP(B4377,Заказы!A:C,3,0)</f>
        <v>2023-09-27 20:15:00</v>
      </c>
      <c r="E4377" t="str">
        <f>VLOOKUP(C4377,Меню!A:E,4,0)</f>
        <v>Суши</v>
      </c>
      <c r="F4377">
        <f>VLOOKUP(C4377,Меню!A:E,5,0)</f>
        <v>200</v>
      </c>
    </row>
    <row r="4378" spans="1:6" ht="15.75" hidden="1" customHeight="1" x14ac:dyDescent="0.35">
      <c r="A4378" s="1">
        <v>4377</v>
      </c>
      <c r="B4378" s="1">
        <v>850</v>
      </c>
      <c r="C4378" s="1">
        <v>55</v>
      </c>
      <c r="D4378" t="str">
        <f>VLOOKUP(B4378,Заказы!A:C,3,0)</f>
        <v>2023-09-27 20:15:00</v>
      </c>
      <c r="E4378" t="str">
        <f>VLOOKUP(C4378,Меню!A:E,4,0)</f>
        <v>Суши</v>
      </c>
      <c r="F4378">
        <f>VLOOKUP(C4378,Меню!A:E,5,0)</f>
        <v>100</v>
      </c>
    </row>
    <row r="4379" spans="1:6" ht="15.75" hidden="1" customHeight="1" x14ac:dyDescent="0.35">
      <c r="A4379" s="1">
        <v>4378</v>
      </c>
      <c r="B4379" s="1">
        <v>850</v>
      </c>
      <c r="C4379" s="1">
        <v>49</v>
      </c>
      <c r="D4379" t="str">
        <f>VLOOKUP(B4379,Заказы!A:C,3,0)</f>
        <v>2023-09-27 20:15:00</v>
      </c>
      <c r="E4379" t="str">
        <f>VLOOKUP(C4379,Меню!A:E,4,0)</f>
        <v>Суши</v>
      </c>
      <c r="F4379">
        <f>VLOOKUP(C4379,Меню!A:E,5,0)</f>
        <v>200</v>
      </c>
    </row>
    <row r="4380" spans="1:6" ht="15.75" hidden="1" customHeight="1" x14ac:dyDescent="0.35">
      <c r="A4380" s="1">
        <v>4379</v>
      </c>
      <c r="B4380" s="1">
        <v>850</v>
      </c>
      <c r="C4380" s="1">
        <v>47</v>
      </c>
      <c r="D4380" t="str">
        <f>VLOOKUP(B4380,Заказы!A:C,3,0)</f>
        <v>2023-09-27 20:15:00</v>
      </c>
      <c r="E4380" t="str">
        <f>VLOOKUP(C4380,Меню!A:E,4,0)</f>
        <v>Суши</v>
      </c>
      <c r="F4380">
        <f>VLOOKUP(C4380,Меню!A:E,5,0)</f>
        <v>200</v>
      </c>
    </row>
    <row r="4381" spans="1:6" ht="15.75" hidden="1" customHeight="1" x14ac:dyDescent="0.35">
      <c r="A4381" s="1">
        <v>4380</v>
      </c>
      <c r="B4381" s="1">
        <v>850</v>
      </c>
      <c r="C4381" s="1">
        <v>30</v>
      </c>
      <c r="D4381" t="str">
        <f>VLOOKUP(B4381,Заказы!A:C,3,0)</f>
        <v>2023-09-27 20:15:00</v>
      </c>
      <c r="E4381" t="str">
        <f>VLOOKUP(C4381,Меню!A:E,4,0)</f>
        <v>Салат</v>
      </c>
      <c r="F4381">
        <f>VLOOKUP(C4381,Меню!A:E,5,0)</f>
        <v>250</v>
      </c>
    </row>
    <row r="4382" spans="1:6" ht="15.75" hidden="1" customHeight="1" x14ac:dyDescent="0.35">
      <c r="A4382" s="1">
        <v>4381</v>
      </c>
      <c r="B4382" s="1">
        <v>850</v>
      </c>
      <c r="C4382" s="1">
        <v>8</v>
      </c>
      <c r="D4382" t="str">
        <f>VLOOKUP(B4382,Заказы!A:C,3,0)</f>
        <v>2023-09-27 20:15:00</v>
      </c>
      <c r="E4382" t="str">
        <f>VLOOKUP(C4382,Меню!A:E,4,0)</f>
        <v>Завтрак</v>
      </c>
      <c r="F4382">
        <f>VLOOKUP(C4382,Меню!A:E,5,0)</f>
        <v>180</v>
      </c>
    </row>
    <row r="4383" spans="1:6" ht="15.75" hidden="1" customHeight="1" x14ac:dyDescent="0.35">
      <c r="A4383" s="1">
        <v>4382</v>
      </c>
      <c r="B4383" s="1">
        <v>851</v>
      </c>
      <c r="C4383" s="1">
        <v>60</v>
      </c>
      <c r="D4383" t="str">
        <f>VLOOKUP(B4383,Заказы!A:C,3,0)</f>
        <v>2023-09-28 15:01:00</v>
      </c>
      <c r="E4383" t="str">
        <f>VLOOKUP(C4383,Меню!A:E,4,0)</f>
        <v>Суши</v>
      </c>
      <c r="F4383">
        <f>VLOOKUP(C4383,Меню!A:E,5,0)</f>
        <v>250</v>
      </c>
    </row>
    <row r="4384" spans="1:6" ht="15.75" hidden="1" customHeight="1" x14ac:dyDescent="0.35">
      <c r="A4384" s="1">
        <v>4383</v>
      </c>
      <c r="B4384" s="1">
        <v>851</v>
      </c>
      <c r="C4384" s="1">
        <v>3</v>
      </c>
      <c r="D4384" t="str">
        <f>VLOOKUP(B4384,Заказы!A:C,3,0)</f>
        <v>2023-09-28 15:01:00</v>
      </c>
      <c r="E4384" t="str">
        <f>VLOOKUP(C4384,Меню!A:E,4,0)</f>
        <v>Завтрак</v>
      </c>
      <c r="F4384">
        <f>VLOOKUP(C4384,Меню!A:E,5,0)</f>
        <v>150</v>
      </c>
    </row>
    <row r="4385" spans="1:6" ht="15.75" hidden="1" customHeight="1" x14ac:dyDescent="0.35">
      <c r="A4385" s="1">
        <v>4384</v>
      </c>
      <c r="B4385" s="1">
        <v>851</v>
      </c>
      <c r="C4385" s="1">
        <v>5</v>
      </c>
      <c r="D4385" t="str">
        <f>VLOOKUP(B4385,Заказы!A:C,3,0)</f>
        <v>2023-09-28 15:01:00</v>
      </c>
      <c r="E4385" t="str">
        <f>VLOOKUP(C4385,Меню!A:E,4,0)</f>
        <v>Завтрак</v>
      </c>
      <c r="F4385">
        <f>VLOOKUP(C4385,Меню!A:E,5,0)</f>
        <v>220</v>
      </c>
    </row>
    <row r="4386" spans="1:6" ht="15.75" hidden="1" customHeight="1" x14ac:dyDescent="0.35">
      <c r="A4386" s="1">
        <v>4385</v>
      </c>
      <c r="B4386" s="1">
        <v>851</v>
      </c>
      <c r="C4386" s="1">
        <v>49</v>
      </c>
      <c r="D4386" t="str">
        <f>VLOOKUP(B4386,Заказы!A:C,3,0)</f>
        <v>2023-09-28 15:01:00</v>
      </c>
      <c r="E4386" t="str">
        <f>VLOOKUP(C4386,Меню!A:E,4,0)</f>
        <v>Суши</v>
      </c>
      <c r="F4386">
        <f>VLOOKUP(C4386,Меню!A:E,5,0)</f>
        <v>200</v>
      </c>
    </row>
    <row r="4387" spans="1:6" ht="15.75" hidden="1" customHeight="1" x14ac:dyDescent="0.35">
      <c r="A4387" s="1">
        <v>4386</v>
      </c>
      <c r="B4387" s="1">
        <v>851</v>
      </c>
      <c r="C4387" s="1">
        <v>11</v>
      </c>
      <c r="D4387" t="str">
        <f>VLOOKUP(B4387,Заказы!A:C,3,0)</f>
        <v>2023-09-28 15:01:00</v>
      </c>
      <c r="E4387" t="str">
        <f>VLOOKUP(C4387,Меню!A:E,4,0)</f>
        <v>Первое</v>
      </c>
      <c r="F4387">
        <f>VLOOKUP(C4387,Меню!A:E,5,0)</f>
        <v>300</v>
      </c>
    </row>
    <row r="4388" spans="1:6" ht="15.75" hidden="1" customHeight="1" x14ac:dyDescent="0.35">
      <c r="A4388" s="1">
        <v>4387</v>
      </c>
      <c r="B4388" s="1">
        <v>852</v>
      </c>
      <c r="C4388" s="1">
        <v>55</v>
      </c>
      <c r="D4388" t="str">
        <f>VLOOKUP(B4388,Заказы!A:C,3,0)</f>
        <v>2023-09-28 18:02:00</v>
      </c>
      <c r="E4388" t="str">
        <f>VLOOKUP(C4388,Меню!A:E,4,0)</f>
        <v>Суши</v>
      </c>
      <c r="F4388">
        <f>VLOOKUP(C4388,Меню!A:E,5,0)</f>
        <v>100</v>
      </c>
    </row>
    <row r="4389" spans="1:6" ht="15.75" hidden="1" customHeight="1" x14ac:dyDescent="0.35">
      <c r="A4389" s="1">
        <v>4388</v>
      </c>
      <c r="B4389" s="1">
        <v>852</v>
      </c>
      <c r="C4389" s="1">
        <v>48</v>
      </c>
      <c r="D4389" t="str">
        <f>VLOOKUP(B4389,Заказы!A:C,3,0)</f>
        <v>2023-09-28 18:02:00</v>
      </c>
      <c r="E4389" t="str">
        <f>VLOOKUP(C4389,Меню!A:E,4,0)</f>
        <v>Суши</v>
      </c>
      <c r="F4389">
        <f>VLOOKUP(C4389,Меню!A:E,5,0)</f>
        <v>200</v>
      </c>
    </row>
    <row r="4390" spans="1:6" ht="15.75" hidden="1" customHeight="1" x14ac:dyDescent="0.35">
      <c r="A4390" s="1">
        <v>4389</v>
      </c>
      <c r="B4390" s="1">
        <v>852</v>
      </c>
      <c r="C4390" s="1">
        <v>2</v>
      </c>
      <c r="D4390" t="str">
        <f>VLOOKUP(B4390,Заказы!A:C,3,0)</f>
        <v>2023-09-28 18:02:00</v>
      </c>
      <c r="E4390" t="str">
        <f>VLOOKUP(C4390,Меню!A:E,4,0)</f>
        <v>Завтрак</v>
      </c>
      <c r="F4390">
        <f>VLOOKUP(C4390,Меню!A:E,5,0)</f>
        <v>250</v>
      </c>
    </row>
    <row r="4391" spans="1:6" ht="15.75" hidden="1" customHeight="1" x14ac:dyDescent="0.35">
      <c r="A4391" s="1">
        <v>4390</v>
      </c>
      <c r="B4391" s="1">
        <v>852</v>
      </c>
      <c r="C4391" s="1">
        <v>31</v>
      </c>
      <c r="D4391" t="str">
        <f>VLOOKUP(B4391,Заказы!A:C,3,0)</f>
        <v>2023-09-28 18:02:00</v>
      </c>
      <c r="E4391" t="str">
        <f>VLOOKUP(C4391,Меню!A:E,4,0)</f>
        <v>Десерт</v>
      </c>
      <c r="F4391">
        <f>VLOOKUP(C4391,Меню!A:E,5,0)</f>
        <v>150</v>
      </c>
    </row>
    <row r="4392" spans="1:6" ht="15.75" hidden="1" customHeight="1" x14ac:dyDescent="0.35">
      <c r="A4392" s="1">
        <v>4391</v>
      </c>
      <c r="B4392" s="1">
        <v>852</v>
      </c>
      <c r="C4392" s="1">
        <v>18</v>
      </c>
      <c r="D4392" t="str">
        <f>VLOOKUP(B4392,Заказы!A:C,3,0)</f>
        <v>2023-09-28 18:02:00</v>
      </c>
      <c r="E4392" t="str">
        <f>VLOOKUP(C4392,Меню!A:E,4,0)</f>
        <v>Первое</v>
      </c>
      <c r="F4392">
        <f>VLOOKUP(C4392,Меню!A:E,5,0)</f>
        <v>300</v>
      </c>
    </row>
    <row r="4393" spans="1:6" ht="15.75" hidden="1" customHeight="1" x14ac:dyDescent="0.35">
      <c r="A4393" s="1">
        <v>4392</v>
      </c>
      <c r="B4393" s="1">
        <v>853</v>
      </c>
      <c r="C4393" s="1">
        <v>18</v>
      </c>
      <c r="D4393" t="str">
        <f>VLOOKUP(B4393,Заказы!A:C,3,0)</f>
        <v>2023-09-28 19:38:00</v>
      </c>
      <c r="E4393" t="str">
        <f>VLOOKUP(C4393,Меню!A:E,4,0)</f>
        <v>Первое</v>
      </c>
      <c r="F4393">
        <f>VLOOKUP(C4393,Меню!A:E,5,0)</f>
        <v>300</v>
      </c>
    </row>
    <row r="4394" spans="1:6" ht="15.75" hidden="1" customHeight="1" x14ac:dyDescent="0.35">
      <c r="A4394" s="1">
        <v>4393</v>
      </c>
      <c r="B4394" s="1">
        <v>853</v>
      </c>
      <c r="C4394" s="1">
        <v>60</v>
      </c>
      <c r="D4394" t="str">
        <f>VLOOKUP(B4394,Заказы!A:C,3,0)</f>
        <v>2023-09-28 19:38:00</v>
      </c>
      <c r="E4394" t="str">
        <f>VLOOKUP(C4394,Меню!A:E,4,0)</f>
        <v>Суши</v>
      </c>
      <c r="F4394">
        <f>VLOOKUP(C4394,Меню!A:E,5,0)</f>
        <v>250</v>
      </c>
    </row>
    <row r="4395" spans="1:6" ht="15.75" hidden="1" customHeight="1" x14ac:dyDescent="0.35">
      <c r="A4395" s="1">
        <v>4394</v>
      </c>
      <c r="B4395" s="1">
        <v>853</v>
      </c>
      <c r="C4395" s="1">
        <v>25</v>
      </c>
      <c r="D4395" t="str">
        <f>VLOOKUP(B4395,Заказы!A:C,3,0)</f>
        <v>2023-09-28 19:38:00</v>
      </c>
      <c r="E4395" t="str">
        <f>VLOOKUP(C4395,Меню!A:E,4,0)</f>
        <v>Салат</v>
      </c>
      <c r="F4395">
        <f>VLOOKUP(C4395,Меню!A:E,5,0)</f>
        <v>250</v>
      </c>
    </row>
    <row r="4396" spans="1:6" ht="15.75" hidden="1" customHeight="1" x14ac:dyDescent="0.35">
      <c r="A4396" s="1">
        <v>4395</v>
      </c>
      <c r="B4396" s="1">
        <v>854</v>
      </c>
      <c r="C4396" s="1">
        <v>14</v>
      </c>
      <c r="D4396" t="str">
        <f>VLOOKUP(B4396,Заказы!A:C,3,0)</f>
        <v>2023-09-28 20:30:00</v>
      </c>
      <c r="E4396" t="str">
        <f>VLOOKUP(C4396,Меню!A:E,4,0)</f>
        <v>Первое</v>
      </c>
      <c r="F4396">
        <f>VLOOKUP(C4396,Меню!A:E,5,0)</f>
        <v>350</v>
      </c>
    </row>
    <row r="4397" spans="1:6" ht="15.75" hidden="1" customHeight="1" x14ac:dyDescent="0.35">
      <c r="A4397" s="1">
        <v>4396</v>
      </c>
      <c r="B4397" s="1">
        <v>854</v>
      </c>
      <c r="C4397" s="1">
        <v>17</v>
      </c>
      <c r="D4397" t="str">
        <f>VLOOKUP(B4397,Заказы!A:C,3,0)</f>
        <v>2023-09-28 20:30:00</v>
      </c>
      <c r="E4397" t="str">
        <f>VLOOKUP(C4397,Меню!A:E,4,0)</f>
        <v>Первое</v>
      </c>
      <c r="F4397">
        <f>VLOOKUP(C4397,Меню!A:E,5,0)</f>
        <v>250</v>
      </c>
    </row>
    <row r="4398" spans="1:6" ht="15.75" hidden="1" customHeight="1" x14ac:dyDescent="0.35">
      <c r="A4398" s="1">
        <v>4397</v>
      </c>
      <c r="B4398" s="1">
        <v>854</v>
      </c>
      <c r="C4398" s="1">
        <v>29</v>
      </c>
      <c r="D4398" t="str">
        <f>VLOOKUP(B4398,Заказы!A:C,3,0)</f>
        <v>2023-09-28 20:30:00</v>
      </c>
      <c r="E4398" t="str">
        <f>VLOOKUP(C4398,Меню!A:E,4,0)</f>
        <v>Салат</v>
      </c>
      <c r="F4398">
        <f>VLOOKUP(C4398,Меню!A:E,5,0)</f>
        <v>250</v>
      </c>
    </row>
    <row r="4399" spans="1:6" ht="15.75" hidden="1" customHeight="1" x14ac:dyDescent="0.35">
      <c r="A4399" s="1">
        <v>4398</v>
      </c>
      <c r="B4399" s="1">
        <v>855</v>
      </c>
      <c r="C4399" s="1">
        <v>46</v>
      </c>
      <c r="D4399" t="str">
        <f>VLOOKUP(B4399,Заказы!A:C,3,0)</f>
        <v>2023-09-28 21:40:00</v>
      </c>
      <c r="E4399" t="str">
        <f>VLOOKUP(C4399,Меню!A:E,4,0)</f>
        <v>Суши</v>
      </c>
      <c r="F4399">
        <f>VLOOKUP(C4399,Меню!A:E,5,0)</f>
        <v>200</v>
      </c>
    </row>
    <row r="4400" spans="1:6" ht="15.75" hidden="1" customHeight="1" x14ac:dyDescent="0.35">
      <c r="A4400" s="1">
        <v>4399</v>
      </c>
      <c r="B4400" s="1">
        <v>856</v>
      </c>
      <c r="C4400" s="1">
        <v>55</v>
      </c>
      <c r="D4400" t="str">
        <f>VLOOKUP(B4400,Заказы!A:C,3,0)</f>
        <v>2023-09-28 21:59:00</v>
      </c>
      <c r="E4400" t="str">
        <f>VLOOKUP(C4400,Меню!A:E,4,0)</f>
        <v>Суши</v>
      </c>
      <c r="F4400">
        <f>VLOOKUP(C4400,Меню!A:E,5,0)</f>
        <v>100</v>
      </c>
    </row>
    <row r="4401" spans="1:6" ht="15.75" hidden="1" customHeight="1" x14ac:dyDescent="0.35">
      <c r="A4401" s="1">
        <v>4400</v>
      </c>
      <c r="B4401" s="1">
        <v>856</v>
      </c>
      <c r="C4401" s="1">
        <v>7</v>
      </c>
      <c r="D4401" t="str">
        <f>VLOOKUP(B4401,Заказы!A:C,3,0)</f>
        <v>2023-09-28 21:59:00</v>
      </c>
      <c r="E4401" t="str">
        <f>VLOOKUP(C4401,Меню!A:E,4,0)</f>
        <v>Завтрак</v>
      </c>
      <c r="F4401">
        <f>VLOOKUP(C4401,Меню!A:E,5,0)</f>
        <v>200</v>
      </c>
    </row>
    <row r="4402" spans="1:6" ht="15.75" hidden="1" customHeight="1" x14ac:dyDescent="0.35">
      <c r="A4402" s="1">
        <v>4401</v>
      </c>
      <c r="B4402" s="1">
        <v>856</v>
      </c>
      <c r="C4402" s="1">
        <v>35</v>
      </c>
      <c r="D4402" t="str">
        <f>VLOOKUP(B4402,Заказы!A:C,3,0)</f>
        <v>2023-09-28 21:59:00</v>
      </c>
      <c r="E4402" t="str">
        <f>VLOOKUP(C4402,Меню!A:E,4,0)</f>
        <v>Десерт</v>
      </c>
      <c r="F4402">
        <f>VLOOKUP(C4402,Меню!A:E,5,0)</f>
        <v>150</v>
      </c>
    </row>
    <row r="4403" spans="1:6" ht="15.75" hidden="1" customHeight="1" x14ac:dyDescent="0.35">
      <c r="A4403" s="1">
        <v>4402</v>
      </c>
      <c r="B4403" s="1">
        <v>856</v>
      </c>
      <c r="C4403" s="1">
        <v>17</v>
      </c>
      <c r="D4403" t="str">
        <f>VLOOKUP(B4403,Заказы!A:C,3,0)</f>
        <v>2023-09-28 21:59:00</v>
      </c>
      <c r="E4403" t="str">
        <f>VLOOKUP(C4403,Меню!A:E,4,0)</f>
        <v>Первое</v>
      </c>
      <c r="F4403">
        <f>VLOOKUP(C4403,Меню!A:E,5,0)</f>
        <v>250</v>
      </c>
    </row>
    <row r="4404" spans="1:6" ht="15.75" hidden="1" customHeight="1" x14ac:dyDescent="0.35">
      <c r="A4404" s="1">
        <v>4403</v>
      </c>
      <c r="B4404" s="1">
        <v>856</v>
      </c>
      <c r="C4404" s="1">
        <v>51</v>
      </c>
      <c r="D4404" t="str">
        <f>VLOOKUP(B4404,Заказы!A:C,3,0)</f>
        <v>2023-09-28 21:59:00</v>
      </c>
      <c r="E4404" t="str">
        <f>VLOOKUP(C4404,Меню!A:E,4,0)</f>
        <v>Суши</v>
      </c>
      <c r="F4404">
        <f>VLOOKUP(C4404,Меню!A:E,5,0)</f>
        <v>100</v>
      </c>
    </row>
    <row r="4405" spans="1:6" ht="15.75" hidden="1" customHeight="1" x14ac:dyDescent="0.35">
      <c r="A4405" s="1">
        <v>4404</v>
      </c>
      <c r="B4405" s="1">
        <v>856</v>
      </c>
      <c r="C4405" s="1">
        <v>5</v>
      </c>
      <c r="D4405" t="str">
        <f>VLOOKUP(B4405,Заказы!A:C,3,0)</f>
        <v>2023-09-28 21:59:00</v>
      </c>
      <c r="E4405" t="str">
        <f>VLOOKUP(C4405,Меню!A:E,4,0)</f>
        <v>Завтрак</v>
      </c>
      <c r="F4405">
        <f>VLOOKUP(C4405,Меню!A:E,5,0)</f>
        <v>220</v>
      </c>
    </row>
    <row r="4406" spans="1:6" ht="15.75" hidden="1" customHeight="1" x14ac:dyDescent="0.35">
      <c r="A4406" s="1">
        <v>4405</v>
      </c>
      <c r="B4406" s="1">
        <v>857</v>
      </c>
      <c r="C4406" s="1">
        <v>24</v>
      </c>
      <c r="D4406" t="str">
        <f>VLOOKUP(B4406,Заказы!A:C,3,0)</f>
        <v>2023-09-29 16:00:00</v>
      </c>
      <c r="E4406" t="str">
        <f>VLOOKUP(C4406,Меню!A:E,4,0)</f>
        <v>Салат</v>
      </c>
      <c r="F4406">
        <f>VLOOKUP(C4406,Меню!A:E,5,0)</f>
        <v>250</v>
      </c>
    </row>
    <row r="4407" spans="1:6" ht="15.75" hidden="1" customHeight="1" x14ac:dyDescent="0.35">
      <c r="A4407" s="1">
        <v>4406</v>
      </c>
      <c r="B4407" s="1">
        <v>857</v>
      </c>
      <c r="C4407" s="1">
        <v>39</v>
      </c>
      <c r="D4407" t="str">
        <f>VLOOKUP(B4407,Заказы!A:C,3,0)</f>
        <v>2023-09-29 16:00:00</v>
      </c>
      <c r="E4407" t="str">
        <f>VLOOKUP(C4407,Меню!A:E,4,0)</f>
        <v>Десерт</v>
      </c>
      <c r="F4407">
        <f>VLOOKUP(C4407,Меню!A:E,5,0)</f>
        <v>150</v>
      </c>
    </row>
    <row r="4408" spans="1:6" ht="15.75" hidden="1" customHeight="1" x14ac:dyDescent="0.35">
      <c r="A4408" s="1">
        <v>4407</v>
      </c>
      <c r="B4408" s="1">
        <v>857</v>
      </c>
      <c r="C4408" s="1">
        <v>3</v>
      </c>
      <c r="D4408" t="str">
        <f>VLOOKUP(B4408,Заказы!A:C,3,0)</f>
        <v>2023-09-29 16:00:00</v>
      </c>
      <c r="E4408" t="str">
        <f>VLOOKUP(C4408,Меню!A:E,4,0)</f>
        <v>Завтрак</v>
      </c>
      <c r="F4408">
        <f>VLOOKUP(C4408,Меню!A:E,5,0)</f>
        <v>150</v>
      </c>
    </row>
    <row r="4409" spans="1:6" ht="15.75" hidden="1" customHeight="1" x14ac:dyDescent="0.35">
      <c r="A4409" s="1">
        <v>4408</v>
      </c>
      <c r="B4409" s="1">
        <v>857</v>
      </c>
      <c r="C4409" s="1">
        <v>12</v>
      </c>
      <c r="D4409" t="str">
        <f>VLOOKUP(B4409,Заказы!A:C,3,0)</f>
        <v>2023-09-29 16:00:00</v>
      </c>
      <c r="E4409" t="str">
        <f>VLOOKUP(C4409,Меню!A:E,4,0)</f>
        <v>Первое</v>
      </c>
      <c r="F4409">
        <f>VLOOKUP(C4409,Меню!A:E,5,0)</f>
        <v>300</v>
      </c>
    </row>
    <row r="4410" spans="1:6" ht="15.75" hidden="1" customHeight="1" x14ac:dyDescent="0.35">
      <c r="A4410" s="1">
        <v>4409</v>
      </c>
      <c r="B4410" s="1">
        <v>858</v>
      </c>
      <c r="C4410" s="1">
        <v>44</v>
      </c>
      <c r="D4410" t="str">
        <f>VLOOKUP(B4410,Заказы!A:C,3,0)</f>
        <v>2023-09-29 18:47:00</v>
      </c>
      <c r="E4410" t="str">
        <f>VLOOKUP(C4410,Меню!A:E,4,0)</f>
        <v>Суши</v>
      </c>
      <c r="F4410">
        <f>VLOOKUP(C4410,Меню!A:E,5,0)</f>
        <v>250</v>
      </c>
    </row>
    <row r="4411" spans="1:6" ht="15.75" hidden="1" customHeight="1" x14ac:dyDescent="0.35">
      <c r="A4411" s="1">
        <v>4410</v>
      </c>
      <c r="B4411" s="1">
        <v>858</v>
      </c>
      <c r="C4411" s="1">
        <v>24</v>
      </c>
      <c r="D4411" t="str">
        <f>VLOOKUP(B4411,Заказы!A:C,3,0)</f>
        <v>2023-09-29 18:47:00</v>
      </c>
      <c r="E4411" t="str">
        <f>VLOOKUP(C4411,Меню!A:E,4,0)</f>
        <v>Салат</v>
      </c>
      <c r="F4411">
        <f>VLOOKUP(C4411,Меню!A:E,5,0)</f>
        <v>250</v>
      </c>
    </row>
    <row r="4412" spans="1:6" ht="15.75" hidden="1" customHeight="1" x14ac:dyDescent="0.35">
      <c r="A4412" s="1">
        <v>4411</v>
      </c>
      <c r="B4412" s="1">
        <v>858</v>
      </c>
      <c r="C4412" s="1">
        <v>55</v>
      </c>
      <c r="D4412" t="str">
        <f>VLOOKUP(B4412,Заказы!A:C,3,0)</f>
        <v>2023-09-29 18:47:00</v>
      </c>
      <c r="E4412" t="str">
        <f>VLOOKUP(C4412,Меню!A:E,4,0)</f>
        <v>Суши</v>
      </c>
      <c r="F4412">
        <f>VLOOKUP(C4412,Меню!A:E,5,0)</f>
        <v>100</v>
      </c>
    </row>
    <row r="4413" spans="1:6" ht="15.75" hidden="1" customHeight="1" x14ac:dyDescent="0.35">
      <c r="A4413" s="1">
        <v>4412</v>
      </c>
      <c r="B4413" s="1">
        <v>858</v>
      </c>
      <c r="C4413" s="1">
        <v>4</v>
      </c>
      <c r="D4413" t="str">
        <f>VLOOKUP(B4413,Заказы!A:C,3,0)</f>
        <v>2023-09-29 18:47:00</v>
      </c>
      <c r="E4413" t="str">
        <f>VLOOKUP(C4413,Меню!A:E,4,0)</f>
        <v>Завтрак</v>
      </c>
      <c r="F4413">
        <f>VLOOKUP(C4413,Меню!A:E,5,0)</f>
        <v>180</v>
      </c>
    </row>
    <row r="4414" spans="1:6" ht="15.75" hidden="1" customHeight="1" x14ac:dyDescent="0.35">
      <c r="A4414" s="1">
        <v>4413</v>
      </c>
      <c r="B4414" s="1">
        <v>859</v>
      </c>
      <c r="C4414" s="1">
        <v>41</v>
      </c>
      <c r="D4414" t="str">
        <f>VLOOKUP(B4414,Заказы!A:C,3,0)</f>
        <v>2023-09-29 20:36:00</v>
      </c>
      <c r="E4414" t="str">
        <f>VLOOKUP(C4414,Меню!A:E,4,0)</f>
        <v>Суши</v>
      </c>
      <c r="F4414">
        <f>VLOOKUP(C4414,Меню!A:E,5,0)</f>
        <v>220</v>
      </c>
    </row>
    <row r="4415" spans="1:6" ht="15.75" hidden="1" customHeight="1" x14ac:dyDescent="0.35">
      <c r="A4415" s="1">
        <v>4414</v>
      </c>
      <c r="B4415" s="1">
        <v>859</v>
      </c>
      <c r="C4415" s="1">
        <v>34</v>
      </c>
      <c r="D4415" t="str">
        <f>VLOOKUP(B4415,Заказы!A:C,3,0)</f>
        <v>2023-09-29 20:36:00</v>
      </c>
      <c r="E4415" t="str">
        <f>VLOOKUP(C4415,Меню!A:E,4,0)</f>
        <v>Десерт</v>
      </c>
      <c r="F4415">
        <f>VLOOKUP(C4415,Меню!A:E,5,0)</f>
        <v>150</v>
      </c>
    </row>
    <row r="4416" spans="1:6" ht="15.75" hidden="1" customHeight="1" x14ac:dyDescent="0.35">
      <c r="A4416" s="1">
        <v>4415</v>
      </c>
      <c r="B4416" s="1">
        <v>859</v>
      </c>
      <c r="C4416" s="1">
        <v>20</v>
      </c>
      <c r="D4416" t="str">
        <f>VLOOKUP(B4416,Заказы!A:C,3,0)</f>
        <v>2023-09-29 20:36:00</v>
      </c>
      <c r="E4416" t="str">
        <f>VLOOKUP(C4416,Меню!A:E,4,0)</f>
        <v>Первое</v>
      </c>
      <c r="F4416">
        <f>VLOOKUP(C4416,Меню!A:E,5,0)</f>
        <v>250</v>
      </c>
    </row>
    <row r="4417" spans="1:6" ht="15.75" hidden="1" customHeight="1" x14ac:dyDescent="0.35">
      <c r="A4417" s="1">
        <v>4416</v>
      </c>
      <c r="B4417" s="1">
        <v>859</v>
      </c>
      <c r="C4417" s="1">
        <v>59</v>
      </c>
      <c r="D4417" t="str">
        <f>VLOOKUP(B4417,Заказы!A:C,3,0)</f>
        <v>2023-09-29 20:36:00</v>
      </c>
      <c r="E4417" t="str">
        <f>VLOOKUP(C4417,Меню!A:E,4,0)</f>
        <v>Суши</v>
      </c>
      <c r="F4417">
        <f>VLOOKUP(C4417,Меню!A:E,5,0)</f>
        <v>300</v>
      </c>
    </row>
    <row r="4418" spans="1:6" ht="15.75" hidden="1" customHeight="1" x14ac:dyDescent="0.35">
      <c r="A4418" s="1">
        <v>4417</v>
      </c>
      <c r="B4418" s="1">
        <v>859</v>
      </c>
      <c r="C4418" s="1">
        <v>3</v>
      </c>
      <c r="D4418" t="str">
        <f>VLOOKUP(B4418,Заказы!A:C,3,0)</f>
        <v>2023-09-29 20:36:00</v>
      </c>
      <c r="E4418" t="str">
        <f>VLOOKUP(C4418,Меню!A:E,4,0)</f>
        <v>Завтрак</v>
      </c>
      <c r="F4418">
        <f>VLOOKUP(C4418,Меню!A:E,5,0)</f>
        <v>150</v>
      </c>
    </row>
    <row r="4419" spans="1:6" ht="15.75" hidden="1" customHeight="1" x14ac:dyDescent="0.35">
      <c r="A4419" s="1">
        <v>4418</v>
      </c>
      <c r="B4419" s="1">
        <v>859</v>
      </c>
      <c r="C4419" s="1">
        <v>8</v>
      </c>
      <c r="D4419" t="str">
        <f>VLOOKUP(B4419,Заказы!A:C,3,0)</f>
        <v>2023-09-29 20:36:00</v>
      </c>
      <c r="E4419" t="str">
        <f>VLOOKUP(C4419,Меню!A:E,4,0)</f>
        <v>Завтрак</v>
      </c>
      <c r="F4419">
        <f>VLOOKUP(C4419,Меню!A:E,5,0)</f>
        <v>180</v>
      </c>
    </row>
    <row r="4420" spans="1:6" ht="15.75" hidden="1" customHeight="1" x14ac:dyDescent="0.35">
      <c r="A4420" s="1">
        <v>4419</v>
      </c>
      <c r="B4420" s="1">
        <v>860</v>
      </c>
      <c r="C4420" s="1">
        <v>41</v>
      </c>
      <c r="D4420" t="str">
        <f>VLOOKUP(B4420,Заказы!A:C,3,0)</f>
        <v>2023-09-29 21:43:00</v>
      </c>
      <c r="E4420" t="str">
        <f>VLOOKUP(C4420,Меню!A:E,4,0)</f>
        <v>Суши</v>
      </c>
      <c r="F4420">
        <f>VLOOKUP(C4420,Меню!A:E,5,0)</f>
        <v>220</v>
      </c>
    </row>
    <row r="4421" spans="1:6" ht="15.75" hidden="1" customHeight="1" x14ac:dyDescent="0.35">
      <c r="A4421" s="1">
        <v>4420</v>
      </c>
      <c r="B4421" s="1">
        <v>861</v>
      </c>
      <c r="C4421" s="1">
        <v>10</v>
      </c>
      <c r="D4421" t="str">
        <f>VLOOKUP(B4421,Заказы!A:C,3,0)</f>
        <v>2023-09-29 22:25:00</v>
      </c>
      <c r="E4421" t="str">
        <f>VLOOKUP(C4421,Меню!A:E,4,0)</f>
        <v>Завтрак</v>
      </c>
      <c r="F4421">
        <f>VLOOKUP(C4421,Меню!A:E,5,0)</f>
        <v>200</v>
      </c>
    </row>
    <row r="4422" spans="1:6" ht="15.75" hidden="1" customHeight="1" x14ac:dyDescent="0.35">
      <c r="A4422" s="1">
        <v>4421</v>
      </c>
      <c r="B4422" s="1">
        <v>861</v>
      </c>
      <c r="C4422" s="1">
        <v>48</v>
      </c>
      <c r="D4422" t="str">
        <f>VLOOKUP(B4422,Заказы!A:C,3,0)</f>
        <v>2023-09-29 22:25:00</v>
      </c>
      <c r="E4422" t="str">
        <f>VLOOKUP(C4422,Меню!A:E,4,0)</f>
        <v>Суши</v>
      </c>
      <c r="F4422">
        <f>VLOOKUP(C4422,Меню!A:E,5,0)</f>
        <v>200</v>
      </c>
    </row>
    <row r="4423" spans="1:6" ht="15.75" hidden="1" customHeight="1" x14ac:dyDescent="0.35">
      <c r="A4423" s="1">
        <v>4422</v>
      </c>
      <c r="B4423" s="1">
        <v>861</v>
      </c>
      <c r="C4423" s="1">
        <v>40</v>
      </c>
      <c r="D4423" t="str">
        <f>VLOOKUP(B4423,Заказы!A:C,3,0)</f>
        <v>2023-09-29 22:25:00</v>
      </c>
      <c r="E4423" t="str">
        <f>VLOOKUP(C4423,Меню!A:E,4,0)</f>
        <v>Десерт</v>
      </c>
      <c r="F4423">
        <f>VLOOKUP(C4423,Меню!A:E,5,0)</f>
        <v>150</v>
      </c>
    </row>
    <row r="4424" spans="1:6" ht="15.75" hidden="1" customHeight="1" x14ac:dyDescent="0.35">
      <c r="A4424" s="1">
        <v>4423</v>
      </c>
      <c r="B4424" s="1">
        <v>861</v>
      </c>
      <c r="C4424" s="1">
        <v>56</v>
      </c>
      <c r="D4424" t="str">
        <f>VLOOKUP(B4424,Заказы!A:C,3,0)</f>
        <v>2023-09-29 22:25:00</v>
      </c>
      <c r="E4424" t="str">
        <f>VLOOKUP(C4424,Меню!A:E,4,0)</f>
        <v>Суши</v>
      </c>
      <c r="F4424">
        <f>VLOOKUP(C4424,Меню!A:E,5,0)</f>
        <v>200</v>
      </c>
    </row>
    <row r="4425" spans="1:6" ht="15.75" hidden="1" customHeight="1" x14ac:dyDescent="0.35">
      <c r="A4425" s="1">
        <v>4424</v>
      </c>
      <c r="B4425" s="1">
        <v>861</v>
      </c>
      <c r="C4425" s="1">
        <v>50</v>
      </c>
      <c r="D4425" t="str">
        <f>VLOOKUP(B4425,Заказы!A:C,3,0)</f>
        <v>2023-09-29 22:25:00</v>
      </c>
      <c r="E4425" t="str">
        <f>VLOOKUP(C4425,Меню!A:E,4,0)</f>
        <v>Суши</v>
      </c>
      <c r="F4425">
        <f>VLOOKUP(C4425,Меню!A:E,5,0)</f>
        <v>200</v>
      </c>
    </row>
    <row r="4426" spans="1:6" ht="15.75" hidden="1" customHeight="1" x14ac:dyDescent="0.35">
      <c r="A4426" s="1">
        <v>4425</v>
      </c>
      <c r="B4426" s="1">
        <v>861</v>
      </c>
      <c r="C4426" s="1">
        <v>33</v>
      </c>
      <c r="D4426" t="str">
        <f>VLOOKUP(B4426,Заказы!A:C,3,0)</f>
        <v>2023-09-29 22:25:00</v>
      </c>
      <c r="E4426" t="str">
        <f>VLOOKUP(C4426,Меню!A:E,4,0)</f>
        <v>Десерт</v>
      </c>
      <c r="F4426">
        <f>VLOOKUP(C4426,Меню!A:E,5,0)</f>
        <v>150</v>
      </c>
    </row>
    <row r="4427" spans="1:6" ht="15.75" hidden="1" customHeight="1" x14ac:dyDescent="0.35">
      <c r="A4427" s="1">
        <v>4426</v>
      </c>
      <c r="B4427" s="1">
        <v>861</v>
      </c>
      <c r="C4427" s="1">
        <v>39</v>
      </c>
      <c r="D4427" t="str">
        <f>VLOOKUP(B4427,Заказы!A:C,3,0)</f>
        <v>2023-09-29 22:25:00</v>
      </c>
      <c r="E4427" t="str">
        <f>VLOOKUP(C4427,Меню!A:E,4,0)</f>
        <v>Десерт</v>
      </c>
      <c r="F4427">
        <f>VLOOKUP(C4427,Меню!A:E,5,0)</f>
        <v>150</v>
      </c>
    </row>
    <row r="4428" spans="1:6" ht="15.75" hidden="1" customHeight="1" x14ac:dyDescent="0.35">
      <c r="A4428" s="1">
        <v>4427</v>
      </c>
      <c r="B4428" s="1">
        <v>861</v>
      </c>
      <c r="C4428" s="1">
        <v>12</v>
      </c>
      <c r="D4428" t="str">
        <f>VLOOKUP(B4428,Заказы!A:C,3,0)</f>
        <v>2023-09-29 22:25:00</v>
      </c>
      <c r="E4428" t="str">
        <f>VLOOKUP(C4428,Меню!A:E,4,0)</f>
        <v>Первое</v>
      </c>
      <c r="F4428">
        <f>VLOOKUP(C4428,Меню!A:E,5,0)</f>
        <v>300</v>
      </c>
    </row>
    <row r="4429" spans="1:6" ht="15.75" hidden="1" customHeight="1" x14ac:dyDescent="0.35">
      <c r="A4429" s="1">
        <v>4428</v>
      </c>
      <c r="B4429" s="1">
        <v>862</v>
      </c>
      <c r="C4429" s="1">
        <v>22</v>
      </c>
      <c r="D4429" t="str">
        <f>VLOOKUP(B4429,Заказы!A:C,3,0)</f>
        <v>2023-09-30 17:32:00</v>
      </c>
      <c r="E4429" t="str">
        <f>VLOOKUP(C4429,Меню!A:E,4,0)</f>
        <v>Салат</v>
      </c>
      <c r="F4429">
        <f>VLOOKUP(C4429,Меню!A:E,5,0)</f>
        <v>250</v>
      </c>
    </row>
    <row r="4430" spans="1:6" ht="15.75" hidden="1" customHeight="1" x14ac:dyDescent="0.35">
      <c r="A4430" s="1">
        <v>4429</v>
      </c>
      <c r="B4430" s="1">
        <v>862</v>
      </c>
      <c r="C4430" s="1">
        <v>44</v>
      </c>
      <c r="D4430" t="str">
        <f>VLOOKUP(B4430,Заказы!A:C,3,0)</f>
        <v>2023-09-30 17:32:00</v>
      </c>
      <c r="E4430" t="str">
        <f>VLOOKUP(C4430,Меню!A:E,4,0)</f>
        <v>Суши</v>
      </c>
      <c r="F4430">
        <f>VLOOKUP(C4430,Меню!A:E,5,0)</f>
        <v>250</v>
      </c>
    </row>
    <row r="4431" spans="1:6" ht="15.75" hidden="1" customHeight="1" x14ac:dyDescent="0.35">
      <c r="A4431" s="1">
        <v>4430</v>
      </c>
      <c r="B4431" s="1">
        <v>863</v>
      </c>
      <c r="C4431" s="1">
        <v>23</v>
      </c>
      <c r="D4431" t="str">
        <f>VLOOKUP(B4431,Заказы!A:C,3,0)</f>
        <v>2023-09-30 17:39:00</v>
      </c>
      <c r="E4431" t="str">
        <f>VLOOKUP(C4431,Меню!A:E,4,0)</f>
        <v>Салат</v>
      </c>
      <c r="F4431">
        <f>VLOOKUP(C4431,Меню!A:E,5,0)</f>
        <v>250</v>
      </c>
    </row>
    <row r="4432" spans="1:6" ht="15.75" hidden="1" customHeight="1" x14ac:dyDescent="0.35">
      <c r="A4432" s="1">
        <v>4431</v>
      </c>
      <c r="B4432" s="1">
        <v>863</v>
      </c>
      <c r="C4432" s="1">
        <v>27</v>
      </c>
      <c r="D4432" t="str">
        <f>VLOOKUP(B4432,Заказы!A:C,3,0)</f>
        <v>2023-09-30 17:39:00</v>
      </c>
      <c r="E4432" t="str">
        <f>VLOOKUP(C4432,Меню!A:E,4,0)</f>
        <v>Салат</v>
      </c>
      <c r="F4432">
        <f>VLOOKUP(C4432,Меню!A:E,5,0)</f>
        <v>250</v>
      </c>
    </row>
    <row r="4433" spans="1:6" ht="15.75" hidden="1" customHeight="1" x14ac:dyDescent="0.35">
      <c r="A4433" s="1">
        <v>4432</v>
      </c>
      <c r="B4433" s="1">
        <v>863</v>
      </c>
      <c r="C4433" s="1">
        <v>58</v>
      </c>
      <c r="D4433" t="str">
        <f>VLOOKUP(B4433,Заказы!A:C,3,0)</f>
        <v>2023-09-30 17:39:00</v>
      </c>
      <c r="E4433" t="str">
        <f>VLOOKUP(C4433,Меню!A:E,4,0)</f>
        <v>Суши</v>
      </c>
      <c r="F4433">
        <f>VLOOKUP(C4433,Меню!A:E,5,0)</f>
        <v>200</v>
      </c>
    </row>
    <row r="4434" spans="1:6" ht="15.75" hidden="1" customHeight="1" x14ac:dyDescent="0.35">
      <c r="A4434" s="1">
        <v>4433</v>
      </c>
      <c r="B4434" s="1">
        <v>863</v>
      </c>
      <c r="C4434" s="1">
        <v>18</v>
      </c>
      <c r="D4434" t="str">
        <f>VLOOKUP(B4434,Заказы!A:C,3,0)</f>
        <v>2023-09-30 17:39:00</v>
      </c>
      <c r="E4434" t="str">
        <f>VLOOKUP(C4434,Меню!A:E,4,0)</f>
        <v>Первое</v>
      </c>
      <c r="F4434">
        <f>VLOOKUP(C4434,Меню!A:E,5,0)</f>
        <v>300</v>
      </c>
    </row>
    <row r="4435" spans="1:6" ht="15.75" hidden="1" customHeight="1" x14ac:dyDescent="0.35">
      <c r="A4435" s="1">
        <v>4434</v>
      </c>
      <c r="B4435" s="1">
        <v>864</v>
      </c>
      <c r="C4435" s="1">
        <v>44</v>
      </c>
      <c r="D4435" t="str">
        <f>VLOOKUP(B4435,Заказы!A:C,3,0)</f>
        <v>2023-09-30 18:34:00</v>
      </c>
      <c r="E4435" t="str">
        <f>VLOOKUP(C4435,Меню!A:E,4,0)</f>
        <v>Суши</v>
      </c>
      <c r="F4435">
        <f>VLOOKUP(C4435,Меню!A:E,5,0)</f>
        <v>250</v>
      </c>
    </row>
    <row r="4436" spans="1:6" ht="15.75" hidden="1" customHeight="1" x14ac:dyDescent="0.35">
      <c r="A4436" s="1">
        <v>4435</v>
      </c>
      <c r="B4436" s="1">
        <v>864</v>
      </c>
      <c r="C4436" s="1">
        <v>20</v>
      </c>
      <c r="D4436" t="str">
        <f>VLOOKUP(B4436,Заказы!A:C,3,0)</f>
        <v>2023-09-30 18:34:00</v>
      </c>
      <c r="E4436" t="str">
        <f>VLOOKUP(C4436,Меню!A:E,4,0)</f>
        <v>Первое</v>
      </c>
      <c r="F4436">
        <f>VLOOKUP(C4436,Меню!A:E,5,0)</f>
        <v>250</v>
      </c>
    </row>
    <row r="4437" spans="1:6" ht="15.75" hidden="1" customHeight="1" x14ac:dyDescent="0.35">
      <c r="A4437" s="1">
        <v>4436</v>
      </c>
      <c r="B4437" s="1">
        <v>864</v>
      </c>
      <c r="C4437" s="1">
        <v>22</v>
      </c>
      <c r="D4437" t="str">
        <f>VLOOKUP(B4437,Заказы!A:C,3,0)</f>
        <v>2023-09-30 18:34:00</v>
      </c>
      <c r="E4437" t="str">
        <f>VLOOKUP(C4437,Меню!A:E,4,0)</f>
        <v>Салат</v>
      </c>
      <c r="F4437">
        <f>VLOOKUP(C4437,Меню!A:E,5,0)</f>
        <v>250</v>
      </c>
    </row>
    <row r="4438" spans="1:6" ht="15.75" hidden="1" customHeight="1" x14ac:dyDescent="0.35">
      <c r="A4438" s="1">
        <v>4437</v>
      </c>
      <c r="B4438" s="1">
        <v>864</v>
      </c>
      <c r="C4438" s="1">
        <v>27</v>
      </c>
      <c r="D4438" t="str">
        <f>VLOOKUP(B4438,Заказы!A:C,3,0)</f>
        <v>2023-09-30 18:34:00</v>
      </c>
      <c r="E4438" t="str">
        <f>VLOOKUP(C4438,Меню!A:E,4,0)</f>
        <v>Салат</v>
      </c>
      <c r="F4438">
        <f>VLOOKUP(C4438,Меню!A:E,5,0)</f>
        <v>250</v>
      </c>
    </row>
    <row r="4439" spans="1:6" ht="15.75" hidden="1" customHeight="1" x14ac:dyDescent="0.35">
      <c r="A4439" s="1">
        <v>4438</v>
      </c>
      <c r="B4439" s="1">
        <v>864</v>
      </c>
      <c r="C4439" s="1">
        <v>31</v>
      </c>
      <c r="D4439" t="str">
        <f>VLOOKUP(B4439,Заказы!A:C,3,0)</f>
        <v>2023-09-30 18:34:00</v>
      </c>
      <c r="E4439" t="str">
        <f>VLOOKUP(C4439,Меню!A:E,4,0)</f>
        <v>Десерт</v>
      </c>
      <c r="F4439">
        <f>VLOOKUP(C4439,Меню!A:E,5,0)</f>
        <v>150</v>
      </c>
    </row>
    <row r="4440" spans="1:6" ht="15.75" hidden="1" customHeight="1" x14ac:dyDescent="0.35">
      <c r="A4440" s="1">
        <v>4439</v>
      </c>
      <c r="B4440" s="1">
        <v>864</v>
      </c>
      <c r="C4440" s="1">
        <v>23</v>
      </c>
      <c r="D4440" t="str">
        <f>VLOOKUP(B4440,Заказы!A:C,3,0)</f>
        <v>2023-09-30 18:34:00</v>
      </c>
      <c r="E4440" t="str">
        <f>VLOOKUP(C4440,Меню!A:E,4,0)</f>
        <v>Салат</v>
      </c>
      <c r="F4440">
        <f>VLOOKUP(C4440,Меню!A:E,5,0)</f>
        <v>250</v>
      </c>
    </row>
    <row r="4441" spans="1:6" ht="15.75" hidden="1" customHeight="1" x14ac:dyDescent="0.35">
      <c r="A4441" s="1">
        <v>4440</v>
      </c>
      <c r="B4441" s="1">
        <v>864</v>
      </c>
      <c r="C4441" s="1">
        <v>21</v>
      </c>
      <c r="D4441" t="str">
        <f>VLOOKUP(B4441,Заказы!A:C,3,0)</f>
        <v>2023-09-30 18:34:00</v>
      </c>
      <c r="E4441" t="str">
        <f>VLOOKUP(C4441,Меню!A:E,4,0)</f>
        <v>Салат</v>
      </c>
      <c r="F4441">
        <f>VLOOKUP(C4441,Меню!A:E,5,0)</f>
        <v>250</v>
      </c>
    </row>
    <row r="4442" spans="1:6" ht="15.75" hidden="1" customHeight="1" x14ac:dyDescent="0.35">
      <c r="A4442" s="1">
        <v>4441</v>
      </c>
      <c r="B4442" s="1">
        <v>864</v>
      </c>
      <c r="C4442" s="1">
        <v>43</v>
      </c>
      <c r="D4442" t="str">
        <f>VLOOKUP(B4442,Заказы!A:C,3,0)</f>
        <v>2023-09-30 18:34:00</v>
      </c>
      <c r="E4442" t="str">
        <f>VLOOKUP(C4442,Меню!A:E,4,0)</f>
        <v>Суши</v>
      </c>
      <c r="F4442">
        <f>VLOOKUP(C4442,Меню!A:E,5,0)</f>
        <v>250</v>
      </c>
    </row>
    <row r="4443" spans="1:6" ht="15.75" hidden="1" customHeight="1" x14ac:dyDescent="0.35">
      <c r="A4443" s="1">
        <v>4442</v>
      </c>
      <c r="B4443" s="1">
        <v>865</v>
      </c>
      <c r="C4443" s="1">
        <v>13</v>
      </c>
      <c r="D4443" t="str">
        <f>VLOOKUP(B4443,Заказы!A:C,3,0)</f>
        <v>2023-09-30 21:18:00</v>
      </c>
      <c r="E4443" t="str">
        <f>VLOOKUP(C4443,Меню!A:E,4,0)</f>
        <v>Первое</v>
      </c>
      <c r="F4443">
        <f>VLOOKUP(C4443,Меню!A:E,5,0)</f>
        <v>280</v>
      </c>
    </row>
    <row r="4444" spans="1:6" ht="15.75" hidden="1" customHeight="1" x14ac:dyDescent="0.35">
      <c r="A4444" s="1">
        <v>4443</v>
      </c>
      <c r="B4444" s="1">
        <v>865</v>
      </c>
      <c r="C4444" s="1">
        <v>56</v>
      </c>
      <c r="D4444" t="str">
        <f>VLOOKUP(B4444,Заказы!A:C,3,0)</f>
        <v>2023-09-30 21:18:00</v>
      </c>
      <c r="E4444" t="str">
        <f>VLOOKUP(C4444,Меню!A:E,4,0)</f>
        <v>Суши</v>
      </c>
      <c r="F4444">
        <f>VLOOKUP(C4444,Меню!A:E,5,0)</f>
        <v>200</v>
      </c>
    </row>
    <row r="4445" spans="1:6" ht="15.75" hidden="1" customHeight="1" x14ac:dyDescent="0.35">
      <c r="A4445" s="1">
        <v>4444</v>
      </c>
      <c r="B4445" s="1">
        <v>866</v>
      </c>
      <c r="C4445" s="1">
        <v>9</v>
      </c>
      <c r="D4445" t="str">
        <f>VLOOKUP(B4445,Заказы!A:C,3,0)</f>
        <v>2023-09-30 22:30:00</v>
      </c>
      <c r="E4445" t="str">
        <f>VLOOKUP(C4445,Меню!A:E,4,0)</f>
        <v>Завтрак</v>
      </c>
      <c r="F4445">
        <f>VLOOKUP(C4445,Меню!A:E,5,0)</f>
        <v>220</v>
      </c>
    </row>
    <row r="4446" spans="1:6" ht="15.75" hidden="1" customHeight="1" x14ac:dyDescent="0.35">
      <c r="A4446" s="1">
        <v>4445</v>
      </c>
      <c r="B4446" s="1">
        <v>866</v>
      </c>
      <c r="C4446" s="1">
        <v>23</v>
      </c>
      <c r="D4446" t="str">
        <f>VLOOKUP(B4446,Заказы!A:C,3,0)</f>
        <v>2023-09-30 22:30:00</v>
      </c>
      <c r="E4446" t="str">
        <f>VLOOKUP(C4446,Меню!A:E,4,0)</f>
        <v>Салат</v>
      </c>
      <c r="F4446">
        <f>VLOOKUP(C4446,Меню!A:E,5,0)</f>
        <v>250</v>
      </c>
    </row>
    <row r="4447" spans="1:6" ht="15.75" hidden="1" customHeight="1" x14ac:dyDescent="0.35">
      <c r="A4447" s="1">
        <v>4446</v>
      </c>
      <c r="B4447" s="1">
        <v>866</v>
      </c>
      <c r="C4447" s="1">
        <v>2</v>
      </c>
      <c r="D4447" t="str">
        <f>VLOOKUP(B4447,Заказы!A:C,3,0)</f>
        <v>2023-09-30 22:30:00</v>
      </c>
      <c r="E4447" t="str">
        <f>VLOOKUP(C4447,Меню!A:E,4,0)</f>
        <v>Завтрак</v>
      </c>
      <c r="F4447">
        <f>VLOOKUP(C4447,Меню!A:E,5,0)</f>
        <v>250</v>
      </c>
    </row>
    <row r="4448" spans="1:6" ht="15.75" hidden="1" customHeight="1" x14ac:dyDescent="0.35">
      <c r="A4448" s="1">
        <v>4447</v>
      </c>
      <c r="B4448" s="1">
        <v>866</v>
      </c>
      <c r="C4448" s="1">
        <v>36</v>
      </c>
      <c r="D4448" t="str">
        <f>VLOOKUP(B4448,Заказы!A:C,3,0)</f>
        <v>2023-09-30 22:30:00</v>
      </c>
      <c r="E4448" t="str">
        <f>VLOOKUP(C4448,Меню!A:E,4,0)</f>
        <v>Десерт</v>
      </c>
      <c r="F4448">
        <f>VLOOKUP(C4448,Меню!A:E,5,0)</f>
        <v>150</v>
      </c>
    </row>
    <row r="4449" spans="1:6" ht="15.75" hidden="1" customHeight="1" x14ac:dyDescent="0.35">
      <c r="A4449" s="1">
        <v>4448</v>
      </c>
      <c r="B4449" s="1">
        <v>866</v>
      </c>
      <c r="C4449" s="1">
        <v>18</v>
      </c>
      <c r="D4449" t="str">
        <f>VLOOKUP(B4449,Заказы!A:C,3,0)</f>
        <v>2023-09-30 22:30:00</v>
      </c>
      <c r="E4449" t="str">
        <f>VLOOKUP(C4449,Меню!A:E,4,0)</f>
        <v>Первое</v>
      </c>
      <c r="F4449">
        <f>VLOOKUP(C4449,Меню!A:E,5,0)</f>
        <v>300</v>
      </c>
    </row>
    <row r="4450" spans="1:6" ht="15.75" hidden="1" customHeight="1" x14ac:dyDescent="0.35">
      <c r="A4450" s="1">
        <v>4449</v>
      </c>
      <c r="B4450" s="1">
        <v>866</v>
      </c>
      <c r="C4450" s="1">
        <v>34</v>
      </c>
      <c r="D4450" t="str">
        <f>VLOOKUP(B4450,Заказы!A:C,3,0)</f>
        <v>2023-09-30 22:30:00</v>
      </c>
      <c r="E4450" t="str">
        <f>VLOOKUP(C4450,Меню!A:E,4,0)</f>
        <v>Десерт</v>
      </c>
      <c r="F4450">
        <f>VLOOKUP(C4450,Меню!A:E,5,0)</f>
        <v>150</v>
      </c>
    </row>
    <row r="4451" spans="1:6" ht="15.75" hidden="1" customHeight="1" x14ac:dyDescent="0.35">
      <c r="A4451" s="1">
        <v>4450</v>
      </c>
      <c r="B4451" s="1">
        <v>866</v>
      </c>
      <c r="C4451" s="1">
        <v>27</v>
      </c>
      <c r="D4451" t="str">
        <f>VLOOKUP(B4451,Заказы!A:C,3,0)</f>
        <v>2023-09-30 22:30:00</v>
      </c>
      <c r="E4451" t="str">
        <f>VLOOKUP(C4451,Меню!A:E,4,0)</f>
        <v>Салат</v>
      </c>
      <c r="F4451">
        <f>VLOOKUP(C4451,Меню!A:E,5,0)</f>
        <v>250</v>
      </c>
    </row>
    <row r="4452" spans="1:6" ht="15.75" hidden="1" customHeight="1" x14ac:dyDescent="0.35">
      <c r="A4452" s="1">
        <v>4451</v>
      </c>
      <c r="B4452" s="1">
        <v>867</v>
      </c>
      <c r="C4452" s="1">
        <v>9</v>
      </c>
      <c r="D4452" t="str">
        <f>VLOOKUP(B4452,Заказы!A:C,3,0)</f>
        <v>2023-10-01 20:19:00</v>
      </c>
      <c r="E4452" t="str">
        <f>VLOOKUP(C4452,Меню!A:E,4,0)</f>
        <v>Завтрак</v>
      </c>
      <c r="F4452">
        <f>VLOOKUP(C4452,Меню!A:E,5,0)</f>
        <v>220</v>
      </c>
    </row>
    <row r="4453" spans="1:6" ht="15.75" hidden="1" customHeight="1" x14ac:dyDescent="0.35">
      <c r="A4453" s="1">
        <v>4452</v>
      </c>
      <c r="B4453" s="1">
        <v>867</v>
      </c>
      <c r="C4453" s="1">
        <v>44</v>
      </c>
      <c r="D4453" t="str">
        <f>VLOOKUP(B4453,Заказы!A:C,3,0)</f>
        <v>2023-10-01 20:19:00</v>
      </c>
      <c r="E4453" t="str">
        <f>VLOOKUP(C4453,Меню!A:E,4,0)</f>
        <v>Суши</v>
      </c>
      <c r="F4453">
        <f>VLOOKUP(C4453,Меню!A:E,5,0)</f>
        <v>250</v>
      </c>
    </row>
    <row r="4454" spans="1:6" ht="15.75" hidden="1" customHeight="1" x14ac:dyDescent="0.35">
      <c r="A4454" s="1">
        <v>4453</v>
      </c>
      <c r="B4454" s="1">
        <v>867</v>
      </c>
      <c r="C4454" s="1">
        <v>10</v>
      </c>
      <c r="D4454" t="str">
        <f>VLOOKUP(B4454,Заказы!A:C,3,0)</f>
        <v>2023-10-01 20:19:00</v>
      </c>
      <c r="E4454" t="str">
        <f>VLOOKUP(C4454,Меню!A:E,4,0)</f>
        <v>Завтрак</v>
      </c>
      <c r="F4454">
        <f>VLOOKUP(C4454,Меню!A:E,5,0)</f>
        <v>200</v>
      </c>
    </row>
    <row r="4455" spans="1:6" ht="15.75" hidden="1" customHeight="1" x14ac:dyDescent="0.35">
      <c r="A4455" s="1">
        <v>4454</v>
      </c>
      <c r="B4455" s="1">
        <v>867</v>
      </c>
      <c r="C4455" s="1">
        <v>44</v>
      </c>
      <c r="D4455" t="str">
        <f>VLOOKUP(B4455,Заказы!A:C,3,0)</f>
        <v>2023-10-01 20:19:00</v>
      </c>
      <c r="E4455" t="str">
        <f>VLOOKUP(C4455,Меню!A:E,4,0)</f>
        <v>Суши</v>
      </c>
      <c r="F4455">
        <f>VLOOKUP(C4455,Меню!A:E,5,0)</f>
        <v>250</v>
      </c>
    </row>
    <row r="4456" spans="1:6" ht="15.75" hidden="1" customHeight="1" x14ac:dyDescent="0.35">
      <c r="A4456" s="1">
        <v>4455</v>
      </c>
      <c r="B4456" s="1">
        <v>867</v>
      </c>
      <c r="C4456" s="1">
        <v>36</v>
      </c>
      <c r="D4456" t="str">
        <f>VLOOKUP(B4456,Заказы!A:C,3,0)</f>
        <v>2023-10-01 20:19:00</v>
      </c>
      <c r="E4456" t="str">
        <f>VLOOKUP(C4456,Меню!A:E,4,0)</f>
        <v>Десерт</v>
      </c>
      <c r="F4456">
        <f>VLOOKUP(C4456,Меню!A:E,5,0)</f>
        <v>150</v>
      </c>
    </row>
    <row r="4457" spans="1:6" ht="15.75" hidden="1" customHeight="1" x14ac:dyDescent="0.35">
      <c r="A4457" s="1">
        <v>4456</v>
      </c>
      <c r="B4457" s="1">
        <v>867</v>
      </c>
      <c r="C4457" s="1">
        <v>42</v>
      </c>
      <c r="D4457" t="str">
        <f>VLOOKUP(B4457,Заказы!A:C,3,0)</f>
        <v>2023-10-01 20:19:00</v>
      </c>
      <c r="E4457" t="str">
        <f>VLOOKUP(C4457,Меню!A:E,4,0)</f>
        <v>Суши</v>
      </c>
      <c r="F4457">
        <f>VLOOKUP(C4457,Меню!A:E,5,0)</f>
        <v>250</v>
      </c>
    </row>
    <row r="4458" spans="1:6" ht="15.75" hidden="1" customHeight="1" x14ac:dyDescent="0.35">
      <c r="A4458" s="1">
        <v>4457</v>
      </c>
      <c r="B4458" s="1">
        <v>867</v>
      </c>
      <c r="C4458" s="1">
        <v>4</v>
      </c>
      <c r="D4458" t="str">
        <f>VLOOKUP(B4458,Заказы!A:C,3,0)</f>
        <v>2023-10-01 20:19:00</v>
      </c>
      <c r="E4458" t="str">
        <f>VLOOKUP(C4458,Меню!A:E,4,0)</f>
        <v>Завтрак</v>
      </c>
      <c r="F4458">
        <f>VLOOKUP(C4458,Меню!A:E,5,0)</f>
        <v>180</v>
      </c>
    </row>
    <row r="4459" spans="1:6" ht="15.75" hidden="1" customHeight="1" x14ac:dyDescent="0.35">
      <c r="A4459" s="1">
        <v>4458</v>
      </c>
      <c r="B4459" s="1">
        <v>867</v>
      </c>
      <c r="C4459" s="1">
        <v>39</v>
      </c>
      <c r="D4459" t="str">
        <f>VLOOKUP(B4459,Заказы!A:C,3,0)</f>
        <v>2023-10-01 20:19:00</v>
      </c>
      <c r="E4459" t="str">
        <f>VLOOKUP(C4459,Меню!A:E,4,0)</f>
        <v>Десерт</v>
      </c>
      <c r="F4459">
        <f>VLOOKUP(C4459,Меню!A:E,5,0)</f>
        <v>150</v>
      </c>
    </row>
    <row r="4460" spans="1:6" ht="15.75" hidden="1" customHeight="1" x14ac:dyDescent="0.35">
      <c r="A4460" s="1">
        <v>4459</v>
      </c>
      <c r="B4460" s="1">
        <v>867</v>
      </c>
      <c r="C4460" s="1">
        <v>32</v>
      </c>
      <c r="D4460" t="str">
        <f>VLOOKUP(B4460,Заказы!A:C,3,0)</f>
        <v>2023-10-01 20:19:00</v>
      </c>
      <c r="E4460" t="str">
        <f>VLOOKUP(C4460,Меню!A:E,4,0)</f>
        <v>Десерт</v>
      </c>
      <c r="F4460">
        <f>VLOOKUP(C4460,Меню!A:E,5,0)</f>
        <v>150</v>
      </c>
    </row>
    <row r="4461" spans="1:6" ht="15.75" hidden="1" customHeight="1" x14ac:dyDescent="0.35">
      <c r="A4461" s="1">
        <v>4460</v>
      </c>
      <c r="B4461" s="1">
        <v>868</v>
      </c>
      <c r="C4461" s="1">
        <v>56</v>
      </c>
      <c r="D4461" t="str">
        <f>VLOOKUP(B4461,Заказы!A:C,3,0)</f>
        <v>2023-10-02 18:27:00</v>
      </c>
      <c r="E4461" t="str">
        <f>VLOOKUP(C4461,Меню!A:E,4,0)</f>
        <v>Суши</v>
      </c>
      <c r="F4461">
        <f>VLOOKUP(C4461,Меню!A:E,5,0)</f>
        <v>200</v>
      </c>
    </row>
    <row r="4462" spans="1:6" ht="15.75" hidden="1" customHeight="1" x14ac:dyDescent="0.35">
      <c r="A4462" s="1">
        <v>4461</v>
      </c>
      <c r="B4462" s="1">
        <v>868</v>
      </c>
      <c r="C4462" s="1">
        <v>30</v>
      </c>
      <c r="D4462" t="str">
        <f>VLOOKUP(B4462,Заказы!A:C,3,0)</f>
        <v>2023-10-02 18:27:00</v>
      </c>
      <c r="E4462" t="str">
        <f>VLOOKUP(C4462,Меню!A:E,4,0)</f>
        <v>Салат</v>
      </c>
      <c r="F4462">
        <f>VLOOKUP(C4462,Меню!A:E,5,0)</f>
        <v>250</v>
      </c>
    </row>
    <row r="4463" spans="1:6" ht="15.75" hidden="1" customHeight="1" x14ac:dyDescent="0.35">
      <c r="A4463" s="1">
        <v>4462</v>
      </c>
      <c r="B4463" s="1">
        <v>868</v>
      </c>
      <c r="C4463" s="1">
        <v>4</v>
      </c>
      <c r="D4463" t="str">
        <f>VLOOKUP(B4463,Заказы!A:C,3,0)</f>
        <v>2023-10-02 18:27:00</v>
      </c>
      <c r="E4463" t="str">
        <f>VLOOKUP(C4463,Меню!A:E,4,0)</f>
        <v>Завтрак</v>
      </c>
      <c r="F4463">
        <f>VLOOKUP(C4463,Меню!A:E,5,0)</f>
        <v>180</v>
      </c>
    </row>
    <row r="4464" spans="1:6" ht="15.75" hidden="1" customHeight="1" x14ac:dyDescent="0.35">
      <c r="A4464" s="1">
        <v>4463</v>
      </c>
      <c r="B4464" s="1">
        <v>868</v>
      </c>
      <c r="C4464" s="1">
        <v>5</v>
      </c>
      <c r="D4464" t="str">
        <f>VLOOKUP(B4464,Заказы!A:C,3,0)</f>
        <v>2023-10-02 18:27:00</v>
      </c>
      <c r="E4464" t="str">
        <f>VLOOKUP(C4464,Меню!A:E,4,0)</f>
        <v>Завтрак</v>
      </c>
      <c r="F4464">
        <f>VLOOKUP(C4464,Меню!A:E,5,0)</f>
        <v>220</v>
      </c>
    </row>
    <row r="4465" spans="1:6" ht="15.75" hidden="1" customHeight="1" x14ac:dyDescent="0.35">
      <c r="A4465" s="1">
        <v>4464</v>
      </c>
      <c r="B4465" s="1">
        <v>868</v>
      </c>
      <c r="C4465" s="1">
        <v>33</v>
      </c>
      <c r="D4465" t="str">
        <f>VLOOKUP(B4465,Заказы!A:C,3,0)</f>
        <v>2023-10-02 18:27:00</v>
      </c>
      <c r="E4465" t="str">
        <f>VLOOKUP(C4465,Меню!A:E,4,0)</f>
        <v>Десерт</v>
      </c>
      <c r="F4465">
        <f>VLOOKUP(C4465,Меню!A:E,5,0)</f>
        <v>150</v>
      </c>
    </row>
    <row r="4466" spans="1:6" ht="15.75" hidden="1" customHeight="1" x14ac:dyDescent="0.35">
      <c r="A4466" s="1">
        <v>4465</v>
      </c>
      <c r="B4466" s="1">
        <v>869</v>
      </c>
      <c r="C4466" s="1">
        <v>22</v>
      </c>
      <c r="D4466" t="str">
        <f>VLOOKUP(B4466,Заказы!A:C,3,0)</f>
        <v>2023-10-02 20:43:00</v>
      </c>
      <c r="E4466" t="str">
        <f>VLOOKUP(C4466,Меню!A:E,4,0)</f>
        <v>Салат</v>
      </c>
      <c r="F4466">
        <f>VLOOKUP(C4466,Меню!A:E,5,0)</f>
        <v>250</v>
      </c>
    </row>
    <row r="4467" spans="1:6" ht="15.75" hidden="1" customHeight="1" x14ac:dyDescent="0.35">
      <c r="A4467" s="1">
        <v>4466</v>
      </c>
      <c r="B4467" s="1">
        <v>869</v>
      </c>
      <c r="C4467" s="1">
        <v>23</v>
      </c>
      <c r="D4467" t="str">
        <f>VLOOKUP(B4467,Заказы!A:C,3,0)</f>
        <v>2023-10-02 20:43:00</v>
      </c>
      <c r="E4467" t="str">
        <f>VLOOKUP(C4467,Меню!A:E,4,0)</f>
        <v>Салат</v>
      </c>
      <c r="F4467">
        <f>VLOOKUP(C4467,Меню!A:E,5,0)</f>
        <v>250</v>
      </c>
    </row>
    <row r="4468" spans="1:6" ht="15.75" hidden="1" customHeight="1" x14ac:dyDescent="0.35">
      <c r="A4468" s="1">
        <v>4467</v>
      </c>
      <c r="B4468" s="1">
        <v>869</v>
      </c>
      <c r="C4468" s="1">
        <v>33</v>
      </c>
      <c r="D4468" t="str">
        <f>VLOOKUP(B4468,Заказы!A:C,3,0)</f>
        <v>2023-10-02 20:43:00</v>
      </c>
      <c r="E4468" t="str">
        <f>VLOOKUP(C4468,Меню!A:E,4,0)</f>
        <v>Десерт</v>
      </c>
      <c r="F4468">
        <f>VLOOKUP(C4468,Меню!A:E,5,0)</f>
        <v>150</v>
      </c>
    </row>
    <row r="4469" spans="1:6" ht="15.75" hidden="1" customHeight="1" x14ac:dyDescent="0.35">
      <c r="A4469" s="1">
        <v>4468</v>
      </c>
      <c r="B4469" s="1">
        <v>869</v>
      </c>
      <c r="C4469" s="1">
        <v>48</v>
      </c>
      <c r="D4469" t="str">
        <f>VLOOKUP(B4469,Заказы!A:C,3,0)</f>
        <v>2023-10-02 20:43:00</v>
      </c>
      <c r="E4469" t="str">
        <f>VLOOKUP(C4469,Меню!A:E,4,0)</f>
        <v>Суши</v>
      </c>
      <c r="F4469">
        <f>VLOOKUP(C4469,Меню!A:E,5,0)</f>
        <v>200</v>
      </c>
    </row>
    <row r="4470" spans="1:6" ht="15.75" hidden="1" customHeight="1" x14ac:dyDescent="0.35">
      <c r="A4470" s="1">
        <v>4469</v>
      </c>
      <c r="B4470" s="1">
        <v>869</v>
      </c>
      <c r="C4470" s="1">
        <v>57</v>
      </c>
      <c r="D4470" t="str">
        <f>VLOOKUP(B4470,Заказы!A:C,3,0)</f>
        <v>2023-10-02 20:43:00</v>
      </c>
      <c r="E4470" t="str">
        <f>VLOOKUP(C4470,Меню!A:E,4,0)</f>
        <v>Суши</v>
      </c>
      <c r="F4470">
        <f>VLOOKUP(C4470,Меню!A:E,5,0)</f>
        <v>200</v>
      </c>
    </row>
    <row r="4471" spans="1:6" ht="15.75" hidden="1" customHeight="1" x14ac:dyDescent="0.35">
      <c r="A4471" s="1">
        <v>4470</v>
      </c>
      <c r="B4471" s="1">
        <v>869</v>
      </c>
      <c r="C4471" s="1">
        <v>21</v>
      </c>
      <c r="D4471" t="str">
        <f>VLOOKUP(B4471,Заказы!A:C,3,0)</f>
        <v>2023-10-02 20:43:00</v>
      </c>
      <c r="E4471" t="str">
        <f>VLOOKUP(C4471,Меню!A:E,4,0)</f>
        <v>Салат</v>
      </c>
      <c r="F4471">
        <f>VLOOKUP(C4471,Меню!A:E,5,0)</f>
        <v>250</v>
      </c>
    </row>
    <row r="4472" spans="1:6" ht="15.75" hidden="1" customHeight="1" x14ac:dyDescent="0.35">
      <c r="A4472" s="1">
        <v>4471</v>
      </c>
      <c r="B4472" s="1">
        <v>870</v>
      </c>
      <c r="C4472" s="1">
        <v>3</v>
      </c>
      <c r="D4472" t="str">
        <f>VLOOKUP(B4472,Заказы!A:C,3,0)</f>
        <v>2023-10-02 20:58:00</v>
      </c>
      <c r="E4472" t="str">
        <f>VLOOKUP(C4472,Меню!A:E,4,0)</f>
        <v>Завтрак</v>
      </c>
      <c r="F4472">
        <f>VLOOKUP(C4472,Меню!A:E,5,0)</f>
        <v>150</v>
      </c>
    </row>
    <row r="4473" spans="1:6" ht="15.75" hidden="1" customHeight="1" x14ac:dyDescent="0.35">
      <c r="A4473" s="1">
        <v>4472</v>
      </c>
      <c r="B4473" s="1">
        <v>870</v>
      </c>
      <c r="C4473" s="1">
        <v>14</v>
      </c>
      <c r="D4473" t="str">
        <f>VLOOKUP(B4473,Заказы!A:C,3,0)</f>
        <v>2023-10-02 20:58:00</v>
      </c>
      <c r="E4473" t="str">
        <f>VLOOKUP(C4473,Меню!A:E,4,0)</f>
        <v>Первое</v>
      </c>
      <c r="F4473">
        <f>VLOOKUP(C4473,Меню!A:E,5,0)</f>
        <v>350</v>
      </c>
    </row>
    <row r="4474" spans="1:6" ht="15.75" hidden="1" customHeight="1" x14ac:dyDescent="0.35">
      <c r="A4474" s="1">
        <v>4473</v>
      </c>
      <c r="B4474" s="1">
        <v>870</v>
      </c>
      <c r="C4474" s="1">
        <v>5</v>
      </c>
      <c r="D4474" t="str">
        <f>VLOOKUP(B4474,Заказы!A:C,3,0)</f>
        <v>2023-10-02 20:58:00</v>
      </c>
      <c r="E4474" t="str">
        <f>VLOOKUP(C4474,Меню!A:E,4,0)</f>
        <v>Завтрак</v>
      </c>
      <c r="F4474">
        <f>VLOOKUP(C4474,Меню!A:E,5,0)</f>
        <v>220</v>
      </c>
    </row>
    <row r="4475" spans="1:6" ht="15.75" hidden="1" customHeight="1" x14ac:dyDescent="0.35">
      <c r="A4475" s="1">
        <v>4474</v>
      </c>
      <c r="B4475" s="1">
        <v>870</v>
      </c>
      <c r="C4475" s="1">
        <v>2</v>
      </c>
      <c r="D4475" t="str">
        <f>VLOOKUP(B4475,Заказы!A:C,3,0)</f>
        <v>2023-10-02 20:58:00</v>
      </c>
      <c r="E4475" t="str">
        <f>VLOOKUP(C4475,Меню!A:E,4,0)</f>
        <v>Завтрак</v>
      </c>
      <c r="F4475">
        <f>VLOOKUP(C4475,Меню!A:E,5,0)</f>
        <v>250</v>
      </c>
    </row>
    <row r="4476" spans="1:6" ht="15.75" hidden="1" customHeight="1" x14ac:dyDescent="0.35">
      <c r="A4476" s="1">
        <v>4475</v>
      </c>
      <c r="B4476" s="1">
        <v>870</v>
      </c>
      <c r="C4476" s="1">
        <v>31</v>
      </c>
      <c r="D4476" t="str">
        <f>VLOOKUP(B4476,Заказы!A:C,3,0)</f>
        <v>2023-10-02 20:58:00</v>
      </c>
      <c r="E4476" t="str">
        <f>VLOOKUP(C4476,Меню!A:E,4,0)</f>
        <v>Десерт</v>
      </c>
      <c r="F4476">
        <f>VLOOKUP(C4476,Меню!A:E,5,0)</f>
        <v>150</v>
      </c>
    </row>
    <row r="4477" spans="1:6" ht="15.75" hidden="1" customHeight="1" x14ac:dyDescent="0.35">
      <c r="A4477" s="1">
        <v>4476</v>
      </c>
      <c r="B4477" s="1">
        <v>870</v>
      </c>
      <c r="C4477" s="1">
        <v>30</v>
      </c>
      <c r="D4477" t="str">
        <f>VLOOKUP(B4477,Заказы!A:C,3,0)</f>
        <v>2023-10-02 20:58:00</v>
      </c>
      <c r="E4477" t="str">
        <f>VLOOKUP(C4477,Меню!A:E,4,0)</f>
        <v>Салат</v>
      </c>
      <c r="F4477">
        <f>VLOOKUP(C4477,Меню!A:E,5,0)</f>
        <v>250</v>
      </c>
    </row>
    <row r="4478" spans="1:6" ht="15.75" hidden="1" customHeight="1" x14ac:dyDescent="0.35">
      <c r="A4478" s="1">
        <v>4477</v>
      </c>
      <c r="B4478" s="1">
        <v>871</v>
      </c>
      <c r="C4478" s="1">
        <v>36</v>
      </c>
      <c r="D4478" t="str">
        <f>VLOOKUP(B4478,Заказы!A:C,3,0)</f>
        <v>2023-10-02 21:07:00</v>
      </c>
      <c r="E4478" t="str">
        <f>VLOOKUP(C4478,Меню!A:E,4,0)</f>
        <v>Десерт</v>
      </c>
      <c r="F4478">
        <f>VLOOKUP(C4478,Меню!A:E,5,0)</f>
        <v>150</v>
      </c>
    </row>
    <row r="4479" spans="1:6" ht="15.75" hidden="1" customHeight="1" x14ac:dyDescent="0.35">
      <c r="A4479" s="1">
        <v>4478</v>
      </c>
      <c r="B4479" s="1">
        <v>871</v>
      </c>
      <c r="C4479" s="1">
        <v>43</v>
      </c>
      <c r="D4479" t="str">
        <f>VLOOKUP(B4479,Заказы!A:C,3,0)</f>
        <v>2023-10-02 21:07:00</v>
      </c>
      <c r="E4479" t="str">
        <f>VLOOKUP(C4479,Меню!A:E,4,0)</f>
        <v>Суши</v>
      </c>
      <c r="F4479">
        <f>VLOOKUP(C4479,Меню!A:E,5,0)</f>
        <v>250</v>
      </c>
    </row>
    <row r="4480" spans="1:6" ht="15.75" hidden="1" customHeight="1" x14ac:dyDescent="0.35">
      <c r="A4480" s="1">
        <v>4479</v>
      </c>
      <c r="B4480" s="1">
        <v>872</v>
      </c>
      <c r="C4480" s="1">
        <v>35</v>
      </c>
      <c r="D4480" t="str">
        <f>VLOOKUP(B4480,Заказы!A:C,3,0)</f>
        <v>2023-10-03 15:28:00</v>
      </c>
      <c r="E4480" t="str">
        <f>VLOOKUP(C4480,Меню!A:E,4,0)</f>
        <v>Десерт</v>
      </c>
      <c r="F4480">
        <f>VLOOKUP(C4480,Меню!A:E,5,0)</f>
        <v>150</v>
      </c>
    </row>
    <row r="4481" spans="1:6" ht="15.75" hidden="1" customHeight="1" x14ac:dyDescent="0.35">
      <c r="A4481" s="1">
        <v>4480</v>
      </c>
      <c r="B4481" s="1">
        <v>872</v>
      </c>
      <c r="C4481" s="1">
        <v>29</v>
      </c>
      <c r="D4481" t="str">
        <f>VLOOKUP(B4481,Заказы!A:C,3,0)</f>
        <v>2023-10-03 15:28:00</v>
      </c>
      <c r="E4481" t="str">
        <f>VLOOKUP(C4481,Меню!A:E,4,0)</f>
        <v>Салат</v>
      </c>
      <c r="F4481">
        <f>VLOOKUP(C4481,Меню!A:E,5,0)</f>
        <v>250</v>
      </c>
    </row>
    <row r="4482" spans="1:6" ht="15.75" hidden="1" customHeight="1" x14ac:dyDescent="0.35">
      <c r="A4482" s="1">
        <v>4481</v>
      </c>
      <c r="B4482" s="1">
        <v>872</v>
      </c>
      <c r="C4482" s="1">
        <v>15</v>
      </c>
      <c r="D4482" t="str">
        <f>VLOOKUP(B4482,Заказы!A:C,3,0)</f>
        <v>2023-10-03 15:28:00</v>
      </c>
      <c r="E4482" t="str">
        <f>VLOOKUP(C4482,Меню!A:E,4,0)</f>
        <v>Первое</v>
      </c>
      <c r="F4482">
        <f>VLOOKUP(C4482,Меню!A:E,5,0)</f>
        <v>250</v>
      </c>
    </row>
    <row r="4483" spans="1:6" ht="15.75" hidden="1" customHeight="1" x14ac:dyDescent="0.35">
      <c r="A4483" s="1">
        <v>4482</v>
      </c>
      <c r="B4483" s="1">
        <v>872</v>
      </c>
      <c r="C4483" s="1">
        <v>48</v>
      </c>
      <c r="D4483" t="str">
        <f>VLOOKUP(B4483,Заказы!A:C,3,0)</f>
        <v>2023-10-03 15:28:00</v>
      </c>
      <c r="E4483" t="str">
        <f>VLOOKUP(C4483,Меню!A:E,4,0)</f>
        <v>Суши</v>
      </c>
      <c r="F4483">
        <f>VLOOKUP(C4483,Меню!A:E,5,0)</f>
        <v>200</v>
      </c>
    </row>
    <row r="4484" spans="1:6" ht="15.75" hidden="1" customHeight="1" x14ac:dyDescent="0.35">
      <c r="A4484" s="1">
        <v>4483</v>
      </c>
      <c r="B4484" s="1">
        <v>872</v>
      </c>
      <c r="C4484" s="1">
        <v>29</v>
      </c>
      <c r="D4484" t="str">
        <f>VLOOKUP(B4484,Заказы!A:C,3,0)</f>
        <v>2023-10-03 15:28:00</v>
      </c>
      <c r="E4484" t="str">
        <f>VLOOKUP(C4484,Меню!A:E,4,0)</f>
        <v>Салат</v>
      </c>
      <c r="F4484">
        <f>VLOOKUP(C4484,Меню!A:E,5,0)</f>
        <v>250</v>
      </c>
    </row>
    <row r="4485" spans="1:6" ht="15.75" hidden="1" customHeight="1" x14ac:dyDescent="0.35">
      <c r="A4485" s="1">
        <v>4484</v>
      </c>
      <c r="B4485" s="1">
        <v>872</v>
      </c>
      <c r="C4485" s="1">
        <v>55</v>
      </c>
      <c r="D4485" t="str">
        <f>VLOOKUP(B4485,Заказы!A:C,3,0)</f>
        <v>2023-10-03 15:28:00</v>
      </c>
      <c r="E4485" t="str">
        <f>VLOOKUP(C4485,Меню!A:E,4,0)</f>
        <v>Суши</v>
      </c>
      <c r="F4485">
        <f>VLOOKUP(C4485,Меню!A:E,5,0)</f>
        <v>100</v>
      </c>
    </row>
    <row r="4486" spans="1:6" ht="15.75" hidden="1" customHeight="1" x14ac:dyDescent="0.35">
      <c r="A4486" s="1">
        <v>4485</v>
      </c>
      <c r="B4486" s="1">
        <v>873</v>
      </c>
      <c r="C4486" s="1">
        <v>3</v>
      </c>
      <c r="D4486" t="str">
        <f>VLOOKUP(B4486,Заказы!A:C,3,0)</f>
        <v>2023-10-03 16:01:00</v>
      </c>
      <c r="E4486" t="str">
        <f>VLOOKUP(C4486,Меню!A:E,4,0)</f>
        <v>Завтрак</v>
      </c>
      <c r="F4486">
        <f>VLOOKUP(C4486,Меню!A:E,5,0)</f>
        <v>150</v>
      </c>
    </row>
    <row r="4487" spans="1:6" ht="15.75" hidden="1" customHeight="1" x14ac:dyDescent="0.35">
      <c r="A4487" s="1">
        <v>4486</v>
      </c>
      <c r="B4487" s="1">
        <v>873</v>
      </c>
      <c r="C4487" s="1">
        <v>4</v>
      </c>
      <c r="D4487" t="str">
        <f>VLOOKUP(B4487,Заказы!A:C,3,0)</f>
        <v>2023-10-03 16:01:00</v>
      </c>
      <c r="E4487" t="str">
        <f>VLOOKUP(C4487,Меню!A:E,4,0)</f>
        <v>Завтрак</v>
      </c>
      <c r="F4487">
        <f>VLOOKUP(C4487,Меню!A:E,5,0)</f>
        <v>180</v>
      </c>
    </row>
    <row r="4488" spans="1:6" ht="15.75" hidden="1" customHeight="1" x14ac:dyDescent="0.35">
      <c r="A4488" s="1">
        <v>4487</v>
      </c>
      <c r="B4488" s="1">
        <v>873</v>
      </c>
      <c r="C4488" s="1">
        <v>49</v>
      </c>
      <c r="D4488" t="str">
        <f>VLOOKUP(B4488,Заказы!A:C,3,0)</f>
        <v>2023-10-03 16:01:00</v>
      </c>
      <c r="E4488" t="str">
        <f>VLOOKUP(C4488,Меню!A:E,4,0)</f>
        <v>Суши</v>
      </c>
      <c r="F4488">
        <f>VLOOKUP(C4488,Меню!A:E,5,0)</f>
        <v>200</v>
      </c>
    </row>
    <row r="4489" spans="1:6" ht="15.75" hidden="1" customHeight="1" x14ac:dyDescent="0.35">
      <c r="A4489" s="1">
        <v>4488</v>
      </c>
      <c r="B4489" s="1">
        <v>874</v>
      </c>
      <c r="C4489" s="1">
        <v>45</v>
      </c>
      <c r="D4489" t="str">
        <f>VLOOKUP(B4489,Заказы!A:C,3,0)</f>
        <v>2023-10-03 16:56:00</v>
      </c>
      <c r="E4489" t="str">
        <f>VLOOKUP(C4489,Меню!A:E,4,0)</f>
        <v>Суши</v>
      </c>
      <c r="F4489">
        <f>VLOOKUP(C4489,Меню!A:E,5,0)</f>
        <v>200</v>
      </c>
    </row>
    <row r="4490" spans="1:6" ht="15.75" hidden="1" customHeight="1" x14ac:dyDescent="0.35">
      <c r="A4490" s="1">
        <v>4489</v>
      </c>
      <c r="B4490" s="1">
        <v>874</v>
      </c>
      <c r="C4490" s="1">
        <v>49</v>
      </c>
      <c r="D4490" t="str">
        <f>VLOOKUP(B4490,Заказы!A:C,3,0)</f>
        <v>2023-10-03 16:56:00</v>
      </c>
      <c r="E4490" t="str">
        <f>VLOOKUP(C4490,Меню!A:E,4,0)</f>
        <v>Суши</v>
      </c>
      <c r="F4490">
        <f>VLOOKUP(C4490,Меню!A:E,5,0)</f>
        <v>200</v>
      </c>
    </row>
    <row r="4491" spans="1:6" ht="15.75" hidden="1" customHeight="1" x14ac:dyDescent="0.35">
      <c r="A4491" s="1">
        <v>4490</v>
      </c>
      <c r="B4491" s="1">
        <v>874</v>
      </c>
      <c r="C4491" s="1">
        <v>35</v>
      </c>
      <c r="D4491" t="str">
        <f>VLOOKUP(B4491,Заказы!A:C,3,0)</f>
        <v>2023-10-03 16:56:00</v>
      </c>
      <c r="E4491" t="str">
        <f>VLOOKUP(C4491,Меню!A:E,4,0)</f>
        <v>Десерт</v>
      </c>
      <c r="F4491">
        <f>VLOOKUP(C4491,Меню!A:E,5,0)</f>
        <v>150</v>
      </c>
    </row>
    <row r="4492" spans="1:6" ht="15.75" hidden="1" customHeight="1" x14ac:dyDescent="0.35">
      <c r="A4492" s="1">
        <v>4491</v>
      </c>
      <c r="B4492" s="1">
        <v>875</v>
      </c>
      <c r="C4492" s="1">
        <v>31</v>
      </c>
      <c r="D4492" t="str">
        <f>VLOOKUP(B4492,Заказы!A:C,3,0)</f>
        <v>2023-10-03 22:51:00</v>
      </c>
      <c r="E4492" t="str">
        <f>VLOOKUP(C4492,Меню!A:E,4,0)</f>
        <v>Десерт</v>
      </c>
      <c r="F4492">
        <f>VLOOKUP(C4492,Меню!A:E,5,0)</f>
        <v>150</v>
      </c>
    </row>
    <row r="4493" spans="1:6" ht="15.75" hidden="1" customHeight="1" x14ac:dyDescent="0.35">
      <c r="A4493" s="1">
        <v>4492</v>
      </c>
      <c r="B4493" s="1">
        <v>875</v>
      </c>
      <c r="C4493" s="1">
        <v>39</v>
      </c>
      <c r="D4493" t="str">
        <f>VLOOKUP(B4493,Заказы!A:C,3,0)</f>
        <v>2023-10-03 22:51:00</v>
      </c>
      <c r="E4493" t="str">
        <f>VLOOKUP(C4493,Меню!A:E,4,0)</f>
        <v>Десерт</v>
      </c>
      <c r="F4493">
        <f>VLOOKUP(C4493,Меню!A:E,5,0)</f>
        <v>150</v>
      </c>
    </row>
    <row r="4494" spans="1:6" ht="15.75" hidden="1" customHeight="1" x14ac:dyDescent="0.35">
      <c r="A4494" s="1">
        <v>4493</v>
      </c>
      <c r="B4494" s="1">
        <v>875</v>
      </c>
      <c r="C4494" s="1">
        <v>5</v>
      </c>
      <c r="D4494" t="str">
        <f>VLOOKUP(B4494,Заказы!A:C,3,0)</f>
        <v>2023-10-03 22:51:00</v>
      </c>
      <c r="E4494" t="str">
        <f>VLOOKUP(C4494,Меню!A:E,4,0)</f>
        <v>Завтрак</v>
      </c>
      <c r="F4494">
        <f>VLOOKUP(C4494,Меню!A:E,5,0)</f>
        <v>220</v>
      </c>
    </row>
    <row r="4495" spans="1:6" ht="15.75" hidden="1" customHeight="1" x14ac:dyDescent="0.35">
      <c r="A4495" s="1">
        <v>4494</v>
      </c>
      <c r="B4495" s="1">
        <v>875</v>
      </c>
      <c r="C4495" s="1">
        <v>23</v>
      </c>
      <c r="D4495" t="str">
        <f>VLOOKUP(B4495,Заказы!A:C,3,0)</f>
        <v>2023-10-03 22:51:00</v>
      </c>
      <c r="E4495" t="str">
        <f>VLOOKUP(C4495,Меню!A:E,4,0)</f>
        <v>Салат</v>
      </c>
      <c r="F4495">
        <f>VLOOKUP(C4495,Меню!A:E,5,0)</f>
        <v>250</v>
      </c>
    </row>
    <row r="4496" spans="1:6" ht="15.75" hidden="1" customHeight="1" x14ac:dyDescent="0.35">
      <c r="A4496" s="1">
        <v>4495</v>
      </c>
      <c r="B4496" s="1">
        <v>875</v>
      </c>
      <c r="C4496" s="1">
        <v>54</v>
      </c>
      <c r="D4496" t="str">
        <f>VLOOKUP(B4496,Заказы!A:C,3,0)</f>
        <v>2023-10-03 22:51:00</v>
      </c>
      <c r="E4496" t="str">
        <f>VLOOKUP(C4496,Меню!A:E,4,0)</f>
        <v>Суши</v>
      </c>
      <c r="F4496">
        <f>VLOOKUP(C4496,Меню!A:E,5,0)</f>
        <v>100</v>
      </c>
    </row>
    <row r="4497" spans="1:6" ht="15.75" hidden="1" customHeight="1" x14ac:dyDescent="0.35">
      <c r="A4497" s="1">
        <v>4496</v>
      </c>
      <c r="B4497" s="1">
        <v>875</v>
      </c>
      <c r="C4497" s="1">
        <v>16</v>
      </c>
      <c r="D4497" t="str">
        <f>VLOOKUP(B4497,Заказы!A:C,3,0)</f>
        <v>2023-10-03 22:51:00</v>
      </c>
      <c r="E4497" t="str">
        <f>VLOOKUP(C4497,Меню!A:E,4,0)</f>
        <v>Первое</v>
      </c>
      <c r="F4497">
        <f>VLOOKUP(C4497,Меню!A:E,5,0)</f>
        <v>250</v>
      </c>
    </row>
    <row r="4498" spans="1:6" ht="15.75" hidden="1" customHeight="1" x14ac:dyDescent="0.35">
      <c r="A4498" s="1">
        <v>4497</v>
      </c>
      <c r="B4498" s="1">
        <v>875</v>
      </c>
      <c r="C4498" s="1">
        <v>17</v>
      </c>
      <c r="D4498" t="str">
        <f>VLOOKUP(B4498,Заказы!A:C,3,0)</f>
        <v>2023-10-03 22:51:00</v>
      </c>
      <c r="E4498" t="str">
        <f>VLOOKUP(C4498,Меню!A:E,4,0)</f>
        <v>Первое</v>
      </c>
      <c r="F4498">
        <f>VLOOKUP(C4498,Меню!A:E,5,0)</f>
        <v>250</v>
      </c>
    </row>
    <row r="4499" spans="1:6" ht="15.75" hidden="1" customHeight="1" x14ac:dyDescent="0.35">
      <c r="A4499" s="1">
        <v>4498</v>
      </c>
      <c r="B4499" s="1">
        <v>876</v>
      </c>
      <c r="C4499" s="1">
        <v>15</v>
      </c>
      <c r="D4499" t="str">
        <f>VLOOKUP(B4499,Заказы!A:C,3,0)</f>
        <v>2023-10-04 16:26:00</v>
      </c>
      <c r="E4499" t="str">
        <f>VLOOKUP(C4499,Меню!A:E,4,0)</f>
        <v>Первое</v>
      </c>
      <c r="F4499">
        <f>VLOOKUP(C4499,Меню!A:E,5,0)</f>
        <v>250</v>
      </c>
    </row>
    <row r="4500" spans="1:6" ht="15.75" hidden="1" customHeight="1" x14ac:dyDescent="0.35">
      <c r="A4500" s="1">
        <v>4499</v>
      </c>
      <c r="B4500" s="1">
        <v>876</v>
      </c>
      <c r="C4500" s="1">
        <v>43</v>
      </c>
      <c r="D4500" t="str">
        <f>VLOOKUP(B4500,Заказы!A:C,3,0)</f>
        <v>2023-10-04 16:26:00</v>
      </c>
      <c r="E4500" t="str">
        <f>VLOOKUP(C4500,Меню!A:E,4,0)</f>
        <v>Суши</v>
      </c>
      <c r="F4500">
        <f>VLOOKUP(C4500,Меню!A:E,5,0)</f>
        <v>250</v>
      </c>
    </row>
    <row r="4501" spans="1:6" ht="15.75" hidden="1" customHeight="1" x14ac:dyDescent="0.35">
      <c r="A4501" s="1">
        <v>4500</v>
      </c>
      <c r="B4501" s="1">
        <v>876</v>
      </c>
      <c r="C4501" s="1">
        <v>6</v>
      </c>
      <c r="D4501" t="str">
        <f>VLOOKUP(B4501,Заказы!A:C,3,0)</f>
        <v>2023-10-04 16:26:00</v>
      </c>
      <c r="E4501" t="str">
        <f>VLOOKUP(C4501,Меню!A:E,4,0)</f>
        <v>Завтрак</v>
      </c>
      <c r="F4501">
        <f>VLOOKUP(C4501,Меню!A:E,5,0)</f>
        <v>300</v>
      </c>
    </row>
    <row r="4502" spans="1:6" ht="15.75" hidden="1" customHeight="1" x14ac:dyDescent="0.35">
      <c r="A4502" s="1">
        <v>4501</v>
      </c>
      <c r="B4502" s="1">
        <v>877</v>
      </c>
      <c r="C4502" s="1">
        <v>20</v>
      </c>
      <c r="D4502" t="str">
        <f>VLOOKUP(B4502,Заказы!A:C,3,0)</f>
        <v>2023-10-04 16:26:00</v>
      </c>
      <c r="E4502" t="str">
        <f>VLOOKUP(C4502,Меню!A:E,4,0)</f>
        <v>Первое</v>
      </c>
      <c r="F4502">
        <f>VLOOKUP(C4502,Меню!A:E,5,0)</f>
        <v>250</v>
      </c>
    </row>
    <row r="4503" spans="1:6" ht="15.75" hidden="1" customHeight="1" x14ac:dyDescent="0.35">
      <c r="A4503" s="1">
        <v>4502</v>
      </c>
      <c r="B4503" s="1">
        <v>877</v>
      </c>
      <c r="C4503" s="1">
        <v>7</v>
      </c>
      <c r="D4503" t="str">
        <f>VLOOKUP(B4503,Заказы!A:C,3,0)</f>
        <v>2023-10-04 16:26:00</v>
      </c>
      <c r="E4503" t="str">
        <f>VLOOKUP(C4503,Меню!A:E,4,0)</f>
        <v>Завтрак</v>
      </c>
      <c r="F4503">
        <f>VLOOKUP(C4503,Меню!A:E,5,0)</f>
        <v>200</v>
      </c>
    </row>
    <row r="4504" spans="1:6" ht="15.75" hidden="1" customHeight="1" x14ac:dyDescent="0.35">
      <c r="A4504" s="1">
        <v>4503</v>
      </c>
      <c r="B4504" s="1">
        <v>877</v>
      </c>
      <c r="C4504" s="1">
        <v>3</v>
      </c>
      <c r="D4504" t="str">
        <f>VLOOKUP(B4504,Заказы!A:C,3,0)</f>
        <v>2023-10-04 16:26:00</v>
      </c>
      <c r="E4504" t="str">
        <f>VLOOKUP(C4504,Меню!A:E,4,0)</f>
        <v>Завтрак</v>
      </c>
      <c r="F4504">
        <f>VLOOKUP(C4504,Меню!A:E,5,0)</f>
        <v>150</v>
      </c>
    </row>
    <row r="4505" spans="1:6" ht="15.75" hidden="1" customHeight="1" x14ac:dyDescent="0.35">
      <c r="A4505" s="1">
        <v>4504</v>
      </c>
      <c r="B4505" s="1">
        <v>877</v>
      </c>
      <c r="C4505" s="1">
        <v>6</v>
      </c>
      <c r="D4505" t="str">
        <f>VLOOKUP(B4505,Заказы!A:C,3,0)</f>
        <v>2023-10-04 16:26:00</v>
      </c>
      <c r="E4505" t="str">
        <f>VLOOKUP(C4505,Меню!A:E,4,0)</f>
        <v>Завтрак</v>
      </c>
      <c r="F4505">
        <f>VLOOKUP(C4505,Меню!A:E,5,0)</f>
        <v>300</v>
      </c>
    </row>
    <row r="4506" spans="1:6" ht="15.75" hidden="1" customHeight="1" x14ac:dyDescent="0.35">
      <c r="A4506" s="1">
        <v>4505</v>
      </c>
      <c r="B4506" s="1">
        <v>878</v>
      </c>
      <c r="C4506" s="1">
        <v>26</v>
      </c>
      <c r="D4506" t="str">
        <f>VLOOKUP(B4506,Заказы!A:C,3,0)</f>
        <v>2023-10-04 18:17:00</v>
      </c>
      <c r="E4506" t="str">
        <f>VLOOKUP(C4506,Меню!A:E,4,0)</f>
        <v>Салат</v>
      </c>
      <c r="F4506">
        <f>VLOOKUP(C4506,Меню!A:E,5,0)</f>
        <v>250</v>
      </c>
    </row>
    <row r="4507" spans="1:6" ht="15.75" hidden="1" customHeight="1" x14ac:dyDescent="0.35">
      <c r="A4507" s="1">
        <v>4506</v>
      </c>
      <c r="B4507" s="1">
        <v>878</v>
      </c>
      <c r="C4507" s="1">
        <v>47</v>
      </c>
      <c r="D4507" t="str">
        <f>VLOOKUP(B4507,Заказы!A:C,3,0)</f>
        <v>2023-10-04 18:17:00</v>
      </c>
      <c r="E4507" t="str">
        <f>VLOOKUP(C4507,Меню!A:E,4,0)</f>
        <v>Суши</v>
      </c>
      <c r="F4507">
        <f>VLOOKUP(C4507,Меню!A:E,5,0)</f>
        <v>200</v>
      </c>
    </row>
    <row r="4508" spans="1:6" ht="15.75" hidden="1" customHeight="1" x14ac:dyDescent="0.35">
      <c r="A4508" s="1">
        <v>4507</v>
      </c>
      <c r="B4508" s="1">
        <v>878</v>
      </c>
      <c r="C4508" s="1">
        <v>31</v>
      </c>
      <c r="D4508" t="str">
        <f>VLOOKUP(B4508,Заказы!A:C,3,0)</f>
        <v>2023-10-04 18:17:00</v>
      </c>
      <c r="E4508" t="str">
        <f>VLOOKUP(C4508,Меню!A:E,4,0)</f>
        <v>Десерт</v>
      </c>
      <c r="F4508">
        <f>VLOOKUP(C4508,Меню!A:E,5,0)</f>
        <v>150</v>
      </c>
    </row>
    <row r="4509" spans="1:6" ht="15.75" hidden="1" customHeight="1" x14ac:dyDescent="0.35">
      <c r="A4509" s="1">
        <v>4508</v>
      </c>
      <c r="B4509" s="1">
        <v>878</v>
      </c>
      <c r="C4509" s="1">
        <v>25</v>
      </c>
      <c r="D4509" t="str">
        <f>VLOOKUP(B4509,Заказы!A:C,3,0)</f>
        <v>2023-10-04 18:17:00</v>
      </c>
      <c r="E4509" t="str">
        <f>VLOOKUP(C4509,Меню!A:E,4,0)</f>
        <v>Салат</v>
      </c>
      <c r="F4509">
        <f>VLOOKUP(C4509,Меню!A:E,5,0)</f>
        <v>250</v>
      </c>
    </row>
    <row r="4510" spans="1:6" ht="15.75" hidden="1" customHeight="1" x14ac:dyDescent="0.35">
      <c r="A4510" s="1">
        <v>4509</v>
      </c>
      <c r="B4510" s="1">
        <v>878</v>
      </c>
      <c r="C4510" s="1">
        <v>42</v>
      </c>
      <c r="D4510" t="str">
        <f>VLOOKUP(B4510,Заказы!A:C,3,0)</f>
        <v>2023-10-04 18:17:00</v>
      </c>
      <c r="E4510" t="str">
        <f>VLOOKUP(C4510,Меню!A:E,4,0)</f>
        <v>Суши</v>
      </c>
      <c r="F4510">
        <f>VLOOKUP(C4510,Меню!A:E,5,0)</f>
        <v>250</v>
      </c>
    </row>
    <row r="4511" spans="1:6" ht="15.75" hidden="1" customHeight="1" x14ac:dyDescent="0.35">
      <c r="A4511" s="1">
        <v>4510</v>
      </c>
      <c r="B4511" s="1">
        <v>879</v>
      </c>
      <c r="C4511" s="1">
        <v>5</v>
      </c>
      <c r="D4511" t="str">
        <f>VLOOKUP(B4511,Заказы!A:C,3,0)</f>
        <v>2023-10-04 20:48:00</v>
      </c>
      <c r="E4511" t="str">
        <f>VLOOKUP(C4511,Меню!A:E,4,0)</f>
        <v>Завтрак</v>
      </c>
      <c r="F4511">
        <f>VLOOKUP(C4511,Меню!A:E,5,0)</f>
        <v>220</v>
      </c>
    </row>
    <row r="4512" spans="1:6" ht="15.75" hidden="1" customHeight="1" x14ac:dyDescent="0.35">
      <c r="A4512" s="1">
        <v>4511</v>
      </c>
      <c r="B4512" s="1">
        <v>879</v>
      </c>
      <c r="C4512" s="1">
        <v>34</v>
      </c>
      <c r="D4512" t="str">
        <f>VLOOKUP(B4512,Заказы!A:C,3,0)</f>
        <v>2023-10-04 20:48:00</v>
      </c>
      <c r="E4512" t="str">
        <f>VLOOKUP(C4512,Меню!A:E,4,0)</f>
        <v>Десерт</v>
      </c>
      <c r="F4512">
        <f>VLOOKUP(C4512,Меню!A:E,5,0)</f>
        <v>150</v>
      </c>
    </row>
    <row r="4513" spans="1:6" ht="15.75" hidden="1" customHeight="1" x14ac:dyDescent="0.35">
      <c r="A4513" s="1">
        <v>4512</v>
      </c>
      <c r="B4513" s="1">
        <v>879</v>
      </c>
      <c r="C4513" s="1">
        <v>32</v>
      </c>
      <c r="D4513" t="str">
        <f>VLOOKUP(B4513,Заказы!A:C,3,0)</f>
        <v>2023-10-04 20:48:00</v>
      </c>
      <c r="E4513" t="str">
        <f>VLOOKUP(C4513,Меню!A:E,4,0)</f>
        <v>Десерт</v>
      </c>
      <c r="F4513">
        <f>VLOOKUP(C4513,Меню!A:E,5,0)</f>
        <v>150</v>
      </c>
    </row>
    <row r="4514" spans="1:6" ht="15.75" hidden="1" customHeight="1" x14ac:dyDescent="0.35">
      <c r="A4514" s="1">
        <v>4513</v>
      </c>
      <c r="B4514" s="1">
        <v>879</v>
      </c>
      <c r="C4514" s="1">
        <v>26</v>
      </c>
      <c r="D4514" t="str">
        <f>VLOOKUP(B4514,Заказы!A:C,3,0)</f>
        <v>2023-10-04 20:48:00</v>
      </c>
      <c r="E4514" t="str">
        <f>VLOOKUP(C4514,Меню!A:E,4,0)</f>
        <v>Салат</v>
      </c>
      <c r="F4514">
        <f>VLOOKUP(C4514,Меню!A:E,5,0)</f>
        <v>250</v>
      </c>
    </row>
    <row r="4515" spans="1:6" ht="15.75" hidden="1" customHeight="1" x14ac:dyDescent="0.35">
      <c r="A4515" s="1">
        <v>4514</v>
      </c>
      <c r="B4515" s="1">
        <v>879</v>
      </c>
      <c r="C4515" s="1">
        <v>17</v>
      </c>
      <c r="D4515" t="str">
        <f>VLOOKUP(B4515,Заказы!A:C,3,0)</f>
        <v>2023-10-04 20:48:00</v>
      </c>
      <c r="E4515" t="str">
        <f>VLOOKUP(C4515,Меню!A:E,4,0)</f>
        <v>Первое</v>
      </c>
      <c r="F4515">
        <f>VLOOKUP(C4515,Меню!A:E,5,0)</f>
        <v>250</v>
      </c>
    </row>
    <row r="4516" spans="1:6" ht="15.75" hidden="1" customHeight="1" x14ac:dyDescent="0.35">
      <c r="A4516" s="1">
        <v>4515</v>
      </c>
      <c r="B4516" s="1">
        <v>879</v>
      </c>
      <c r="C4516" s="1">
        <v>47</v>
      </c>
      <c r="D4516" t="str">
        <f>VLOOKUP(B4516,Заказы!A:C,3,0)</f>
        <v>2023-10-04 20:48:00</v>
      </c>
      <c r="E4516" t="str">
        <f>VLOOKUP(C4516,Меню!A:E,4,0)</f>
        <v>Суши</v>
      </c>
      <c r="F4516">
        <f>VLOOKUP(C4516,Меню!A:E,5,0)</f>
        <v>200</v>
      </c>
    </row>
    <row r="4517" spans="1:6" ht="15.75" hidden="1" customHeight="1" x14ac:dyDescent="0.35">
      <c r="A4517" s="1">
        <v>4516</v>
      </c>
      <c r="B4517" s="1">
        <v>879</v>
      </c>
      <c r="C4517" s="1">
        <v>60</v>
      </c>
      <c r="D4517" t="str">
        <f>VLOOKUP(B4517,Заказы!A:C,3,0)</f>
        <v>2023-10-04 20:48:00</v>
      </c>
      <c r="E4517" t="str">
        <f>VLOOKUP(C4517,Меню!A:E,4,0)</f>
        <v>Суши</v>
      </c>
      <c r="F4517">
        <f>VLOOKUP(C4517,Меню!A:E,5,0)</f>
        <v>250</v>
      </c>
    </row>
    <row r="4518" spans="1:6" ht="15.75" hidden="1" customHeight="1" x14ac:dyDescent="0.35">
      <c r="A4518" s="1">
        <v>4517</v>
      </c>
      <c r="B4518" s="1">
        <v>879</v>
      </c>
      <c r="C4518" s="1">
        <v>36</v>
      </c>
      <c r="D4518" t="str">
        <f>VLOOKUP(B4518,Заказы!A:C,3,0)</f>
        <v>2023-10-04 20:48:00</v>
      </c>
      <c r="E4518" t="str">
        <f>VLOOKUP(C4518,Меню!A:E,4,0)</f>
        <v>Десерт</v>
      </c>
      <c r="F4518">
        <f>VLOOKUP(C4518,Меню!A:E,5,0)</f>
        <v>150</v>
      </c>
    </row>
    <row r="4519" spans="1:6" ht="15.75" hidden="1" customHeight="1" x14ac:dyDescent="0.35">
      <c r="A4519" s="1">
        <v>4518</v>
      </c>
      <c r="B4519" s="1">
        <v>879</v>
      </c>
      <c r="C4519" s="1">
        <v>18</v>
      </c>
      <c r="D4519" t="str">
        <f>VLOOKUP(B4519,Заказы!A:C,3,0)</f>
        <v>2023-10-04 20:48:00</v>
      </c>
      <c r="E4519" t="str">
        <f>VLOOKUP(C4519,Меню!A:E,4,0)</f>
        <v>Первое</v>
      </c>
      <c r="F4519">
        <f>VLOOKUP(C4519,Меню!A:E,5,0)</f>
        <v>300</v>
      </c>
    </row>
    <row r="4520" spans="1:6" ht="15.75" hidden="1" customHeight="1" x14ac:dyDescent="0.35">
      <c r="A4520" s="1">
        <v>4519</v>
      </c>
      <c r="B4520" s="1">
        <v>880</v>
      </c>
      <c r="C4520" s="1">
        <v>1</v>
      </c>
      <c r="D4520" t="str">
        <f>VLOOKUP(B4520,Заказы!A:C,3,0)</f>
        <v>2023-10-04 20:54:00</v>
      </c>
      <c r="E4520" t="str">
        <f>VLOOKUP(C4520,Меню!A:E,4,0)</f>
        <v>Завтрак</v>
      </c>
      <c r="F4520">
        <f>VLOOKUP(C4520,Меню!A:E,5,0)</f>
        <v>200</v>
      </c>
    </row>
    <row r="4521" spans="1:6" ht="15.75" hidden="1" customHeight="1" x14ac:dyDescent="0.35">
      <c r="A4521" s="1">
        <v>4520</v>
      </c>
      <c r="B4521" s="1">
        <v>880</v>
      </c>
      <c r="C4521" s="1">
        <v>18</v>
      </c>
      <c r="D4521" t="str">
        <f>VLOOKUP(B4521,Заказы!A:C,3,0)</f>
        <v>2023-10-04 20:54:00</v>
      </c>
      <c r="E4521" t="str">
        <f>VLOOKUP(C4521,Меню!A:E,4,0)</f>
        <v>Первое</v>
      </c>
      <c r="F4521">
        <f>VLOOKUP(C4521,Меню!A:E,5,0)</f>
        <v>300</v>
      </c>
    </row>
    <row r="4522" spans="1:6" ht="15.75" hidden="1" customHeight="1" x14ac:dyDescent="0.35">
      <c r="A4522" s="1">
        <v>4521</v>
      </c>
      <c r="B4522" s="1">
        <v>880</v>
      </c>
      <c r="C4522" s="1">
        <v>3</v>
      </c>
      <c r="D4522" t="str">
        <f>VLOOKUP(B4522,Заказы!A:C,3,0)</f>
        <v>2023-10-04 20:54:00</v>
      </c>
      <c r="E4522" t="str">
        <f>VLOOKUP(C4522,Меню!A:E,4,0)</f>
        <v>Завтрак</v>
      </c>
      <c r="F4522">
        <f>VLOOKUP(C4522,Меню!A:E,5,0)</f>
        <v>150</v>
      </c>
    </row>
    <row r="4523" spans="1:6" ht="15.75" hidden="1" customHeight="1" x14ac:dyDescent="0.35">
      <c r="A4523" s="1">
        <v>4522</v>
      </c>
      <c r="B4523" s="1">
        <v>880</v>
      </c>
      <c r="C4523" s="1">
        <v>59</v>
      </c>
      <c r="D4523" t="str">
        <f>VLOOKUP(B4523,Заказы!A:C,3,0)</f>
        <v>2023-10-04 20:54:00</v>
      </c>
      <c r="E4523" t="str">
        <f>VLOOKUP(C4523,Меню!A:E,4,0)</f>
        <v>Суши</v>
      </c>
      <c r="F4523">
        <f>VLOOKUP(C4523,Меню!A:E,5,0)</f>
        <v>300</v>
      </c>
    </row>
    <row r="4524" spans="1:6" ht="15.75" hidden="1" customHeight="1" x14ac:dyDescent="0.35">
      <c r="A4524" s="1">
        <v>4523</v>
      </c>
      <c r="B4524" s="1">
        <v>880</v>
      </c>
      <c r="C4524" s="1">
        <v>2</v>
      </c>
      <c r="D4524" t="str">
        <f>VLOOKUP(B4524,Заказы!A:C,3,0)</f>
        <v>2023-10-04 20:54:00</v>
      </c>
      <c r="E4524" t="str">
        <f>VLOOKUP(C4524,Меню!A:E,4,0)</f>
        <v>Завтрак</v>
      </c>
      <c r="F4524">
        <f>VLOOKUP(C4524,Меню!A:E,5,0)</f>
        <v>250</v>
      </c>
    </row>
    <row r="4525" spans="1:6" ht="15.75" hidden="1" customHeight="1" x14ac:dyDescent="0.35">
      <c r="A4525" s="1">
        <v>4524</v>
      </c>
      <c r="B4525" s="1">
        <v>880</v>
      </c>
      <c r="C4525" s="1">
        <v>58</v>
      </c>
      <c r="D4525" t="str">
        <f>VLOOKUP(B4525,Заказы!A:C,3,0)</f>
        <v>2023-10-04 20:54:00</v>
      </c>
      <c r="E4525" t="str">
        <f>VLOOKUP(C4525,Меню!A:E,4,0)</f>
        <v>Суши</v>
      </c>
      <c r="F4525">
        <f>VLOOKUP(C4525,Меню!A:E,5,0)</f>
        <v>200</v>
      </c>
    </row>
    <row r="4526" spans="1:6" ht="15.75" hidden="1" customHeight="1" x14ac:dyDescent="0.35">
      <c r="A4526" s="1">
        <v>4525</v>
      </c>
      <c r="B4526" s="1">
        <v>881</v>
      </c>
      <c r="C4526" s="1">
        <v>56</v>
      </c>
      <c r="D4526" t="str">
        <f>VLOOKUP(B4526,Заказы!A:C,3,0)</f>
        <v>2023-10-04 22:36:00</v>
      </c>
      <c r="E4526" t="str">
        <f>VLOOKUP(C4526,Меню!A:E,4,0)</f>
        <v>Суши</v>
      </c>
      <c r="F4526">
        <f>VLOOKUP(C4526,Меню!A:E,5,0)</f>
        <v>200</v>
      </c>
    </row>
    <row r="4527" spans="1:6" ht="15.75" hidden="1" customHeight="1" x14ac:dyDescent="0.35">
      <c r="A4527" s="1">
        <v>4526</v>
      </c>
      <c r="B4527" s="1">
        <v>882</v>
      </c>
      <c r="C4527" s="1">
        <v>28</v>
      </c>
      <c r="D4527" t="str">
        <f>VLOOKUP(B4527,Заказы!A:C,3,0)</f>
        <v>2023-10-05 16:54:00</v>
      </c>
      <c r="E4527" t="str">
        <f>VLOOKUP(C4527,Меню!A:E,4,0)</f>
        <v>Салат</v>
      </c>
      <c r="F4527">
        <f>VLOOKUP(C4527,Меню!A:E,5,0)</f>
        <v>250</v>
      </c>
    </row>
    <row r="4528" spans="1:6" ht="15.75" hidden="1" customHeight="1" x14ac:dyDescent="0.35">
      <c r="A4528" s="1">
        <v>4527</v>
      </c>
      <c r="B4528" s="1">
        <v>882</v>
      </c>
      <c r="C4528" s="1">
        <v>51</v>
      </c>
      <c r="D4528" t="str">
        <f>VLOOKUP(B4528,Заказы!A:C,3,0)</f>
        <v>2023-10-05 16:54:00</v>
      </c>
      <c r="E4528" t="str">
        <f>VLOOKUP(C4528,Меню!A:E,4,0)</f>
        <v>Суши</v>
      </c>
      <c r="F4528">
        <f>VLOOKUP(C4528,Меню!A:E,5,0)</f>
        <v>100</v>
      </c>
    </row>
    <row r="4529" spans="1:6" ht="15.75" hidden="1" customHeight="1" x14ac:dyDescent="0.35">
      <c r="A4529" s="1">
        <v>4528</v>
      </c>
      <c r="B4529" s="1">
        <v>882</v>
      </c>
      <c r="C4529" s="1">
        <v>30</v>
      </c>
      <c r="D4529" t="str">
        <f>VLOOKUP(B4529,Заказы!A:C,3,0)</f>
        <v>2023-10-05 16:54:00</v>
      </c>
      <c r="E4529" t="str">
        <f>VLOOKUP(C4529,Меню!A:E,4,0)</f>
        <v>Салат</v>
      </c>
      <c r="F4529">
        <f>VLOOKUP(C4529,Меню!A:E,5,0)</f>
        <v>250</v>
      </c>
    </row>
    <row r="4530" spans="1:6" ht="15.75" hidden="1" customHeight="1" x14ac:dyDescent="0.35">
      <c r="A4530" s="1">
        <v>4529</v>
      </c>
      <c r="B4530" s="1">
        <v>882</v>
      </c>
      <c r="C4530" s="1">
        <v>35</v>
      </c>
      <c r="D4530" t="str">
        <f>VLOOKUP(B4530,Заказы!A:C,3,0)</f>
        <v>2023-10-05 16:54:00</v>
      </c>
      <c r="E4530" t="str">
        <f>VLOOKUP(C4530,Меню!A:E,4,0)</f>
        <v>Десерт</v>
      </c>
      <c r="F4530">
        <f>VLOOKUP(C4530,Меню!A:E,5,0)</f>
        <v>150</v>
      </c>
    </row>
    <row r="4531" spans="1:6" ht="15.75" hidden="1" customHeight="1" x14ac:dyDescent="0.35">
      <c r="A4531" s="1">
        <v>4530</v>
      </c>
      <c r="B4531" s="1">
        <v>882</v>
      </c>
      <c r="C4531" s="1">
        <v>38</v>
      </c>
      <c r="D4531" t="str">
        <f>VLOOKUP(B4531,Заказы!A:C,3,0)</f>
        <v>2023-10-05 16:54:00</v>
      </c>
      <c r="E4531" t="str">
        <f>VLOOKUP(C4531,Меню!A:E,4,0)</f>
        <v>Десерт</v>
      </c>
      <c r="F4531">
        <f>VLOOKUP(C4531,Меню!A:E,5,0)</f>
        <v>150</v>
      </c>
    </row>
    <row r="4532" spans="1:6" ht="15.75" hidden="1" customHeight="1" x14ac:dyDescent="0.35">
      <c r="A4532" s="1">
        <v>4531</v>
      </c>
      <c r="B4532" s="1">
        <v>882</v>
      </c>
      <c r="C4532" s="1">
        <v>46</v>
      </c>
      <c r="D4532" t="str">
        <f>VLOOKUP(B4532,Заказы!A:C,3,0)</f>
        <v>2023-10-05 16:54:00</v>
      </c>
      <c r="E4532" t="str">
        <f>VLOOKUP(C4532,Меню!A:E,4,0)</f>
        <v>Суши</v>
      </c>
      <c r="F4532">
        <f>VLOOKUP(C4532,Меню!A:E,5,0)</f>
        <v>200</v>
      </c>
    </row>
    <row r="4533" spans="1:6" ht="15.75" hidden="1" customHeight="1" x14ac:dyDescent="0.35">
      <c r="A4533" s="1">
        <v>4532</v>
      </c>
      <c r="B4533" s="1">
        <v>882</v>
      </c>
      <c r="C4533" s="1">
        <v>34</v>
      </c>
      <c r="D4533" t="str">
        <f>VLOOKUP(B4533,Заказы!A:C,3,0)</f>
        <v>2023-10-05 16:54:00</v>
      </c>
      <c r="E4533" t="str">
        <f>VLOOKUP(C4533,Меню!A:E,4,0)</f>
        <v>Десерт</v>
      </c>
      <c r="F4533">
        <f>VLOOKUP(C4533,Меню!A:E,5,0)</f>
        <v>150</v>
      </c>
    </row>
    <row r="4534" spans="1:6" ht="15.75" hidden="1" customHeight="1" x14ac:dyDescent="0.35">
      <c r="A4534" s="1">
        <v>4533</v>
      </c>
      <c r="B4534" s="1">
        <v>882</v>
      </c>
      <c r="C4534" s="1">
        <v>24</v>
      </c>
      <c r="D4534" t="str">
        <f>VLOOKUP(B4534,Заказы!A:C,3,0)</f>
        <v>2023-10-05 16:54:00</v>
      </c>
      <c r="E4534" t="str">
        <f>VLOOKUP(C4534,Меню!A:E,4,0)</f>
        <v>Салат</v>
      </c>
      <c r="F4534">
        <f>VLOOKUP(C4534,Меню!A:E,5,0)</f>
        <v>250</v>
      </c>
    </row>
    <row r="4535" spans="1:6" ht="15.75" hidden="1" customHeight="1" x14ac:dyDescent="0.35">
      <c r="A4535" s="1">
        <v>4534</v>
      </c>
      <c r="B4535" s="1">
        <v>882</v>
      </c>
      <c r="C4535" s="1">
        <v>39</v>
      </c>
      <c r="D4535" t="str">
        <f>VLOOKUP(B4535,Заказы!A:C,3,0)</f>
        <v>2023-10-05 16:54:00</v>
      </c>
      <c r="E4535" t="str">
        <f>VLOOKUP(C4535,Меню!A:E,4,0)</f>
        <v>Десерт</v>
      </c>
      <c r="F4535">
        <f>VLOOKUP(C4535,Меню!A:E,5,0)</f>
        <v>150</v>
      </c>
    </row>
    <row r="4536" spans="1:6" ht="15.75" hidden="1" customHeight="1" x14ac:dyDescent="0.35">
      <c r="A4536" s="1">
        <v>4535</v>
      </c>
      <c r="B4536" s="1">
        <v>882</v>
      </c>
      <c r="C4536" s="1">
        <v>55</v>
      </c>
      <c r="D4536" t="str">
        <f>VLOOKUP(B4536,Заказы!A:C,3,0)</f>
        <v>2023-10-05 16:54:00</v>
      </c>
      <c r="E4536" t="str">
        <f>VLOOKUP(C4536,Меню!A:E,4,0)</f>
        <v>Суши</v>
      </c>
      <c r="F4536">
        <f>VLOOKUP(C4536,Меню!A:E,5,0)</f>
        <v>100</v>
      </c>
    </row>
    <row r="4537" spans="1:6" ht="15.75" hidden="1" customHeight="1" x14ac:dyDescent="0.35">
      <c r="A4537" s="1">
        <v>4536</v>
      </c>
      <c r="B4537" s="1">
        <v>883</v>
      </c>
      <c r="C4537" s="1">
        <v>4</v>
      </c>
      <c r="D4537" t="str">
        <f>VLOOKUP(B4537,Заказы!A:C,3,0)</f>
        <v>2023-10-05 17:09:00</v>
      </c>
      <c r="E4537" t="str">
        <f>VLOOKUP(C4537,Меню!A:E,4,0)</f>
        <v>Завтрак</v>
      </c>
      <c r="F4537">
        <f>VLOOKUP(C4537,Меню!A:E,5,0)</f>
        <v>180</v>
      </c>
    </row>
    <row r="4538" spans="1:6" ht="15.75" hidden="1" customHeight="1" x14ac:dyDescent="0.35">
      <c r="A4538" s="1">
        <v>4537</v>
      </c>
      <c r="B4538" s="1">
        <v>883</v>
      </c>
      <c r="C4538" s="1">
        <v>41</v>
      </c>
      <c r="D4538" t="str">
        <f>VLOOKUP(B4538,Заказы!A:C,3,0)</f>
        <v>2023-10-05 17:09:00</v>
      </c>
      <c r="E4538" t="str">
        <f>VLOOKUP(C4538,Меню!A:E,4,0)</f>
        <v>Суши</v>
      </c>
      <c r="F4538">
        <f>VLOOKUP(C4538,Меню!A:E,5,0)</f>
        <v>220</v>
      </c>
    </row>
    <row r="4539" spans="1:6" ht="15.75" hidden="1" customHeight="1" x14ac:dyDescent="0.35">
      <c r="A4539" s="1">
        <v>4538</v>
      </c>
      <c r="B4539" s="1">
        <v>883</v>
      </c>
      <c r="C4539" s="1">
        <v>11</v>
      </c>
      <c r="D4539" t="str">
        <f>VLOOKUP(B4539,Заказы!A:C,3,0)</f>
        <v>2023-10-05 17:09:00</v>
      </c>
      <c r="E4539" t="str">
        <f>VLOOKUP(C4539,Меню!A:E,4,0)</f>
        <v>Первое</v>
      </c>
      <c r="F4539">
        <f>VLOOKUP(C4539,Меню!A:E,5,0)</f>
        <v>300</v>
      </c>
    </row>
    <row r="4540" spans="1:6" ht="15.75" hidden="1" customHeight="1" x14ac:dyDescent="0.35">
      <c r="A4540" s="1">
        <v>4539</v>
      </c>
      <c r="B4540" s="1">
        <v>884</v>
      </c>
      <c r="C4540" s="1">
        <v>18</v>
      </c>
      <c r="D4540" t="str">
        <f>VLOOKUP(B4540,Заказы!A:C,3,0)</f>
        <v>2023-10-05 18:52:00</v>
      </c>
      <c r="E4540" t="str">
        <f>VLOOKUP(C4540,Меню!A:E,4,0)</f>
        <v>Первое</v>
      </c>
      <c r="F4540">
        <f>VLOOKUP(C4540,Меню!A:E,5,0)</f>
        <v>300</v>
      </c>
    </row>
    <row r="4541" spans="1:6" ht="15.75" hidden="1" customHeight="1" x14ac:dyDescent="0.35">
      <c r="A4541" s="1">
        <v>4540</v>
      </c>
      <c r="B4541" s="1">
        <v>884</v>
      </c>
      <c r="C4541" s="1">
        <v>16</v>
      </c>
      <c r="D4541" t="str">
        <f>VLOOKUP(B4541,Заказы!A:C,3,0)</f>
        <v>2023-10-05 18:52:00</v>
      </c>
      <c r="E4541" t="str">
        <f>VLOOKUP(C4541,Меню!A:E,4,0)</f>
        <v>Первое</v>
      </c>
      <c r="F4541">
        <f>VLOOKUP(C4541,Меню!A:E,5,0)</f>
        <v>250</v>
      </c>
    </row>
    <row r="4542" spans="1:6" ht="15.75" hidden="1" customHeight="1" x14ac:dyDescent="0.35">
      <c r="A4542" s="1">
        <v>4541</v>
      </c>
      <c r="B4542" s="1">
        <v>884</v>
      </c>
      <c r="C4542" s="1">
        <v>51</v>
      </c>
      <c r="D4542" t="str">
        <f>VLOOKUP(B4542,Заказы!A:C,3,0)</f>
        <v>2023-10-05 18:52:00</v>
      </c>
      <c r="E4542" t="str">
        <f>VLOOKUP(C4542,Меню!A:E,4,0)</f>
        <v>Суши</v>
      </c>
      <c r="F4542">
        <f>VLOOKUP(C4542,Меню!A:E,5,0)</f>
        <v>100</v>
      </c>
    </row>
    <row r="4543" spans="1:6" ht="15.75" hidden="1" customHeight="1" x14ac:dyDescent="0.35">
      <c r="A4543" s="1">
        <v>4542</v>
      </c>
      <c r="B4543" s="1">
        <v>884</v>
      </c>
      <c r="C4543" s="1">
        <v>39</v>
      </c>
      <c r="D4543" t="str">
        <f>VLOOKUP(B4543,Заказы!A:C,3,0)</f>
        <v>2023-10-05 18:52:00</v>
      </c>
      <c r="E4543" t="str">
        <f>VLOOKUP(C4543,Меню!A:E,4,0)</f>
        <v>Десерт</v>
      </c>
      <c r="F4543">
        <f>VLOOKUP(C4543,Меню!A:E,5,0)</f>
        <v>150</v>
      </c>
    </row>
    <row r="4544" spans="1:6" ht="15.75" hidden="1" customHeight="1" x14ac:dyDescent="0.35">
      <c r="A4544" s="1">
        <v>4543</v>
      </c>
      <c r="B4544" s="1">
        <v>884</v>
      </c>
      <c r="C4544" s="1">
        <v>57</v>
      </c>
      <c r="D4544" t="str">
        <f>VLOOKUP(B4544,Заказы!A:C,3,0)</f>
        <v>2023-10-05 18:52:00</v>
      </c>
      <c r="E4544" t="str">
        <f>VLOOKUP(C4544,Меню!A:E,4,0)</f>
        <v>Суши</v>
      </c>
      <c r="F4544">
        <f>VLOOKUP(C4544,Меню!A:E,5,0)</f>
        <v>200</v>
      </c>
    </row>
    <row r="4545" spans="1:6" ht="15.75" hidden="1" customHeight="1" x14ac:dyDescent="0.35">
      <c r="A4545" s="1">
        <v>4544</v>
      </c>
      <c r="B4545" s="1">
        <v>884</v>
      </c>
      <c r="C4545" s="1">
        <v>1</v>
      </c>
      <c r="D4545" t="str">
        <f>VLOOKUP(B4545,Заказы!A:C,3,0)</f>
        <v>2023-10-05 18:52:00</v>
      </c>
      <c r="E4545" t="str">
        <f>VLOOKUP(C4545,Меню!A:E,4,0)</f>
        <v>Завтрак</v>
      </c>
      <c r="F4545">
        <f>VLOOKUP(C4545,Меню!A:E,5,0)</f>
        <v>200</v>
      </c>
    </row>
    <row r="4546" spans="1:6" ht="15.75" hidden="1" customHeight="1" x14ac:dyDescent="0.35">
      <c r="A4546" s="1">
        <v>4545</v>
      </c>
      <c r="B4546" s="1">
        <v>885</v>
      </c>
      <c r="C4546" s="1">
        <v>23</v>
      </c>
      <c r="D4546" t="str">
        <f>VLOOKUP(B4546,Заказы!A:C,3,0)</f>
        <v>2023-10-05 19:10:00</v>
      </c>
      <c r="E4546" t="str">
        <f>VLOOKUP(C4546,Меню!A:E,4,0)</f>
        <v>Салат</v>
      </c>
      <c r="F4546">
        <f>VLOOKUP(C4546,Меню!A:E,5,0)</f>
        <v>250</v>
      </c>
    </row>
    <row r="4547" spans="1:6" ht="15.75" hidden="1" customHeight="1" x14ac:dyDescent="0.35">
      <c r="A4547" s="1">
        <v>4546</v>
      </c>
      <c r="B4547" s="1">
        <v>885</v>
      </c>
      <c r="C4547" s="1">
        <v>35</v>
      </c>
      <c r="D4547" t="str">
        <f>VLOOKUP(B4547,Заказы!A:C,3,0)</f>
        <v>2023-10-05 19:10:00</v>
      </c>
      <c r="E4547" t="str">
        <f>VLOOKUP(C4547,Меню!A:E,4,0)</f>
        <v>Десерт</v>
      </c>
      <c r="F4547">
        <f>VLOOKUP(C4547,Меню!A:E,5,0)</f>
        <v>150</v>
      </c>
    </row>
    <row r="4548" spans="1:6" ht="15.75" hidden="1" customHeight="1" x14ac:dyDescent="0.35">
      <c r="A4548" s="1">
        <v>4547</v>
      </c>
      <c r="B4548" s="1">
        <v>885</v>
      </c>
      <c r="C4548" s="1">
        <v>1</v>
      </c>
      <c r="D4548" t="str">
        <f>VLOOKUP(B4548,Заказы!A:C,3,0)</f>
        <v>2023-10-05 19:10:00</v>
      </c>
      <c r="E4548" t="str">
        <f>VLOOKUP(C4548,Меню!A:E,4,0)</f>
        <v>Завтрак</v>
      </c>
      <c r="F4548">
        <f>VLOOKUP(C4548,Меню!A:E,5,0)</f>
        <v>200</v>
      </c>
    </row>
    <row r="4549" spans="1:6" ht="15.75" hidden="1" customHeight="1" x14ac:dyDescent="0.35">
      <c r="A4549" s="1">
        <v>4548</v>
      </c>
      <c r="B4549" s="1">
        <v>885</v>
      </c>
      <c r="C4549" s="1">
        <v>60</v>
      </c>
      <c r="D4549" t="str">
        <f>VLOOKUP(B4549,Заказы!A:C,3,0)</f>
        <v>2023-10-05 19:10:00</v>
      </c>
      <c r="E4549" t="str">
        <f>VLOOKUP(C4549,Меню!A:E,4,0)</f>
        <v>Суши</v>
      </c>
      <c r="F4549">
        <f>VLOOKUP(C4549,Меню!A:E,5,0)</f>
        <v>250</v>
      </c>
    </row>
    <row r="4550" spans="1:6" ht="15.75" hidden="1" customHeight="1" x14ac:dyDescent="0.35">
      <c r="A4550" s="1">
        <v>4549</v>
      </c>
      <c r="B4550" s="1">
        <v>886</v>
      </c>
      <c r="C4550" s="1">
        <v>56</v>
      </c>
      <c r="D4550" t="str">
        <f>VLOOKUP(B4550,Заказы!A:C,3,0)</f>
        <v>2023-10-05 19:20:00</v>
      </c>
      <c r="E4550" t="str">
        <f>VLOOKUP(C4550,Меню!A:E,4,0)</f>
        <v>Суши</v>
      </c>
      <c r="F4550">
        <f>VLOOKUP(C4550,Меню!A:E,5,0)</f>
        <v>200</v>
      </c>
    </row>
    <row r="4551" spans="1:6" ht="15.75" hidden="1" customHeight="1" x14ac:dyDescent="0.35">
      <c r="A4551" s="1">
        <v>4550</v>
      </c>
      <c r="B4551" s="1">
        <v>886</v>
      </c>
      <c r="C4551" s="1">
        <v>7</v>
      </c>
      <c r="D4551" t="str">
        <f>VLOOKUP(B4551,Заказы!A:C,3,0)</f>
        <v>2023-10-05 19:20:00</v>
      </c>
      <c r="E4551" t="str">
        <f>VLOOKUP(C4551,Меню!A:E,4,0)</f>
        <v>Завтрак</v>
      </c>
      <c r="F4551">
        <f>VLOOKUP(C4551,Меню!A:E,5,0)</f>
        <v>200</v>
      </c>
    </row>
    <row r="4552" spans="1:6" ht="15.75" hidden="1" customHeight="1" x14ac:dyDescent="0.35">
      <c r="A4552" s="1">
        <v>4551</v>
      </c>
      <c r="B4552" s="1">
        <v>886</v>
      </c>
      <c r="C4552" s="1">
        <v>8</v>
      </c>
      <c r="D4552" t="str">
        <f>VLOOKUP(B4552,Заказы!A:C,3,0)</f>
        <v>2023-10-05 19:20:00</v>
      </c>
      <c r="E4552" t="str">
        <f>VLOOKUP(C4552,Меню!A:E,4,0)</f>
        <v>Завтрак</v>
      </c>
      <c r="F4552">
        <f>VLOOKUP(C4552,Меню!A:E,5,0)</f>
        <v>180</v>
      </c>
    </row>
    <row r="4553" spans="1:6" ht="15.75" hidden="1" customHeight="1" x14ac:dyDescent="0.35">
      <c r="A4553" s="1">
        <v>4552</v>
      </c>
      <c r="B4553" s="1">
        <v>887</v>
      </c>
      <c r="C4553" s="1">
        <v>29</v>
      </c>
      <c r="D4553" t="str">
        <f>VLOOKUP(B4553,Заказы!A:C,3,0)</f>
        <v>2023-10-05 20:21:00</v>
      </c>
      <c r="E4553" t="str">
        <f>VLOOKUP(C4553,Меню!A:E,4,0)</f>
        <v>Салат</v>
      </c>
      <c r="F4553">
        <f>VLOOKUP(C4553,Меню!A:E,5,0)</f>
        <v>250</v>
      </c>
    </row>
    <row r="4554" spans="1:6" ht="15.75" hidden="1" customHeight="1" x14ac:dyDescent="0.35">
      <c r="A4554" s="1">
        <v>4553</v>
      </c>
      <c r="B4554" s="1">
        <v>887</v>
      </c>
      <c r="C4554" s="1">
        <v>52</v>
      </c>
      <c r="D4554" t="str">
        <f>VLOOKUP(B4554,Заказы!A:C,3,0)</f>
        <v>2023-10-05 20:21:00</v>
      </c>
      <c r="E4554" t="str">
        <f>VLOOKUP(C4554,Меню!A:E,4,0)</f>
        <v>Суши</v>
      </c>
      <c r="F4554">
        <f>VLOOKUP(C4554,Меню!A:E,5,0)</f>
        <v>100</v>
      </c>
    </row>
    <row r="4555" spans="1:6" ht="15.75" hidden="1" customHeight="1" x14ac:dyDescent="0.35">
      <c r="A4555" s="1">
        <v>4554</v>
      </c>
      <c r="B4555" s="1">
        <v>887</v>
      </c>
      <c r="C4555" s="1">
        <v>60</v>
      </c>
      <c r="D4555" t="str">
        <f>VLOOKUP(B4555,Заказы!A:C,3,0)</f>
        <v>2023-10-05 20:21:00</v>
      </c>
      <c r="E4555" t="str">
        <f>VLOOKUP(C4555,Меню!A:E,4,0)</f>
        <v>Суши</v>
      </c>
      <c r="F4555">
        <f>VLOOKUP(C4555,Меню!A:E,5,0)</f>
        <v>250</v>
      </c>
    </row>
    <row r="4556" spans="1:6" ht="15.75" hidden="1" customHeight="1" x14ac:dyDescent="0.35">
      <c r="A4556" s="1">
        <v>4555</v>
      </c>
      <c r="B4556" s="1">
        <v>887</v>
      </c>
      <c r="C4556" s="1">
        <v>12</v>
      </c>
      <c r="D4556" t="str">
        <f>VLOOKUP(B4556,Заказы!A:C,3,0)</f>
        <v>2023-10-05 20:21:00</v>
      </c>
      <c r="E4556" t="str">
        <f>VLOOKUP(C4556,Меню!A:E,4,0)</f>
        <v>Первое</v>
      </c>
      <c r="F4556">
        <f>VLOOKUP(C4556,Меню!A:E,5,0)</f>
        <v>300</v>
      </c>
    </row>
    <row r="4557" spans="1:6" ht="15.75" hidden="1" customHeight="1" x14ac:dyDescent="0.35">
      <c r="A4557" s="1">
        <v>4556</v>
      </c>
      <c r="B4557" s="1">
        <v>888</v>
      </c>
      <c r="C4557" s="1">
        <v>33</v>
      </c>
      <c r="D4557" t="str">
        <f>VLOOKUP(B4557,Заказы!A:C,3,0)</f>
        <v>2023-10-05 21:05:00</v>
      </c>
      <c r="E4557" t="str">
        <f>VLOOKUP(C4557,Меню!A:E,4,0)</f>
        <v>Десерт</v>
      </c>
      <c r="F4557">
        <f>VLOOKUP(C4557,Меню!A:E,5,0)</f>
        <v>150</v>
      </c>
    </row>
    <row r="4558" spans="1:6" ht="15.75" hidden="1" customHeight="1" x14ac:dyDescent="0.35">
      <c r="A4558" s="1">
        <v>4557</v>
      </c>
      <c r="B4558" s="1">
        <v>888</v>
      </c>
      <c r="C4558" s="1">
        <v>31</v>
      </c>
      <c r="D4558" t="str">
        <f>VLOOKUP(B4558,Заказы!A:C,3,0)</f>
        <v>2023-10-05 21:05:00</v>
      </c>
      <c r="E4558" t="str">
        <f>VLOOKUP(C4558,Меню!A:E,4,0)</f>
        <v>Десерт</v>
      </c>
      <c r="F4558">
        <f>VLOOKUP(C4558,Меню!A:E,5,0)</f>
        <v>150</v>
      </c>
    </row>
    <row r="4559" spans="1:6" ht="15.75" hidden="1" customHeight="1" x14ac:dyDescent="0.35">
      <c r="A4559" s="1">
        <v>4558</v>
      </c>
      <c r="B4559" s="1">
        <v>888</v>
      </c>
      <c r="C4559" s="1">
        <v>21</v>
      </c>
      <c r="D4559" t="str">
        <f>VLOOKUP(B4559,Заказы!A:C,3,0)</f>
        <v>2023-10-05 21:05:00</v>
      </c>
      <c r="E4559" t="str">
        <f>VLOOKUP(C4559,Меню!A:E,4,0)</f>
        <v>Салат</v>
      </c>
      <c r="F4559">
        <f>VLOOKUP(C4559,Меню!A:E,5,0)</f>
        <v>250</v>
      </c>
    </row>
    <row r="4560" spans="1:6" ht="15.75" hidden="1" customHeight="1" x14ac:dyDescent="0.35">
      <c r="A4560" s="1">
        <v>4559</v>
      </c>
      <c r="B4560" s="1">
        <v>888</v>
      </c>
      <c r="C4560" s="1">
        <v>12</v>
      </c>
      <c r="D4560" t="str">
        <f>VLOOKUP(B4560,Заказы!A:C,3,0)</f>
        <v>2023-10-05 21:05:00</v>
      </c>
      <c r="E4560" t="str">
        <f>VLOOKUP(C4560,Меню!A:E,4,0)</f>
        <v>Первое</v>
      </c>
      <c r="F4560">
        <f>VLOOKUP(C4560,Меню!A:E,5,0)</f>
        <v>300</v>
      </c>
    </row>
    <row r="4561" spans="1:6" ht="15.75" hidden="1" customHeight="1" x14ac:dyDescent="0.35">
      <c r="A4561" s="1">
        <v>4560</v>
      </c>
      <c r="B4561" s="1">
        <v>888</v>
      </c>
      <c r="C4561" s="1">
        <v>55</v>
      </c>
      <c r="D4561" t="str">
        <f>VLOOKUP(B4561,Заказы!A:C,3,0)</f>
        <v>2023-10-05 21:05:00</v>
      </c>
      <c r="E4561" t="str">
        <f>VLOOKUP(C4561,Меню!A:E,4,0)</f>
        <v>Суши</v>
      </c>
      <c r="F4561">
        <f>VLOOKUP(C4561,Меню!A:E,5,0)</f>
        <v>100</v>
      </c>
    </row>
    <row r="4562" spans="1:6" ht="15.75" hidden="1" customHeight="1" x14ac:dyDescent="0.35">
      <c r="A4562" s="1">
        <v>4561</v>
      </c>
      <c r="B4562" s="1">
        <v>888</v>
      </c>
      <c r="C4562" s="1">
        <v>44</v>
      </c>
      <c r="D4562" t="str">
        <f>VLOOKUP(B4562,Заказы!A:C,3,0)</f>
        <v>2023-10-05 21:05:00</v>
      </c>
      <c r="E4562" t="str">
        <f>VLOOKUP(C4562,Меню!A:E,4,0)</f>
        <v>Суши</v>
      </c>
      <c r="F4562">
        <f>VLOOKUP(C4562,Меню!A:E,5,0)</f>
        <v>250</v>
      </c>
    </row>
    <row r="4563" spans="1:6" ht="15.75" hidden="1" customHeight="1" x14ac:dyDescent="0.35">
      <c r="A4563" s="1">
        <v>4562</v>
      </c>
      <c r="B4563" s="1">
        <v>888</v>
      </c>
      <c r="C4563" s="1">
        <v>22</v>
      </c>
      <c r="D4563" t="str">
        <f>VLOOKUP(B4563,Заказы!A:C,3,0)</f>
        <v>2023-10-05 21:05:00</v>
      </c>
      <c r="E4563" t="str">
        <f>VLOOKUP(C4563,Меню!A:E,4,0)</f>
        <v>Салат</v>
      </c>
      <c r="F4563">
        <f>VLOOKUP(C4563,Меню!A:E,5,0)</f>
        <v>250</v>
      </c>
    </row>
    <row r="4564" spans="1:6" ht="15.75" hidden="1" customHeight="1" x14ac:dyDescent="0.35">
      <c r="A4564" s="1">
        <v>4563</v>
      </c>
      <c r="B4564" s="1">
        <v>888</v>
      </c>
      <c r="C4564" s="1">
        <v>53</v>
      </c>
      <c r="D4564" t="str">
        <f>VLOOKUP(B4564,Заказы!A:C,3,0)</f>
        <v>2023-10-05 21:05:00</v>
      </c>
      <c r="E4564" t="str">
        <f>VLOOKUP(C4564,Меню!A:E,4,0)</f>
        <v>Суши</v>
      </c>
      <c r="F4564">
        <f>VLOOKUP(C4564,Меню!A:E,5,0)</f>
        <v>100</v>
      </c>
    </row>
    <row r="4565" spans="1:6" ht="15.75" hidden="1" customHeight="1" x14ac:dyDescent="0.35">
      <c r="A4565" s="1">
        <v>4564</v>
      </c>
      <c r="B4565" s="1">
        <v>889</v>
      </c>
      <c r="C4565" s="1">
        <v>32</v>
      </c>
      <c r="D4565" t="str">
        <f>VLOOKUP(B4565,Заказы!A:C,3,0)</f>
        <v>2023-10-06 16:38:00</v>
      </c>
      <c r="E4565" t="str">
        <f>VLOOKUP(C4565,Меню!A:E,4,0)</f>
        <v>Десерт</v>
      </c>
      <c r="F4565">
        <f>VLOOKUP(C4565,Меню!A:E,5,0)</f>
        <v>150</v>
      </c>
    </row>
    <row r="4566" spans="1:6" ht="15.75" hidden="1" customHeight="1" x14ac:dyDescent="0.35">
      <c r="A4566" s="1">
        <v>4565</v>
      </c>
      <c r="B4566" s="1">
        <v>889</v>
      </c>
      <c r="C4566" s="1">
        <v>53</v>
      </c>
      <c r="D4566" t="str">
        <f>VLOOKUP(B4566,Заказы!A:C,3,0)</f>
        <v>2023-10-06 16:38:00</v>
      </c>
      <c r="E4566" t="str">
        <f>VLOOKUP(C4566,Меню!A:E,4,0)</f>
        <v>Суши</v>
      </c>
      <c r="F4566">
        <f>VLOOKUP(C4566,Меню!A:E,5,0)</f>
        <v>100</v>
      </c>
    </row>
    <row r="4567" spans="1:6" ht="15.75" hidden="1" customHeight="1" x14ac:dyDescent="0.35">
      <c r="A4567" s="1">
        <v>4566</v>
      </c>
      <c r="B4567" s="1">
        <v>890</v>
      </c>
      <c r="C4567" s="1">
        <v>21</v>
      </c>
      <c r="D4567" t="str">
        <f>VLOOKUP(B4567,Заказы!A:C,3,0)</f>
        <v>2023-10-06 16:44:00</v>
      </c>
      <c r="E4567" t="str">
        <f>VLOOKUP(C4567,Меню!A:E,4,0)</f>
        <v>Салат</v>
      </c>
      <c r="F4567">
        <f>VLOOKUP(C4567,Меню!A:E,5,0)</f>
        <v>250</v>
      </c>
    </row>
    <row r="4568" spans="1:6" ht="15.75" hidden="1" customHeight="1" x14ac:dyDescent="0.35">
      <c r="A4568" s="1">
        <v>4567</v>
      </c>
      <c r="B4568" s="1">
        <v>890</v>
      </c>
      <c r="C4568" s="1">
        <v>60</v>
      </c>
      <c r="D4568" t="str">
        <f>VLOOKUP(B4568,Заказы!A:C,3,0)</f>
        <v>2023-10-06 16:44:00</v>
      </c>
      <c r="E4568" t="str">
        <f>VLOOKUP(C4568,Меню!A:E,4,0)</f>
        <v>Суши</v>
      </c>
      <c r="F4568">
        <f>VLOOKUP(C4568,Меню!A:E,5,0)</f>
        <v>250</v>
      </c>
    </row>
    <row r="4569" spans="1:6" ht="15.75" hidden="1" customHeight="1" x14ac:dyDescent="0.35">
      <c r="A4569" s="1">
        <v>4568</v>
      </c>
      <c r="B4569" s="1">
        <v>890</v>
      </c>
      <c r="C4569" s="1">
        <v>58</v>
      </c>
      <c r="D4569" t="str">
        <f>VLOOKUP(B4569,Заказы!A:C,3,0)</f>
        <v>2023-10-06 16:44:00</v>
      </c>
      <c r="E4569" t="str">
        <f>VLOOKUP(C4569,Меню!A:E,4,0)</f>
        <v>Суши</v>
      </c>
      <c r="F4569">
        <f>VLOOKUP(C4569,Меню!A:E,5,0)</f>
        <v>200</v>
      </c>
    </row>
    <row r="4570" spans="1:6" ht="15.75" hidden="1" customHeight="1" x14ac:dyDescent="0.35">
      <c r="A4570" s="1">
        <v>4569</v>
      </c>
      <c r="B4570" s="1">
        <v>890</v>
      </c>
      <c r="C4570" s="1">
        <v>2</v>
      </c>
      <c r="D4570" t="str">
        <f>VLOOKUP(B4570,Заказы!A:C,3,0)</f>
        <v>2023-10-06 16:44:00</v>
      </c>
      <c r="E4570" t="str">
        <f>VLOOKUP(C4570,Меню!A:E,4,0)</f>
        <v>Завтрак</v>
      </c>
      <c r="F4570">
        <f>VLOOKUP(C4570,Меню!A:E,5,0)</f>
        <v>250</v>
      </c>
    </row>
    <row r="4571" spans="1:6" ht="15.75" hidden="1" customHeight="1" x14ac:dyDescent="0.35">
      <c r="A4571" s="1">
        <v>4570</v>
      </c>
      <c r="B4571" s="1">
        <v>890</v>
      </c>
      <c r="C4571" s="1">
        <v>57</v>
      </c>
      <c r="D4571" t="str">
        <f>VLOOKUP(B4571,Заказы!A:C,3,0)</f>
        <v>2023-10-06 16:44:00</v>
      </c>
      <c r="E4571" t="str">
        <f>VLOOKUP(C4571,Меню!A:E,4,0)</f>
        <v>Суши</v>
      </c>
      <c r="F4571">
        <f>VLOOKUP(C4571,Меню!A:E,5,0)</f>
        <v>200</v>
      </c>
    </row>
    <row r="4572" spans="1:6" ht="15.75" hidden="1" customHeight="1" x14ac:dyDescent="0.35">
      <c r="A4572" s="1">
        <v>4571</v>
      </c>
      <c r="B4572" s="1">
        <v>890</v>
      </c>
      <c r="C4572" s="1">
        <v>23</v>
      </c>
      <c r="D4572" t="str">
        <f>VLOOKUP(B4572,Заказы!A:C,3,0)</f>
        <v>2023-10-06 16:44:00</v>
      </c>
      <c r="E4572" t="str">
        <f>VLOOKUP(C4572,Меню!A:E,4,0)</f>
        <v>Салат</v>
      </c>
      <c r="F4572">
        <f>VLOOKUP(C4572,Меню!A:E,5,0)</f>
        <v>250</v>
      </c>
    </row>
    <row r="4573" spans="1:6" ht="15.75" hidden="1" customHeight="1" x14ac:dyDescent="0.35">
      <c r="A4573" s="1">
        <v>4572</v>
      </c>
      <c r="B4573" s="1">
        <v>890</v>
      </c>
      <c r="C4573" s="1">
        <v>11</v>
      </c>
      <c r="D4573" t="str">
        <f>VLOOKUP(B4573,Заказы!A:C,3,0)</f>
        <v>2023-10-06 16:44:00</v>
      </c>
      <c r="E4573" t="str">
        <f>VLOOKUP(C4573,Меню!A:E,4,0)</f>
        <v>Первое</v>
      </c>
      <c r="F4573">
        <f>VLOOKUP(C4573,Меню!A:E,5,0)</f>
        <v>300</v>
      </c>
    </row>
    <row r="4574" spans="1:6" ht="15.75" hidden="1" customHeight="1" x14ac:dyDescent="0.35">
      <c r="A4574" s="1">
        <v>4573</v>
      </c>
      <c r="B4574" s="1">
        <v>891</v>
      </c>
      <c r="C4574" s="1">
        <v>44</v>
      </c>
      <c r="D4574" t="str">
        <f>VLOOKUP(B4574,Заказы!A:C,3,0)</f>
        <v>2023-10-06 22:54:00</v>
      </c>
      <c r="E4574" t="str">
        <f>VLOOKUP(C4574,Меню!A:E,4,0)</f>
        <v>Суши</v>
      </c>
      <c r="F4574">
        <f>VLOOKUP(C4574,Меню!A:E,5,0)</f>
        <v>250</v>
      </c>
    </row>
    <row r="4575" spans="1:6" ht="15.75" hidden="1" customHeight="1" x14ac:dyDescent="0.35">
      <c r="A4575" s="1">
        <v>4574</v>
      </c>
      <c r="B4575" s="1">
        <v>891</v>
      </c>
      <c r="C4575" s="1">
        <v>47</v>
      </c>
      <c r="D4575" t="str">
        <f>VLOOKUP(B4575,Заказы!A:C,3,0)</f>
        <v>2023-10-06 22:54:00</v>
      </c>
      <c r="E4575" t="str">
        <f>VLOOKUP(C4575,Меню!A:E,4,0)</f>
        <v>Суши</v>
      </c>
      <c r="F4575">
        <f>VLOOKUP(C4575,Меню!A:E,5,0)</f>
        <v>200</v>
      </c>
    </row>
    <row r="4576" spans="1:6" ht="15.75" hidden="1" customHeight="1" x14ac:dyDescent="0.35">
      <c r="A4576" s="1">
        <v>4575</v>
      </c>
      <c r="B4576" s="1">
        <v>892</v>
      </c>
      <c r="C4576" s="1">
        <v>18</v>
      </c>
      <c r="D4576" t="str">
        <f>VLOOKUP(B4576,Заказы!A:C,3,0)</f>
        <v>2023-10-07 15:39:00</v>
      </c>
      <c r="E4576" t="str">
        <f>VLOOKUP(C4576,Меню!A:E,4,0)</f>
        <v>Первое</v>
      </c>
      <c r="F4576">
        <f>VLOOKUP(C4576,Меню!A:E,5,0)</f>
        <v>300</v>
      </c>
    </row>
    <row r="4577" spans="1:6" ht="15.75" hidden="1" customHeight="1" x14ac:dyDescent="0.35">
      <c r="A4577" s="1">
        <v>4576</v>
      </c>
      <c r="B4577" s="1">
        <v>892</v>
      </c>
      <c r="C4577" s="1">
        <v>11</v>
      </c>
      <c r="D4577" t="str">
        <f>VLOOKUP(B4577,Заказы!A:C,3,0)</f>
        <v>2023-10-07 15:39:00</v>
      </c>
      <c r="E4577" t="str">
        <f>VLOOKUP(C4577,Меню!A:E,4,0)</f>
        <v>Первое</v>
      </c>
      <c r="F4577">
        <f>VLOOKUP(C4577,Меню!A:E,5,0)</f>
        <v>300</v>
      </c>
    </row>
    <row r="4578" spans="1:6" ht="15.75" hidden="1" customHeight="1" x14ac:dyDescent="0.35">
      <c r="A4578" s="1">
        <v>4577</v>
      </c>
      <c r="B4578" s="1">
        <v>892</v>
      </c>
      <c r="C4578" s="1">
        <v>20</v>
      </c>
      <c r="D4578" t="str">
        <f>VLOOKUP(B4578,Заказы!A:C,3,0)</f>
        <v>2023-10-07 15:39:00</v>
      </c>
      <c r="E4578" t="str">
        <f>VLOOKUP(C4578,Меню!A:E,4,0)</f>
        <v>Первое</v>
      </c>
      <c r="F4578">
        <f>VLOOKUP(C4578,Меню!A:E,5,0)</f>
        <v>250</v>
      </c>
    </row>
    <row r="4579" spans="1:6" ht="15.75" hidden="1" customHeight="1" x14ac:dyDescent="0.35">
      <c r="A4579" s="1">
        <v>4578</v>
      </c>
      <c r="B4579" s="1">
        <v>892</v>
      </c>
      <c r="C4579" s="1">
        <v>51</v>
      </c>
      <c r="D4579" t="str">
        <f>VLOOKUP(B4579,Заказы!A:C,3,0)</f>
        <v>2023-10-07 15:39:00</v>
      </c>
      <c r="E4579" t="str">
        <f>VLOOKUP(C4579,Меню!A:E,4,0)</f>
        <v>Суши</v>
      </c>
      <c r="F4579">
        <f>VLOOKUP(C4579,Меню!A:E,5,0)</f>
        <v>100</v>
      </c>
    </row>
    <row r="4580" spans="1:6" ht="15.75" hidden="1" customHeight="1" x14ac:dyDescent="0.35">
      <c r="A4580" s="1">
        <v>4579</v>
      </c>
      <c r="B4580" s="1">
        <v>892</v>
      </c>
      <c r="C4580" s="1">
        <v>3</v>
      </c>
      <c r="D4580" t="str">
        <f>VLOOKUP(B4580,Заказы!A:C,3,0)</f>
        <v>2023-10-07 15:39:00</v>
      </c>
      <c r="E4580" t="str">
        <f>VLOOKUP(C4580,Меню!A:E,4,0)</f>
        <v>Завтрак</v>
      </c>
      <c r="F4580">
        <f>VLOOKUP(C4580,Меню!A:E,5,0)</f>
        <v>150</v>
      </c>
    </row>
    <row r="4581" spans="1:6" ht="15.75" hidden="1" customHeight="1" x14ac:dyDescent="0.35">
      <c r="A4581" s="1">
        <v>4580</v>
      </c>
      <c r="B4581" s="1">
        <v>893</v>
      </c>
      <c r="C4581" s="1">
        <v>55</v>
      </c>
      <c r="D4581" t="str">
        <f>VLOOKUP(B4581,Заказы!A:C,3,0)</f>
        <v>2023-10-07 16:00:00</v>
      </c>
      <c r="E4581" t="str">
        <f>VLOOKUP(C4581,Меню!A:E,4,0)</f>
        <v>Суши</v>
      </c>
      <c r="F4581">
        <f>VLOOKUP(C4581,Меню!A:E,5,0)</f>
        <v>100</v>
      </c>
    </row>
    <row r="4582" spans="1:6" ht="15.75" hidden="1" customHeight="1" x14ac:dyDescent="0.35">
      <c r="A4582" s="1">
        <v>4581</v>
      </c>
      <c r="B4582" s="1">
        <v>893</v>
      </c>
      <c r="C4582" s="1">
        <v>59</v>
      </c>
      <c r="D4582" t="str">
        <f>VLOOKUP(B4582,Заказы!A:C,3,0)</f>
        <v>2023-10-07 16:00:00</v>
      </c>
      <c r="E4582" t="str">
        <f>VLOOKUP(C4582,Меню!A:E,4,0)</f>
        <v>Суши</v>
      </c>
      <c r="F4582">
        <f>VLOOKUP(C4582,Меню!A:E,5,0)</f>
        <v>300</v>
      </c>
    </row>
    <row r="4583" spans="1:6" ht="15.75" hidden="1" customHeight="1" x14ac:dyDescent="0.35">
      <c r="A4583" s="1">
        <v>4582</v>
      </c>
      <c r="B4583" s="1">
        <v>893</v>
      </c>
      <c r="C4583" s="1">
        <v>5</v>
      </c>
      <c r="D4583" t="str">
        <f>VLOOKUP(B4583,Заказы!A:C,3,0)</f>
        <v>2023-10-07 16:00:00</v>
      </c>
      <c r="E4583" t="str">
        <f>VLOOKUP(C4583,Меню!A:E,4,0)</f>
        <v>Завтрак</v>
      </c>
      <c r="F4583">
        <f>VLOOKUP(C4583,Меню!A:E,5,0)</f>
        <v>220</v>
      </c>
    </row>
    <row r="4584" spans="1:6" ht="15.75" hidden="1" customHeight="1" x14ac:dyDescent="0.35">
      <c r="A4584" s="1">
        <v>4583</v>
      </c>
      <c r="B4584" s="1">
        <v>893</v>
      </c>
      <c r="C4584" s="1">
        <v>36</v>
      </c>
      <c r="D4584" t="str">
        <f>VLOOKUP(B4584,Заказы!A:C,3,0)</f>
        <v>2023-10-07 16:00:00</v>
      </c>
      <c r="E4584" t="str">
        <f>VLOOKUP(C4584,Меню!A:E,4,0)</f>
        <v>Десерт</v>
      </c>
      <c r="F4584">
        <f>VLOOKUP(C4584,Меню!A:E,5,0)</f>
        <v>150</v>
      </c>
    </row>
    <row r="4585" spans="1:6" ht="15.75" hidden="1" customHeight="1" x14ac:dyDescent="0.35">
      <c r="A4585" s="1">
        <v>4584</v>
      </c>
      <c r="B4585" s="1">
        <v>893</v>
      </c>
      <c r="C4585" s="1">
        <v>3</v>
      </c>
      <c r="D4585" t="str">
        <f>VLOOKUP(B4585,Заказы!A:C,3,0)</f>
        <v>2023-10-07 16:00:00</v>
      </c>
      <c r="E4585" t="str">
        <f>VLOOKUP(C4585,Меню!A:E,4,0)</f>
        <v>Завтрак</v>
      </c>
      <c r="F4585">
        <f>VLOOKUP(C4585,Меню!A:E,5,0)</f>
        <v>150</v>
      </c>
    </row>
    <row r="4586" spans="1:6" ht="15.75" hidden="1" customHeight="1" x14ac:dyDescent="0.35">
      <c r="A4586" s="1">
        <v>4585</v>
      </c>
      <c r="B4586" s="1">
        <v>893</v>
      </c>
      <c r="C4586" s="1">
        <v>39</v>
      </c>
      <c r="D4586" t="str">
        <f>VLOOKUP(B4586,Заказы!A:C,3,0)</f>
        <v>2023-10-07 16:00:00</v>
      </c>
      <c r="E4586" t="str">
        <f>VLOOKUP(C4586,Меню!A:E,4,0)</f>
        <v>Десерт</v>
      </c>
      <c r="F4586">
        <f>VLOOKUP(C4586,Меню!A:E,5,0)</f>
        <v>150</v>
      </c>
    </row>
    <row r="4587" spans="1:6" ht="15.75" hidden="1" customHeight="1" x14ac:dyDescent="0.35">
      <c r="A4587" s="1">
        <v>4586</v>
      </c>
      <c r="B4587" s="1">
        <v>893</v>
      </c>
      <c r="C4587" s="1">
        <v>33</v>
      </c>
      <c r="D4587" t="str">
        <f>VLOOKUP(B4587,Заказы!A:C,3,0)</f>
        <v>2023-10-07 16:00:00</v>
      </c>
      <c r="E4587" t="str">
        <f>VLOOKUP(C4587,Меню!A:E,4,0)</f>
        <v>Десерт</v>
      </c>
      <c r="F4587">
        <f>VLOOKUP(C4587,Меню!A:E,5,0)</f>
        <v>150</v>
      </c>
    </row>
    <row r="4588" spans="1:6" ht="15.75" hidden="1" customHeight="1" x14ac:dyDescent="0.35">
      <c r="A4588" s="1">
        <v>4587</v>
      </c>
      <c r="B4588" s="1">
        <v>894</v>
      </c>
      <c r="C4588" s="1">
        <v>26</v>
      </c>
      <c r="D4588" t="str">
        <f>VLOOKUP(B4588,Заказы!A:C,3,0)</f>
        <v>2023-10-07 20:37:00</v>
      </c>
      <c r="E4588" t="str">
        <f>VLOOKUP(C4588,Меню!A:E,4,0)</f>
        <v>Салат</v>
      </c>
      <c r="F4588">
        <f>VLOOKUP(C4588,Меню!A:E,5,0)</f>
        <v>250</v>
      </c>
    </row>
    <row r="4589" spans="1:6" ht="15.75" hidden="1" customHeight="1" x14ac:dyDescent="0.35">
      <c r="A4589" s="1">
        <v>4588</v>
      </c>
      <c r="B4589" s="1">
        <v>894</v>
      </c>
      <c r="C4589" s="1">
        <v>51</v>
      </c>
      <c r="D4589" t="str">
        <f>VLOOKUP(B4589,Заказы!A:C,3,0)</f>
        <v>2023-10-07 20:37:00</v>
      </c>
      <c r="E4589" t="str">
        <f>VLOOKUP(C4589,Меню!A:E,4,0)</f>
        <v>Суши</v>
      </c>
      <c r="F4589">
        <f>VLOOKUP(C4589,Меню!A:E,5,0)</f>
        <v>100</v>
      </c>
    </row>
    <row r="4590" spans="1:6" ht="15.75" hidden="1" customHeight="1" x14ac:dyDescent="0.35">
      <c r="A4590" s="1">
        <v>4589</v>
      </c>
      <c r="B4590" s="1">
        <v>894</v>
      </c>
      <c r="C4590" s="1">
        <v>40</v>
      </c>
      <c r="D4590" t="str">
        <f>VLOOKUP(B4590,Заказы!A:C,3,0)</f>
        <v>2023-10-07 20:37:00</v>
      </c>
      <c r="E4590" t="str">
        <f>VLOOKUP(C4590,Меню!A:E,4,0)</f>
        <v>Десерт</v>
      </c>
      <c r="F4590">
        <f>VLOOKUP(C4590,Меню!A:E,5,0)</f>
        <v>150</v>
      </c>
    </row>
    <row r="4591" spans="1:6" ht="15.75" hidden="1" customHeight="1" x14ac:dyDescent="0.35">
      <c r="A4591" s="1">
        <v>4590</v>
      </c>
      <c r="B4591" s="1">
        <v>894</v>
      </c>
      <c r="C4591" s="1">
        <v>27</v>
      </c>
      <c r="D4591" t="str">
        <f>VLOOKUP(B4591,Заказы!A:C,3,0)</f>
        <v>2023-10-07 20:37:00</v>
      </c>
      <c r="E4591" t="str">
        <f>VLOOKUP(C4591,Меню!A:E,4,0)</f>
        <v>Салат</v>
      </c>
      <c r="F4591">
        <f>VLOOKUP(C4591,Меню!A:E,5,0)</f>
        <v>250</v>
      </c>
    </row>
    <row r="4592" spans="1:6" ht="15.75" hidden="1" customHeight="1" x14ac:dyDescent="0.35">
      <c r="A4592" s="1">
        <v>4591</v>
      </c>
      <c r="B4592" s="1">
        <v>894</v>
      </c>
      <c r="C4592" s="1">
        <v>28</v>
      </c>
      <c r="D4592" t="str">
        <f>VLOOKUP(B4592,Заказы!A:C,3,0)</f>
        <v>2023-10-07 20:37:00</v>
      </c>
      <c r="E4592" t="str">
        <f>VLOOKUP(C4592,Меню!A:E,4,0)</f>
        <v>Салат</v>
      </c>
      <c r="F4592">
        <f>VLOOKUP(C4592,Меню!A:E,5,0)</f>
        <v>250</v>
      </c>
    </row>
    <row r="4593" spans="1:6" ht="15.75" hidden="1" customHeight="1" x14ac:dyDescent="0.35">
      <c r="A4593" s="1">
        <v>4592</v>
      </c>
      <c r="B4593" s="1">
        <v>894</v>
      </c>
      <c r="C4593" s="1">
        <v>2</v>
      </c>
      <c r="D4593" t="str">
        <f>VLOOKUP(B4593,Заказы!A:C,3,0)</f>
        <v>2023-10-07 20:37:00</v>
      </c>
      <c r="E4593" t="str">
        <f>VLOOKUP(C4593,Меню!A:E,4,0)</f>
        <v>Завтрак</v>
      </c>
      <c r="F4593">
        <f>VLOOKUP(C4593,Меню!A:E,5,0)</f>
        <v>250</v>
      </c>
    </row>
    <row r="4594" spans="1:6" ht="15.75" hidden="1" customHeight="1" x14ac:dyDescent="0.35">
      <c r="A4594" s="1">
        <v>4593</v>
      </c>
      <c r="B4594" s="1">
        <v>894</v>
      </c>
      <c r="C4594" s="1">
        <v>4</v>
      </c>
      <c r="D4594" t="str">
        <f>VLOOKUP(B4594,Заказы!A:C,3,0)</f>
        <v>2023-10-07 20:37:00</v>
      </c>
      <c r="E4594" t="str">
        <f>VLOOKUP(C4594,Меню!A:E,4,0)</f>
        <v>Завтрак</v>
      </c>
      <c r="F4594">
        <f>VLOOKUP(C4594,Меню!A:E,5,0)</f>
        <v>180</v>
      </c>
    </row>
    <row r="4595" spans="1:6" ht="15.75" hidden="1" customHeight="1" x14ac:dyDescent="0.35">
      <c r="A4595" s="1">
        <v>4594</v>
      </c>
      <c r="B4595" s="1">
        <v>895</v>
      </c>
      <c r="C4595" s="1">
        <v>55</v>
      </c>
      <c r="D4595" t="str">
        <f>VLOOKUP(B4595,Заказы!A:C,3,0)</f>
        <v>2023-10-07 21:30:00</v>
      </c>
      <c r="E4595" t="str">
        <f>VLOOKUP(C4595,Меню!A:E,4,0)</f>
        <v>Суши</v>
      </c>
      <c r="F4595">
        <f>VLOOKUP(C4595,Меню!A:E,5,0)</f>
        <v>100</v>
      </c>
    </row>
    <row r="4596" spans="1:6" ht="15.75" hidden="1" customHeight="1" x14ac:dyDescent="0.35">
      <c r="A4596" s="1">
        <v>4595</v>
      </c>
      <c r="B4596" s="1">
        <v>895</v>
      </c>
      <c r="C4596" s="1">
        <v>45</v>
      </c>
      <c r="D4596" t="str">
        <f>VLOOKUP(B4596,Заказы!A:C,3,0)</f>
        <v>2023-10-07 21:30:00</v>
      </c>
      <c r="E4596" t="str">
        <f>VLOOKUP(C4596,Меню!A:E,4,0)</f>
        <v>Суши</v>
      </c>
      <c r="F4596">
        <f>VLOOKUP(C4596,Меню!A:E,5,0)</f>
        <v>200</v>
      </c>
    </row>
    <row r="4597" spans="1:6" ht="15.75" hidden="1" customHeight="1" x14ac:dyDescent="0.35">
      <c r="A4597" s="1">
        <v>4596</v>
      </c>
      <c r="B4597" s="1">
        <v>895</v>
      </c>
      <c r="C4597" s="1">
        <v>60</v>
      </c>
      <c r="D4597" t="str">
        <f>VLOOKUP(B4597,Заказы!A:C,3,0)</f>
        <v>2023-10-07 21:30:00</v>
      </c>
      <c r="E4597" t="str">
        <f>VLOOKUP(C4597,Меню!A:E,4,0)</f>
        <v>Суши</v>
      </c>
      <c r="F4597">
        <f>VLOOKUP(C4597,Меню!A:E,5,0)</f>
        <v>250</v>
      </c>
    </row>
    <row r="4598" spans="1:6" ht="15.75" hidden="1" customHeight="1" x14ac:dyDescent="0.35">
      <c r="A4598" s="1">
        <v>4597</v>
      </c>
      <c r="B4598" s="1">
        <v>896</v>
      </c>
      <c r="C4598" s="1">
        <v>28</v>
      </c>
      <c r="D4598" t="str">
        <f>VLOOKUP(B4598,Заказы!A:C,3,0)</f>
        <v>2023-10-07 22:33:00</v>
      </c>
      <c r="E4598" t="str">
        <f>VLOOKUP(C4598,Меню!A:E,4,0)</f>
        <v>Салат</v>
      </c>
      <c r="F4598">
        <f>VLOOKUP(C4598,Меню!A:E,5,0)</f>
        <v>250</v>
      </c>
    </row>
    <row r="4599" spans="1:6" ht="15.75" hidden="1" customHeight="1" x14ac:dyDescent="0.35">
      <c r="A4599" s="1">
        <v>4598</v>
      </c>
      <c r="B4599" s="1">
        <v>896</v>
      </c>
      <c r="C4599" s="1">
        <v>53</v>
      </c>
      <c r="D4599" t="str">
        <f>VLOOKUP(B4599,Заказы!A:C,3,0)</f>
        <v>2023-10-07 22:33:00</v>
      </c>
      <c r="E4599" t="str">
        <f>VLOOKUP(C4599,Меню!A:E,4,0)</f>
        <v>Суши</v>
      </c>
      <c r="F4599">
        <f>VLOOKUP(C4599,Меню!A:E,5,0)</f>
        <v>100</v>
      </c>
    </row>
    <row r="4600" spans="1:6" ht="15.75" hidden="1" customHeight="1" x14ac:dyDescent="0.35">
      <c r="A4600" s="1">
        <v>4599</v>
      </c>
      <c r="B4600" s="1">
        <v>896</v>
      </c>
      <c r="C4600" s="1">
        <v>22</v>
      </c>
      <c r="D4600" t="str">
        <f>VLOOKUP(B4600,Заказы!A:C,3,0)</f>
        <v>2023-10-07 22:33:00</v>
      </c>
      <c r="E4600" t="str">
        <f>VLOOKUP(C4600,Меню!A:E,4,0)</f>
        <v>Салат</v>
      </c>
      <c r="F4600">
        <f>VLOOKUP(C4600,Меню!A:E,5,0)</f>
        <v>250</v>
      </c>
    </row>
    <row r="4601" spans="1:6" ht="15.75" hidden="1" customHeight="1" x14ac:dyDescent="0.35">
      <c r="A4601" s="1">
        <v>4600</v>
      </c>
      <c r="B4601" s="1">
        <v>896</v>
      </c>
      <c r="C4601" s="1">
        <v>20</v>
      </c>
      <c r="D4601" t="str">
        <f>VLOOKUP(B4601,Заказы!A:C,3,0)</f>
        <v>2023-10-07 22:33:00</v>
      </c>
      <c r="E4601" t="str">
        <f>VLOOKUP(C4601,Меню!A:E,4,0)</f>
        <v>Первое</v>
      </c>
      <c r="F4601">
        <f>VLOOKUP(C4601,Меню!A:E,5,0)</f>
        <v>250</v>
      </c>
    </row>
    <row r="4602" spans="1:6" ht="15.75" hidden="1" customHeight="1" x14ac:dyDescent="0.35">
      <c r="A4602" s="1">
        <v>4601</v>
      </c>
      <c r="B4602" s="1">
        <v>896</v>
      </c>
      <c r="C4602" s="1">
        <v>48</v>
      </c>
      <c r="D4602" t="str">
        <f>VLOOKUP(B4602,Заказы!A:C,3,0)</f>
        <v>2023-10-07 22:33:00</v>
      </c>
      <c r="E4602" t="str">
        <f>VLOOKUP(C4602,Меню!A:E,4,0)</f>
        <v>Суши</v>
      </c>
      <c r="F4602">
        <f>VLOOKUP(C4602,Меню!A:E,5,0)</f>
        <v>200</v>
      </c>
    </row>
    <row r="4603" spans="1:6" ht="15.75" hidden="1" customHeight="1" x14ac:dyDescent="0.35">
      <c r="A4603" s="1">
        <v>4602</v>
      </c>
      <c r="B4603" s="1">
        <v>896</v>
      </c>
      <c r="C4603" s="1">
        <v>49</v>
      </c>
      <c r="D4603" t="str">
        <f>VLOOKUP(B4603,Заказы!A:C,3,0)</f>
        <v>2023-10-07 22:33:00</v>
      </c>
      <c r="E4603" t="str">
        <f>VLOOKUP(C4603,Меню!A:E,4,0)</f>
        <v>Суши</v>
      </c>
      <c r="F4603">
        <f>VLOOKUP(C4603,Меню!A:E,5,0)</f>
        <v>200</v>
      </c>
    </row>
    <row r="4604" spans="1:6" ht="15.75" hidden="1" customHeight="1" x14ac:dyDescent="0.35">
      <c r="A4604" s="1">
        <v>4603</v>
      </c>
      <c r="B4604" s="1">
        <v>896</v>
      </c>
      <c r="C4604" s="1">
        <v>3</v>
      </c>
      <c r="D4604" t="str">
        <f>VLOOKUP(B4604,Заказы!A:C,3,0)</f>
        <v>2023-10-07 22:33:00</v>
      </c>
      <c r="E4604" t="str">
        <f>VLOOKUP(C4604,Меню!A:E,4,0)</f>
        <v>Завтрак</v>
      </c>
      <c r="F4604">
        <f>VLOOKUP(C4604,Меню!A:E,5,0)</f>
        <v>150</v>
      </c>
    </row>
    <row r="4605" spans="1:6" ht="15.75" hidden="1" customHeight="1" x14ac:dyDescent="0.35">
      <c r="A4605" s="1">
        <v>4604</v>
      </c>
      <c r="B4605" s="1">
        <v>896</v>
      </c>
      <c r="C4605" s="1">
        <v>55</v>
      </c>
      <c r="D4605" t="str">
        <f>VLOOKUP(B4605,Заказы!A:C,3,0)</f>
        <v>2023-10-07 22:33:00</v>
      </c>
      <c r="E4605" t="str">
        <f>VLOOKUP(C4605,Меню!A:E,4,0)</f>
        <v>Суши</v>
      </c>
      <c r="F4605">
        <f>VLOOKUP(C4605,Меню!A:E,5,0)</f>
        <v>100</v>
      </c>
    </row>
    <row r="4606" spans="1:6" ht="15.75" hidden="1" customHeight="1" x14ac:dyDescent="0.35">
      <c r="A4606" s="1">
        <v>4605</v>
      </c>
      <c r="B4606" s="1">
        <v>897</v>
      </c>
      <c r="C4606" s="1">
        <v>10</v>
      </c>
      <c r="D4606" t="str">
        <f>VLOOKUP(B4606,Заказы!A:C,3,0)</f>
        <v>2023-10-07 22:46:00</v>
      </c>
      <c r="E4606" t="str">
        <f>VLOOKUP(C4606,Меню!A:E,4,0)</f>
        <v>Завтрак</v>
      </c>
      <c r="F4606">
        <f>VLOOKUP(C4606,Меню!A:E,5,0)</f>
        <v>200</v>
      </c>
    </row>
    <row r="4607" spans="1:6" ht="15.75" hidden="1" customHeight="1" x14ac:dyDescent="0.35">
      <c r="A4607" s="1">
        <v>4606</v>
      </c>
      <c r="B4607" s="1">
        <v>897</v>
      </c>
      <c r="C4607" s="1">
        <v>14</v>
      </c>
      <c r="D4607" t="str">
        <f>VLOOKUP(B4607,Заказы!A:C,3,0)</f>
        <v>2023-10-07 22:46:00</v>
      </c>
      <c r="E4607" t="str">
        <f>VLOOKUP(C4607,Меню!A:E,4,0)</f>
        <v>Первое</v>
      </c>
      <c r="F4607">
        <f>VLOOKUP(C4607,Меню!A:E,5,0)</f>
        <v>350</v>
      </c>
    </row>
    <row r="4608" spans="1:6" ht="15.75" hidden="1" customHeight="1" x14ac:dyDescent="0.35">
      <c r="A4608" s="1">
        <v>4607</v>
      </c>
      <c r="B4608" s="1">
        <v>898</v>
      </c>
      <c r="C4608" s="1">
        <v>33</v>
      </c>
      <c r="D4608" t="str">
        <f>VLOOKUP(B4608,Заказы!A:C,3,0)</f>
        <v>2023-10-08 16:36:00</v>
      </c>
      <c r="E4608" t="str">
        <f>VLOOKUP(C4608,Меню!A:E,4,0)</f>
        <v>Десерт</v>
      </c>
      <c r="F4608">
        <f>VLOOKUP(C4608,Меню!A:E,5,0)</f>
        <v>150</v>
      </c>
    </row>
    <row r="4609" spans="1:6" ht="15.75" hidden="1" customHeight="1" x14ac:dyDescent="0.35">
      <c r="A4609" s="1">
        <v>4608</v>
      </c>
      <c r="B4609" s="1">
        <v>898</v>
      </c>
      <c r="C4609" s="1">
        <v>20</v>
      </c>
      <c r="D4609" t="str">
        <f>VLOOKUP(B4609,Заказы!A:C,3,0)</f>
        <v>2023-10-08 16:36:00</v>
      </c>
      <c r="E4609" t="str">
        <f>VLOOKUP(C4609,Меню!A:E,4,0)</f>
        <v>Первое</v>
      </c>
      <c r="F4609">
        <f>VLOOKUP(C4609,Меню!A:E,5,0)</f>
        <v>250</v>
      </c>
    </row>
    <row r="4610" spans="1:6" ht="15.75" hidden="1" customHeight="1" x14ac:dyDescent="0.35">
      <c r="A4610" s="1">
        <v>4609</v>
      </c>
      <c r="B4610" s="1">
        <v>898</v>
      </c>
      <c r="C4610" s="1">
        <v>8</v>
      </c>
      <c r="D4610" t="str">
        <f>VLOOKUP(B4610,Заказы!A:C,3,0)</f>
        <v>2023-10-08 16:36:00</v>
      </c>
      <c r="E4610" t="str">
        <f>VLOOKUP(C4610,Меню!A:E,4,0)</f>
        <v>Завтрак</v>
      </c>
      <c r="F4610">
        <f>VLOOKUP(C4610,Меню!A:E,5,0)</f>
        <v>180</v>
      </c>
    </row>
    <row r="4611" spans="1:6" ht="15.75" hidden="1" customHeight="1" x14ac:dyDescent="0.35">
      <c r="A4611" s="1">
        <v>4610</v>
      </c>
      <c r="B4611" s="1">
        <v>898</v>
      </c>
      <c r="C4611" s="1">
        <v>49</v>
      </c>
      <c r="D4611" t="str">
        <f>VLOOKUP(B4611,Заказы!A:C,3,0)</f>
        <v>2023-10-08 16:36:00</v>
      </c>
      <c r="E4611" t="str">
        <f>VLOOKUP(C4611,Меню!A:E,4,0)</f>
        <v>Суши</v>
      </c>
      <c r="F4611">
        <f>VLOOKUP(C4611,Меню!A:E,5,0)</f>
        <v>200</v>
      </c>
    </row>
    <row r="4612" spans="1:6" ht="15.75" hidden="1" customHeight="1" x14ac:dyDescent="0.35">
      <c r="A4612" s="1">
        <v>4611</v>
      </c>
      <c r="B4612" s="1">
        <v>898</v>
      </c>
      <c r="C4612" s="1">
        <v>41</v>
      </c>
      <c r="D4612" t="str">
        <f>VLOOKUP(B4612,Заказы!A:C,3,0)</f>
        <v>2023-10-08 16:36:00</v>
      </c>
      <c r="E4612" t="str">
        <f>VLOOKUP(C4612,Меню!A:E,4,0)</f>
        <v>Суши</v>
      </c>
      <c r="F4612">
        <f>VLOOKUP(C4612,Меню!A:E,5,0)</f>
        <v>220</v>
      </c>
    </row>
    <row r="4613" spans="1:6" ht="15.75" hidden="1" customHeight="1" x14ac:dyDescent="0.35">
      <c r="A4613" s="1">
        <v>4612</v>
      </c>
      <c r="B4613" s="1">
        <v>898</v>
      </c>
      <c r="C4613" s="1">
        <v>24</v>
      </c>
      <c r="D4613" t="str">
        <f>VLOOKUP(B4613,Заказы!A:C,3,0)</f>
        <v>2023-10-08 16:36:00</v>
      </c>
      <c r="E4613" t="str">
        <f>VLOOKUP(C4613,Меню!A:E,4,0)</f>
        <v>Салат</v>
      </c>
      <c r="F4613">
        <f>VLOOKUP(C4613,Меню!A:E,5,0)</f>
        <v>250</v>
      </c>
    </row>
    <row r="4614" spans="1:6" ht="15.75" hidden="1" customHeight="1" x14ac:dyDescent="0.35">
      <c r="A4614" s="1">
        <v>4613</v>
      </c>
      <c r="B4614" s="1">
        <v>898</v>
      </c>
      <c r="C4614" s="1">
        <v>33</v>
      </c>
      <c r="D4614" t="str">
        <f>VLOOKUP(B4614,Заказы!A:C,3,0)</f>
        <v>2023-10-08 16:36:00</v>
      </c>
      <c r="E4614" t="str">
        <f>VLOOKUP(C4614,Меню!A:E,4,0)</f>
        <v>Десерт</v>
      </c>
      <c r="F4614">
        <f>VLOOKUP(C4614,Меню!A:E,5,0)</f>
        <v>150</v>
      </c>
    </row>
    <row r="4615" spans="1:6" ht="15.75" hidden="1" customHeight="1" x14ac:dyDescent="0.35">
      <c r="A4615" s="1">
        <v>4614</v>
      </c>
      <c r="B4615" s="1">
        <v>898</v>
      </c>
      <c r="C4615" s="1">
        <v>53</v>
      </c>
      <c r="D4615" t="str">
        <f>VLOOKUP(B4615,Заказы!A:C,3,0)</f>
        <v>2023-10-08 16:36:00</v>
      </c>
      <c r="E4615" t="str">
        <f>VLOOKUP(C4615,Меню!A:E,4,0)</f>
        <v>Суши</v>
      </c>
      <c r="F4615">
        <f>VLOOKUP(C4615,Меню!A:E,5,0)</f>
        <v>100</v>
      </c>
    </row>
    <row r="4616" spans="1:6" ht="15.75" hidden="1" customHeight="1" x14ac:dyDescent="0.35">
      <c r="A4616" s="1">
        <v>4615</v>
      </c>
      <c r="B4616" s="1">
        <v>899</v>
      </c>
      <c r="C4616" s="1">
        <v>53</v>
      </c>
      <c r="D4616" t="str">
        <f>VLOOKUP(B4616,Заказы!A:C,3,0)</f>
        <v>2023-10-08 18:06:00</v>
      </c>
      <c r="E4616" t="str">
        <f>VLOOKUP(C4616,Меню!A:E,4,0)</f>
        <v>Суши</v>
      </c>
      <c r="F4616">
        <f>VLOOKUP(C4616,Меню!A:E,5,0)</f>
        <v>100</v>
      </c>
    </row>
    <row r="4617" spans="1:6" ht="15.75" hidden="1" customHeight="1" x14ac:dyDescent="0.35">
      <c r="A4617" s="1">
        <v>4616</v>
      </c>
      <c r="B4617" s="1">
        <v>900</v>
      </c>
      <c r="C4617" s="1">
        <v>3</v>
      </c>
      <c r="D4617" t="str">
        <f>VLOOKUP(B4617,Заказы!A:C,3,0)</f>
        <v>2023-10-08 21:35:00</v>
      </c>
      <c r="E4617" t="str">
        <f>VLOOKUP(C4617,Меню!A:E,4,0)</f>
        <v>Завтрак</v>
      </c>
      <c r="F4617">
        <f>VLOOKUP(C4617,Меню!A:E,5,0)</f>
        <v>150</v>
      </c>
    </row>
    <row r="4618" spans="1:6" ht="15.75" hidden="1" customHeight="1" x14ac:dyDescent="0.35">
      <c r="A4618" s="1">
        <v>4617</v>
      </c>
      <c r="B4618" s="1">
        <v>900</v>
      </c>
      <c r="C4618" s="1">
        <v>22</v>
      </c>
      <c r="D4618" t="str">
        <f>VLOOKUP(B4618,Заказы!A:C,3,0)</f>
        <v>2023-10-08 21:35:00</v>
      </c>
      <c r="E4618" t="str">
        <f>VLOOKUP(C4618,Меню!A:E,4,0)</f>
        <v>Салат</v>
      </c>
      <c r="F4618">
        <f>VLOOKUP(C4618,Меню!A:E,5,0)</f>
        <v>250</v>
      </c>
    </row>
    <row r="4619" spans="1:6" ht="15.75" hidden="1" customHeight="1" x14ac:dyDescent="0.35">
      <c r="A4619" s="1">
        <v>4618</v>
      </c>
      <c r="B4619" s="1">
        <v>900</v>
      </c>
      <c r="C4619" s="1">
        <v>10</v>
      </c>
      <c r="D4619" t="str">
        <f>VLOOKUP(B4619,Заказы!A:C,3,0)</f>
        <v>2023-10-08 21:35:00</v>
      </c>
      <c r="E4619" t="str">
        <f>VLOOKUP(C4619,Меню!A:E,4,0)</f>
        <v>Завтрак</v>
      </c>
      <c r="F4619">
        <f>VLOOKUP(C4619,Меню!A:E,5,0)</f>
        <v>200</v>
      </c>
    </row>
    <row r="4620" spans="1:6" ht="15.75" hidden="1" customHeight="1" x14ac:dyDescent="0.35">
      <c r="A4620" s="1">
        <v>4619</v>
      </c>
      <c r="B4620" s="1">
        <v>900</v>
      </c>
      <c r="C4620" s="1">
        <v>28</v>
      </c>
      <c r="D4620" t="str">
        <f>VLOOKUP(B4620,Заказы!A:C,3,0)</f>
        <v>2023-10-08 21:35:00</v>
      </c>
      <c r="E4620" t="str">
        <f>VLOOKUP(C4620,Меню!A:E,4,0)</f>
        <v>Салат</v>
      </c>
      <c r="F4620">
        <f>VLOOKUP(C4620,Меню!A:E,5,0)</f>
        <v>250</v>
      </c>
    </row>
    <row r="4621" spans="1:6" ht="15.75" hidden="1" customHeight="1" x14ac:dyDescent="0.35">
      <c r="A4621" s="1">
        <v>4620</v>
      </c>
      <c r="B4621" s="1">
        <v>900</v>
      </c>
      <c r="C4621" s="1">
        <v>12</v>
      </c>
      <c r="D4621" t="str">
        <f>VLOOKUP(B4621,Заказы!A:C,3,0)</f>
        <v>2023-10-08 21:35:00</v>
      </c>
      <c r="E4621" t="str">
        <f>VLOOKUP(C4621,Меню!A:E,4,0)</f>
        <v>Первое</v>
      </c>
      <c r="F4621">
        <f>VLOOKUP(C4621,Меню!A:E,5,0)</f>
        <v>300</v>
      </c>
    </row>
    <row r="4622" spans="1:6" ht="15.75" hidden="1" customHeight="1" x14ac:dyDescent="0.35">
      <c r="A4622" s="1">
        <v>4621</v>
      </c>
      <c r="B4622" s="1">
        <v>900</v>
      </c>
      <c r="C4622" s="1">
        <v>57</v>
      </c>
      <c r="D4622" t="str">
        <f>VLOOKUP(B4622,Заказы!A:C,3,0)</f>
        <v>2023-10-08 21:35:00</v>
      </c>
      <c r="E4622" t="str">
        <f>VLOOKUP(C4622,Меню!A:E,4,0)</f>
        <v>Суши</v>
      </c>
      <c r="F4622">
        <f>VLOOKUP(C4622,Меню!A:E,5,0)</f>
        <v>200</v>
      </c>
    </row>
    <row r="4623" spans="1:6" ht="15.75" hidden="1" customHeight="1" x14ac:dyDescent="0.35">
      <c r="A4623" s="1">
        <v>4622</v>
      </c>
      <c r="B4623" s="1">
        <v>900</v>
      </c>
      <c r="C4623" s="1">
        <v>4</v>
      </c>
      <c r="D4623" t="str">
        <f>VLOOKUP(B4623,Заказы!A:C,3,0)</f>
        <v>2023-10-08 21:35:00</v>
      </c>
      <c r="E4623" t="str">
        <f>VLOOKUP(C4623,Меню!A:E,4,0)</f>
        <v>Завтрак</v>
      </c>
      <c r="F4623">
        <f>VLOOKUP(C4623,Меню!A:E,5,0)</f>
        <v>180</v>
      </c>
    </row>
    <row r="4624" spans="1:6" ht="15.75" hidden="1" customHeight="1" x14ac:dyDescent="0.35">
      <c r="A4624" s="1">
        <v>4623</v>
      </c>
      <c r="B4624" s="1">
        <v>900</v>
      </c>
      <c r="C4624" s="1">
        <v>11</v>
      </c>
      <c r="D4624" t="str">
        <f>VLOOKUP(B4624,Заказы!A:C,3,0)</f>
        <v>2023-10-08 21:35:00</v>
      </c>
      <c r="E4624" t="str">
        <f>VLOOKUP(C4624,Меню!A:E,4,0)</f>
        <v>Первое</v>
      </c>
      <c r="F4624">
        <f>VLOOKUP(C4624,Меню!A:E,5,0)</f>
        <v>300</v>
      </c>
    </row>
    <row r="4625" spans="1:6" ht="15.75" hidden="1" customHeight="1" x14ac:dyDescent="0.35">
      <c r="A4625" s="1">
        <v>4624</v>
      </c>
      <c r="B4625" s="1">
        <v>901</v>
      </c>
      <c r="C4625" s="1">
        <v>44</v>
      </c>
      <c r="D4625" t="str">
        <f>VLOOKUP(B4625,Заказы!A:C,3,0)</f>
        <v>2023-10-08 22:50:00</v>
      </c>
      <c r="E4625" t="str">
        <f>VLOOKUP(C4625,Меню!A:E,4,0)</f>
        <v>Суши</v>
      </c>
      <c r="F4625">
        <f>VLOOKUP(C4625,Меню!A:E,5,0)</f>
        <v>250</v>
      </c>
    </row>
    <row r="4626" spans="1:6" ht="15.75" hidden="1" customHeight="1" x14ac:dyDescent="0.35">
      <c r="A4626" s="1">
        <v>4625</v>
      </c>
      <c r="B4626" s="1">
        <v>901</v>
      </c>
      <c r="C4626" s="1">
        <v>17</v>
      </c>
      <c r="D4626" t="str">
        <f>VLOOKUP(B4626,Заказы!A:C,3,0)</f>
        <v>2023-10-08 22:50:00</v>
      </c>
      <c r="E4626" t="str">
        <f>VLOOKUP(C4626,Меню!A:E,4,0)</f>
        <v>Первое</v>
      </c>
      <c r="F4626">
        <f>VLOOKUP(C4626,Меню!A:E,5,0)</f>
        <v>250</v>
      </c>
    </row>
    <row r="4627" spans="1:6" ht="15.75" hidden="1" customHeight="1" x14ac:dyDescent="0.35">
      <c r="A4627" s="1">
        <v>4626</v>
      </c>
      <c r="B4627" s="1">
        <v>901</v>
      </c>
      <c r="C4627" s="1">
        <v>58</v>
      </c>
      <c r="D4627" t="str">
        <f>VLOOKUP(B4627,Заказы!A:C,3,0)</f>
        <v>2023-10-08 22:50:00</v>
      </c>
      <c r="E4627" t="str">
        <f>VLOOKUP(C4627,Меню!A:E,4,0)</f>
        <v>Суши</v>
      </c>
      <c r="F4627">
        <f>VLOOKUP(C4627,Меню!A:E,5,0)</f>
        <v>200</v>
      </c>
    </row>
    <row r="4628" spans="1:6" ht="15.75" hidden="1" customHeight="1" x14ac:dyDescent="0.35">
      <c r="A4628" s="1">
        <v>4627</v>
      </c>
      <c r="B4628" s="1">
        <v>901</v>
      </c>
      <c r="C4628" s="1">
        <v>28</v>
      </c>
      <c r="D4628" t="str">
        <f>VLOOKUP(B4628,Заказы!A:C,3,0)</f>
        <v>2023-10-08 22:50:00</v>
      </c>
      <c r="E4628" t="str">
        <f>VLOOKUP(C4628,Меню!A:E,4,0)</f>
        <v>Салат</v>
      </c>
      <c r="F4628">
        <f>VLOOKUP(C4628,Меню!A:E,5,0)</f>
        <v>250</v>
      </c>
    </row>
    <row r="4629" spans="1:6" ht="15.75" hidden="1" customHeight="1" x14ac:dyDescent="0.35">
      <c r="A4629" s="1">
        <v>4628</v>
      </c>
      <c r="B4629" s="1">
        <v>901</v>
      </c>
      <c r="C4629" s="1">
        <v>55</v>
      </c>
      <c r="D4629" t="str">
        <f>VLOOKUP(B4629,Заказы!A:C,3,0)</f>
        <v>2023-10-08 22:50:00</v>
      </c>
      <c r="E4629" t="str">
        <f>VLOOKUP(C4629,Меню!A:E,4,0)</f>
        <v>Суши</v>
      </c>
      <c r="F4629">
        <f>VLOOKUP(C4629,Меню!A:E,5,0)</f>
        <v>100</v>
      </c>
    </row>
    <row r="4630" spans="1:6" ht="15.75" hidden="1" customHeight="1" x14ac:dyDescent="0.35">
      <c r="A4630" s="1">
        <v>4629</v>
      </c>
      <c r="B4630" s="1">
        <v>901</v>
      </c>
      <c r="C4630" s="1">
        <v>32</v>
      </c>
      <c r="D4630" t="str">
        <f>VLOOKUP(B4630,Заказы!A:C,3,0)</f>
        <v>2023-10-08 22:50:00</v>
      </c>
      <c r="E4630" t="str">
        <f>VLOOKUP(C4630,Меню!A:E,4,0)</f>
        <v>Десерт</v>
      </c>
      <c r="F4630">
        <f>VLOOKUP(C4630,Меню!A:E,5,0)</f>
        <v>150</v>
      </c>
    </row>
    <row r="4631" spans="1:6" ht="15.75" hidden="1" customHeight="1" x14ac:dyDescent="0.35">
      <c r="A4631" s="1">
        <v>4630</v>
      </c>
      <c r="B4631" s="1">
        <v>901</v>
      </c>
      <c r="C4631" s="1">
        <v>21</v>
      </c>
      <c r="D4631" t="str">
        <f>VLOOKUP(B4631,Заказы!A:C,3,0)</f>
        <v>2023-10-08 22:50:00</v>
      </c>
      <c r="E4631" t="str">
        <f>VLOOKUP(C4631,Меню!A:E,4,0)</f>
        <v>Салат</v>
      </c>
      <c r="F4631">
        <f>VLOOKUP(C4631,Меню!A:E,5,0)</f>
        <v>250</v>
      </c>
    </row>
    <row r="4632" spans="1:6" ht="15.75" hidden="1" customHeight="1" x14ac:dyDescent="0.35">
      <c r="A4632" s="1">
        <v>4631</v>
      </c>
      <c r="B4632" s="1">
        <v>902</v>
      </c>
      <c r="C4632" s="1">
        <v>35</v>
      </c>
      <c r="D4632" t="str">
        <f>VLOOKUP(B4632,Заказы!A:C,3,0)</f>
        <v>2023-10-09 16:24:00</v>
      </c>
      <c r="E4632" t="str">
        <f>VLOOKUP(C4632,Меню!A:E,4,0)</f>
        <v>Десерт</v>
      </c>
      <c r="F4632">
        <f>VLOOKUP(C4632,Меню!A:E,5,0)</f>
        <v>150</v>
      </c>
    </row>
    <row r="4633" spans="1:6" ht="15.75" hidden="1" customHeight="1" x14ac:dyDescent="0.35">
      <c r="A4633" s="1">
        <v>4632</v>
      </c>
      <c r="B4633" s="1">
        <v>902</v>
      </c>
      <c r="C4633" s="1">
        <v>50</v>
      </c>
      <c r="D4633" t="str">
        <f>VLOOKUP(B4633,Заказы!A:C,3,0)</f>
        <v>2023-10-09 16:24:00</v>
      </c>
      <c r="E4633" t="str">
        <f>VLOOKUP(C4633,Меню!A:E,4,0)</f>
        <v>Суши</v>
      </c>
      <c r="F4633">
        <f>VLOOKUP(C4633,Меню!A:E,5,0)</f>
        <v>200</v>
      </c>
    </row>
    <row r="4634" spans="1:6" ht="15.75" hidden="1" customHeight="1" x14ac:dyDescent="0.35">
      <c r="A4634" s="1">
        <v>4633</v>
      </c>
      <c r="B4634" s="1">
        <v>902</v>
      </c>
      <c r="C4634" s="1">
        <v>5</v>
      </c>
      <c r="D4634" t="str">
        <f>VLOOKUP(B4634,Заказы!A:C,3,0)</f>
        <v>2023-10-09 16:24:00</v>
      </c>
      <c r="E4634" t="str">
        <f>VLOOKUP(C4634,Меню!A:E,4,0)</f>
        <v>Завтрак</v>
      </c>
      <c r="F4634">
        <f>VLOOKUP(C4634,Меню!A:E,5,0)</f>
        <v>220</v>
      </c>
    </row>
    <row r="4635" spans="1:6" ht="15.75" hidden="1" customHeight="1" x14ac:dyDescent="0.35">
      <c r="A4635" s="1">
        <v>4634</v>
      </c>
      <c r="B4635" s="1">
        <v>902</v>
      </c>
      <c r="C4635" s="1">
        <v>3</v>
      </c>
      <c r="D4635" t="str">
        <f>VLOOKUP(B4635,Заказы!A:C,3,0)</f>
        <v>2023-10-09 16:24:00</v>
      </c>
      <c r="E4635" t="str">
        <f>VLOOKUP(C4635,Меню!A:E,4,0)</f>
        <v>Завтрак</v>
      </c>
      <c r="F4635">
        <f>VLOOKUP(C4635,Меню!A:E,5,0)</f>
        <v>150</v>
      </c>
    </row>
    <row r="4636" spans="1:6" ht="15.75" hidden="1" customHeight="1" x14ac:dyDescent="0.35">
      <c r="A4636" s="1">
        <v>4635</v>
      </c>
      <c r="B4636" s="1">
        <v>902</v>
      </c>
      <c r="C4636" s="1">
        <v>48</v>
      </c>
      <c r="D4636" t="str">
        <f>VLOOKUP(B4636,Заказы!A:C,3,0)</f>
        <v>2023-10-09 16:24:00</v>
      </c>
      <c r="E4636" t="str">
        <f>VLOOKUP(C4636,Меню!A:E,4,0)</f>
        <v>Суши</v>
      </c>
      <c r="F4636">
        <f>VLOOKUP(C4636,Меню!A:E,5,0)</f>
        <v>200</v>
      </c>
    </row>
    <row r="4637" spans="1:6" ht="15.75" hidden="1" customHeight="1" x14ac:dyDescent="0.35">
      <c r="A4637" s="1">
        <v>4636</v>
      </c>
      <c r="B4637" s="1">
        <v>903</v>
      </c>
      <c r="C4637" s="1">
        <v>19</v>
      </c>
      <c r="D4637" t="str">
        <f>VLOOKUP(B4637,Заказы!A:C,3,0)</f>
        <v>2023-10-10 17:10:00</v>
      </c>
      <c r="E4637" t="str">
        <f>VLOOKUP(C4637,Меню!A:E,4,0)</f>
        <v>Первое</v>
      </c>
      <c r="F4637">
        <f>VLOOKUP(C4637,Меню!A:E,5,0)</f>
        <v>300</v>
      </c>
    </row>
    <row r="4638" spans="1:6" ht="15.75" hidden="1" customHeight="1" x14ac:dyDescent="0.35">
      <c r="A4638" s="1">
        <v>4637</v>
      </c>
      <c r="B4638" s="1">
        <v>903</v>
      </c>
      <c r="C4638" s="1">
        <v>2</v>
      </c>
      <c r="D4638" t="str">
        <f>VLOOKUP(B4638,Заказы!A:C,3,0)</f>
        <v>2023-10-10 17:10:00</v>
      </c>
      <c r="E4638" t="str">
        <f>VLOOKUP(C4638,Меню!A:E,4,0)</f>
        <v>Завтрак</v>
      </c>
      <c r="F4638">
        <f>VLOOKUP(C4638,Меню!A:E,5,0)</f>
        <v>250</v>
      </c>
    </row>
    <row r="4639" spans="1:6" ht="15.75" hidden="1" customHeight="1" x14ac:dyDescent="0.35">
      <c r="A4639" s="1">
        <v>4638</v>
      </c>
      <c r="B4639" s="1">
        <v>903</v>
      </c>
      <c r="C4639" s="1">
        <v>37</v>
      </c>
      <c r="D4639" t="str">
        <f>VLOOKUP(B4639,Заказы!A:C,3,0)</f>
        <v>2023-10-10 17:10:00</v>
      </c>
      <c r="E4639" t="str">
        <f>VLOOKUP(C4639,Меню!A:E,4,0)</f>
        <v>Десерт</v>
      </c>
      <c r="F4639">
        <f>VLOOKUP(C4639,Меню!A:E,5,0)</f>
        <v>100</v>
      </c>
    </row>
    <row r="4640" spans="1:6" ht="15.75" hidden="1" customHeight="1" x14ac:dyDescent="0.35">
      <c r="A4640" s="1">
        <v>4639</v>
      </c>
      <c r="B4640" s="1">
        <v>903</v>
      </c>
      <c r="C4640" s="1">
        <v>53</v>
      </c>
      <c r="D4640" t="str">
        <f>VLOOKUP(B4640,Заказы!A:C,3,0)</f>
        <v>2023-10-10 17:10:00</v>
      </c>
      <c r="E4640" t="str">
        <f>VLOOKUP(C4640,Меню!A:E,4,0)</f>
        <v>Суши</v>
      </c>
      <c r="F4640">
        <f>VLOOKUP(C4640,Меню!A:E,5,0)</f>
        <v>100</v>
      </c>
    </row>
    <row r="4641" spans="1:6" ht="15.75" hidden="1" customHeight="1" x14ac:dyDescent="0.35">
      <c r="A4641" s="1">
        <v>4640</v>
      </c>
      <c r="B4641" s="1">
        <v>903</v>
      </c>
      <c r="C4641" s="1">
        <v>28</v>
      </c>
      <c r="D4641" t="str">
        <f>VLOOKUP(B4641,Заказы!A:C,3,0)</f>
        <v>2023-10-10 17:10:00</v>
      </c>
      <c r="E4641" t="str">
        <f>VLOOKUP(C4641,Меню!A:E,4,0)</f>
        <v>Салат</v>
      </c>
      <c r="F4641">
        <f>VLOOKUP(C4641,Меню!A:E,5,0)</f>
        <v>250</v>
      </c>
    </row>
    <row r="4642" spans="1:6" ht="15.75" hidden="1" customHeight="1" x14ac:dyDescent="0.35">
      <c r="A4642" s="1">
        <v>4641</v>
      </c>
      <c r="B4642" s="1">
        <v>903</v>
      </c>
      <c r="C4642" s="1">
        <v>13</v>
      </c>
      <c r="D4642" t="str">
        <f>VLOOKUP(B4642,Заказы!A:C,3,0)</f>
        <v>2023-10-10 17:10:00</v>
      </c>
      <c r="E4642" t="str">
        <f>VLOOKUP(C4642,Меню!A:E,4,0)</f>
        <v>Первое</v>
      </c>
      <c r="F4642">
        <f>VLOOKUP(C4642,Меню!A:E,5,0)</f>
        <v>280</v>
      </c>
    </row>
    <row r="4643" spans="1:6" ht="15.75" hidden="1" customHeight="1" x14ac:dyDescent="0.35">
      <c r="A4643" s="1">
        <v>4642</v>
      </c>
      <c r="B4643" s="1">
        <v>903</v>
      </c>
      <c r="C4643" s="1">
        <v>10</v>
      </c>
      <c r="D4643" t="str">
        <f>VLOOKUP(B4643,Заказы!A:C,3,0)</f>
        <v>2023-10-10 17:10:00</v>
      </c>
      <c r="E4643" t="str">
        <f>VLOOKUP(C4643,Меню!A:E,4,0)</f>
        <v>Завтрак</v>
      </c>
      <c r="F4643">
        <f>VLOOKUP(C4643,Меню!A:E,5,0)</f>
        <v>200</v>
      </c>
    </row>
    <row r="4644" spans="1:6" ht="15.75" hidden="1" customHeight="1" x14ac:dyDescent="0.35">
      <c r="A4644" s="1">
        <v>4643</v>
      </c>
      <c r="B4644" s="1">
        <v>904</v>
      </c>
      <c r="C4644" s="1">
        <v>27</v>
      </c>
      <c r="D4644" t="str">
        <f>VLOOKUP(B4644,Заказы!A:C,3,0)</f>
        <v>2023-10-10 17:27:00</v>
      </c>
      <c r="E4644" t="str">
        <f>VLOOKUP(C4644,Меню!A:E,4,0)</f>
        <v>Салат</v>
      </c>
      <c r="F4644">
        <f>VLOOKUP(C4644,Меню!A:E,5,0)</f>
        <v>250</v>
      </c>
    </row>
    <row r="4645" spans="1:6" ht="15.75" hidden="1" customHeight="1" x14ac:dyDescent="0.35">
      <c r="A4645" s="1">
        <v>4644</v>
      </c>
      <c r="B4645" s="1">
        <v>904</v>
      </c>
      <c r="C4645" s="1">
        <v>26</v>
      </c>
      <c r="D4645" t="str">
        <f>VLOOKUP(B4645,Заказы!A:C,3,0)</f>
        <v>2023-10-10 17:27:00</v>
      </c>
      <c r="E4645" t="str">
        <f>VLOOKUP(C4645,Меню!A:E,4,0)</f>
        <v>Салат</v>
      </c>
      <c r="F4645">
        <f>VLOOKUP(C4645,Меню!A:E,5,0)</f>
        <v>250</v>
      </c>
    </row>
    <row r="4646" spans="1:6" ht="15.75" hidden="1" customHeight="1" x14ac:dyDescent="0.35">
      <c r="A4646" s="1">
        <v>4645</v>
      </c>
      <c r="B4646" s="1">
        <v>904</v>
      </c>
      <c r="C4646" s="1">
        <v>45</v>
      </c>
      <c r="D4646" t="str">
        <f>VLOOKUP(B4646,Заказы!A:C,3,0)</f>
        <v>2023-10-10 17:27:00</v>
      </c>
      <c r="E4646" t="str">
        <f>VLOOKUP(C4646,Меню!A:E,4,0)</f>
        <v>Суши</v>
      </c>
      <c r="F4646">
        <f>VLOOKUP(C4646,Меню!A:E,5,0)</f>
        <v>200</v>
      </c>
    </row>
    <row r="4647" spans="1:6" ht="15.75" hidden="1" customHeight="1" x14ac:dyDescent="0.35">
      <c r="A4647" s="1">
        <v>4646</v>
      </c>
      <c r="B4647" s="1">
        <v>904</v>
      </c>
      <c r="C4647" s="1">
        <v>29</v>
      </c>
      <c r="D4647" t="str">
        <f>VLOOKUP(B4647,Заказы!A:C,3,0)</f>
        <v>2023-10-10 17:27:00</v>
      </c>
      <c r="E4647" t="str">
        <f>VLOOKUP(C4647,Меню!A:E,4,0)</f>
        <v>Салат</v>
      </c>
      <c r="F4647">
        <f>VLOOKUP(C4647,Меню!A:E,5,0)</f>
        <v>250</v>
      </c>
    </row>
    <row r="4648" spans="1:6" ht="15.75" hidden="1" customHeight="1" x14ac:dyDescent="0.35">
      <c r="A4648" s="1">
        <v>4647</v>
      </c>
      <c r="B4648" s="1">
        <v>904</v>
      </c>
      <c r="C4648" s="1">
        <v>5</v>
      </c>
      <c r="D4648" t="str">
        <f>VLOOKUP(B4648,Заказы!A:C,3,0)</f>
        <v>2023-10-10 17:27:00</v>
      </c>
      <c r="E4648" t="str">
        <f>VLOOKUP(C4648,Меню!A:E,4,0)</f>
        <v>Завтрак</v>
      </c>
      <c r="F4648">
        <f>VLOOKUP(C4648,Меню!A:E,5,0)</f>
        <v>220</v>
      </c>
    </row>
    <row r="4649" spans="1:6" ht="15.75" hidden="1" customHeight="1" x14ac:dyDescent="0.35">
      <c r="A4649" s="1">
        <v>4648</v>
      </c>
      <c r="B4649" s="1">
        <v>904</v>
      </c>
      <c r="C4649" s="1">
        <v>13</v>
      </c>
      <c r="D4649" t="str">
        <f>VLOOKUP(B4649,Заказы!A:C,3,0)</f>
        <v>2023-10-10 17:27:00</v>
      </c>
      <c r="E4649" t="str">
        <f>VLOOKUP(C4649,Меню!A:E,4,0)</f>
        <v>Первое</v>
      </c>
      <c r="F4649">
        <f>VLOOKUP(C4649,Меню!A:E,5,0)</f>
        <v>280</v>
      </c>
    </row>
    <row r="4650" spans="1:6" ht="15.75" hidden="1" customHeight="1" x14ac:dyDescent="0.35">
      <c r="A4650" s="1">
        <v>4649</v>
      </c>
      <c r="B4650" s="1">
        <v>904</v>
      </c>
      <c r="C4650" s="1">
        <v>55</v>
      </c>
      <c r="D4650" t="str">
        <f>VLOOKUP(B4650,Заказы!A:C,3,0)</f>
        <v>2023-10-10 17:27:00</v>
      </c>
      <c r="E4650" t="str">
        <f>VLOOKUP(C4650,Меню!A:E,4,0)</f>
        <v>Суши</v>
      </c>
      <c r="F4650">
        <f>VLOOKUP(C4650,Меню!A:E,5,0)</f>
        <v>100</v>
      </c>
    </row>
    <row r="4651" spans="1:6" ht="15.75" hidden="1" customHeight="1" x14ac:dyDescent="0.35">
      <c r="A4651" s="1">
        <v>4650</v>
      </c>
      <c r="B4651" s="1">
        <v>904</v>
      </c>
      <c r="C4651" s="1">
        <v>60</v>
      </c>
      <c r="D4651" t="str">
        <f>VLOOKUP(B4651,Заказы!A:C,3,0)</f>
        <v>2023-10-10 17:27:00</v>
      </c>
      <c r="E4651" t="str">
        <f>VLOOKUP(C4651,Меню!A:E,4,0)</f>
        <v>Суши</v>
      </c>
      <c r="F4651">
        <f>VLOOKUP(C4651,Меню!A:E,5,0)</f>
        <v>250</v>
      </c>
    </row>
    <row r="4652" spans="1:6" ht="15.75" hidden="1" customHeight="1" x14ac:dyDescent="0.35">
      <c r="A4652" s="1">
        <v>4651</v>
      </c>
      <c r="B4652" s="1">
        <v>904</v>
      </c>
      <c r="C4652" s="1">
        <v>34</v>
      </c>
      <c r="D4652" t="str">
        <f>VLOOKUP(B4652,Заказы!A:C,3,0)</f>
        <v>2023-10-10 17:27:00</v>
      </c>
      <c r="E4652" t="str">
        <f>VLOOKUP(C4652,Меню!A:E,4,0)</f>
        <v>Десерт</v>
      </c>
      <c r="F4652">
        <f>VLOOKUP(C4652,Меню!A:E,5,0)</f>
        <v>150</v>
      </c>
    </row>
    <row r="4653" spans="1:6" ht="15.75" hidden="1" customHeight="1" x14ac:dyDescent="0.35">
      <c r="A4653" s="1">
        <v>4652</v>
      </c>
      <c r="B4653" s="1">
        <v>904</v>
      </c>
      <c r="C4653" s="1">
        <v>14</v>
      </c>
      <c r="D4653" t="str">
        <f>VLOOKUP(B4653,Заказы!A:C,3,0)</f>
        <v>2023-10-10 17:27:00</v>
      </c>
      <c r="E4653" t="str">
        <f>VLOOKUP(C4653,Меню!A:E,4,0)</f>
        <v>Первое</v>
      </c>
      <c r="F4653">
        <f>VLOOKUP(C4653,Меню!A:E,5,0)</f>
        <v>350</v>
      </c>
    </row>
    <row r="4654" spans="1:6" ht="15.75" hidden="1" customHeight="1" x14ac:dyDescent="0.35">
      <c r="A4654" s="1">
        <v>4653</v>
      </c>
      <c r="B4654" s="1">
        <v>905</v>
      </c>
      <c r="C4654" s="1">
        <v>6</v>
      </c>
      <c r="D4654" t="str">
        <f>VLOOKUP(B4654,Заказы!A:C,3,0)</f>
        <v>2023-10-10 18:15:00</v>
      </c>
      <c r="E4654" t="str">
        <f>VLOOKUP(C4654,Меню!A:E,4,0)</f>
        <v>Завтрак</v>
      </c>
      <c r="F4654">
        <f>VLOOKUP(C4654,Меню!A:E,5,0)</f>
        <v>300</v>
      </c>
    </row>
    <row r="4655" spans="1:6" ht="15.75" hidden="1" customHeight="1" x14ac:dyDescent="0.35">
      <c r="A4655" s="1">
        <v>4654</v>
      </c>
      <c r="B4655" s="1">
        <v>905</v>
      </c>
      <c r="C4655" s="1">
        <v>46</v>
      </c>
      <c r="D4655" t="str">
        <f>VLOOKUP(B4655,Заказы!A:C,3,0)</f>
        <v>2023-10-10 18:15:00</v>
      </c>
      <c r="E4655" t="str">
        <f>VLOOKUP(C4655,Меню!A:E,4,0)</f>
        <v>Суши</v>
      </c>
      <c r="F4655">
        <f>VLOOKUP(C4655,Меню!A:E,5,0)</f>
        <v>200</v>
      </c>
    </row>
    <row r="4656" spans="1:6" ht="15.75" hidden="1" customHeight="1" x14ac:dyDescent="0.35">
      <c r="A4656" s="1">
        <v>4655</v>
      </c>
      <c r="B4656" s="1">
        <v>906</v>
      </c>
      <c r="C4656" s="1">
        <v>18</v>
      </c>
      <c r="D4656" t="str">
        <f>VLOOKUP(B4656,Заказы!A:C,3,0)</f>
        <v>2023-10-10 20:44:00</v>
      </c>
      <c r="E4656" t="str">
        <f>VLOOKUP(C4656,Меню!A:E,4,0)</f>
        <v>Первое</v>
      </c>
      <c r="F4656">
        <f>VLOOKUP(C4656,Меню!A:E,5,0)</f>
        <v>300</v>
      </c>
    </row>
    <row r="4657" spans="1:6" ht="15.75" hidden="1" customHeight="1" x14ac:dyDescent="0.35">
      <c r="A4657" s="1">
        <v>4656</v>
      </c>
      <c r="B4657" s="1">
        <v>906</v>
      </c>
      <c r="C4657" s="1">
        <v>22</v>
      </c>
      <c r="D4657" t="str">
        <f>VLOOKUP(B4657,Заказы!A:C,3,0)</f>
        <v>2023-10-10 20:44:00</v>
      </c>
      <c r="E4657" t="str">
        <f>VLOOKUP(C4657,Меню!A:E,4,0)</f>
        <v>Салат</v>
      </c>
      <c r="F4657">
        <f>VLOOKUP(C4657,Меню!A:E,5,0)</f>
        <v>250</v>
      </c>
    </row>
    <row r="4658" spans="1:6" ht="15.75" hidden="1" customHeight="1" x14ac:dyDescent="0.35">
      <c r="A4658" s="1">
        <v>4657</v>
      </c>
      <c r="B4658" s="1">
        <v>906</v>
      </c>
      <c r="C4658" s="1">
        <v>4</v>
      </c>
      <c r="D4658" t="str">
        <f>VLOOKUP(B4658,Заказы!A:C,3,0)</f>
        <v>2023-10-10 20:44:00</v>
      </c>
      <c r="E4658" t="str">
        <f>VLOOKUP(C4658,Меню!A:E,4,0)</f>
        <v>Завтрак</v>
      </c>
      <c r="F4658">
        <f>VLOOKUP(C4658,Меню!A:E,5,0)</f>
        <v>180</v>
      </c>
    </row>
    <row r="4659" spans="1:6" ht="15.75" hidden="1" customHeight="1" x14ac:dyDescent="0.35">
      <c r="A4659" s="1">
        <v>4658</v>
      </c>
      <c r="B4659" s="1">
        <v>906</v>
      </c>
      <c r="C4659" s="1">
        <v>9</v>
      </c>
      <c r="D4659" t="str">
        <f>VLOOKUP(B4659,Заказы!A:C,3,0)</f>
        <v>2023-10-10 20:44:00</v>
      </c>
      <c r="E4659" t="str">
        <f>VLOOKUP(C4659,Меню!A:E,4,0)</f>
        <v>Завтрак</v>
      </c>
      <c r="F4659">
        <f>VLOOKUP(C4659,Меню!A:E,5,0)</f>
        <v>220</v>
      </c>
    </row>
    <row r="4660" spans="1:6" ht="15.75" hidden="1" customHeight="1" x14ac:dyDescent="0.35">
      <c r="A4660" s="1">
        <v>4659</v>
      </c>
      <c r="B4660" s="1">
        <v>906</v>
      </c>
      <c r="C4660" s="1">
        <v>35</v>
      </c>
      <c r="D4660" t="str">
        <f>VLOOKUP(B4660,Заказы!A:C,3,0)</f>
        <v>2023-10-10 20:44:00</v>
      </c>
      <c r="E4660" t="str">
        <f>VLOOKUP(C4660,Меню!A:E,4,0)</f>
        <v>Десерт</v>
      </c>
      <c r="F4660">
        <f>VLOOKUP(C4660,Меню!A:E,5,0)</f>
        <v>150</v>
      </c>
    </row>
    <row r="4661" spans="1:6" ht="15.75" hidden="1" customHeight="1" x14ac:dyDescent="0.35">
      <c r="A4661" s="1">
        <v>4660</v>
      </c>
      <c r="B4661" s="1">
        <v>906</v>
      </c>
      <c r="C4661" s="1">
        <v>5</v>
      </c>
      <c r="D4661" t="str">
        <f>VLOOKUP(B4661,Заказы!A:C,3,0)</f>
        <v>2023-10-10 20:44:00</v>
      </c>
      <c r="E4661" t="str">
        <f>VLOOKUP(C4661,Меню!A:E,4,0)</f>
        <v>Завтрак</v>
      </c>
      <c r="F4661">
        <f>VLOOKUP(C4661,Меню!A:E,5,0)</f>
        <v>220</v>
      </c>
    </row>
    <row r="4662" spans="1:6" ht="15.75" hidden="1" customHeight="1" x14ac:dyDescent="0.35">
      <c r="A4662" s="1">
        <v>4661</v>
      </c>
      <c r="B4662" s="1">
        <v>907</v>
      </c>
      <c r="C4662" s="1">
        <v>47</v>
      </c>
      <c r="D4662" t="str">
        <f>VLOOKUP(B4662,Заказы!A:C,3,0)</f>
        <v>2023-10-10 22:10:00</v>
      </c>
      <c r="E4662" t="str">
        <f>VLOOKUP(C4662,Меню!A:E,4,0)</f>
        <v>Суши</v>
      </c>
      <c r="F4662">
        <f>VLOOKUP(C4662,Меню!A:E,5,0)</f>
        <v>200</v>
      </c>
    </row>
    <row r="4663" spans="1:6" ht="15.75" hidden="1" customHeight="1" x14ac:dyDescent="0.35">
      <c r="A4663" s="1">
        <v>4662</v>
      </c>
      <c r="B4663" s="1">
        <v>907</v>
      </c>
      <c r="C4663" s="1">
        <v>11</v>
      </c>
      <c r="D4663" t="str">
        <f>VLOOKUP(B4663,Заказы!A:C,3,0)</f>
        <v>2023-10-10 22:10:00</v>
      </c>
      <c r="E4663" t="str">
        <f>VLOOKUP(C4663,Меню!A:E,4,0)</f>
        <v>Первое</v>
      </c>
      <c r="F4663">
        <f>VLOOKUP(C4663,Меню!A:E,5,0)</f>
        <v>300</v>
      </c>
    </row>
    <row r="4664" spans="1:6" ht="15.75" hidden="1" customHeight="1" x14ac:dyDescent="0.35">
      <c r="A4664" s="1">
        <v>4663</v>
      </c>
      <c r="B4664" s="1">
        <v>908</v>
      </c>
      <c r="C4664" s="1">
        <v>5</v>
      </c>
      <c r="D4664" t="str">
        <f>VLOOKUP(B4664,Заказы!A:C,3,0)</f>
        <v>2023-10-11 15:06:00</v>
      </c>
      <c r="E4664" t="str">
        <f>VLOOKUP(C4664,Меню!A:E,4,0)</f>
        <v>Завтрак</v>
      </c>
      <c r="F4664">
        <f>VLOOKUP(C4664,Меню!A:E,5,0)</f>
        <v>220</v>
      </c>
    </row>
    <row r="4665" spans="1:6" ht="15.75" hidden="1" customHeight="1" x14ac:dyDescent="0.35">
      <c r="A4665" s="1">
        <v>4664</v>
      </c>
      <c r="B4665" s="1">
        <v>908</v>
      </c>
      <c r="C4665" s="1">
        <v>31</v>
      </c>
      <c r="D4665" t="str">
        <f>VLOOKUP(B4665,Заказы!A:C,3,0)</f>
        <v>2023-10-11 15:06:00</v>
      </c>
      <c r="E4665" t="str">
        <f>VLOOKUP(C4665,Меню!A:E,4,0)</f>
        <v>Десерт</v>
      </c>
      <c r="F4665">
        <f>VLOOKUP(C4665,Меню!A:E,5,0)</f>
        <v>150</v>
      </c>
    </row>
    <row r="4666" spans="1:6" ht="15.75" hidden="1" customHeight="1" x14ac:dyDescent="0.35">
      <c r="A4666" s="1">
        <v>4665</v>
      </c>
      <c r="B4666" s="1">
        <v>908</v>
      </c>
      <c r="C4666" s="1">
        <v>20</v>
      </c>
      <c r="D4666" t="str">
        <f>VLOOKUP(B4666,Заказы!A:C,3,0)</f>
        <v>2023-10-11 15:06:00</v>
      </c>
      <c r="E4666" t="str">
        <f>VLOOKUP(C4666,Меню!A:E,4,0)</f>
        <v>Первое</v>
      </c>
      <c r="F4666">
        <f>VLOOKUP(C4666,Меню!A:E,5,0)</f>
        <v>250</v>
      </c>
    </row>
    <row r="4667" spans="1:6" ht="15.75" hidden="1" customHeight="1" x14ac:dyDescent="0.35">
      <c r="A4667" s="1">
        <v>4666</v>
      </c>
      <c r="B4667" s="1">
        <v>908</v>
      </c>
      <c r="C4667" s="1">
        <v>57</v>
      </c>
      <c r="D4667" t="str">
        <f>VLOOKUP(B4667,Заказы!A:C,3,0)</f>
        <v>2023-10-11 15:06:00</v>
      </c>
      <c r="E4667" t="str">
        <f>VLOOKUP(C4667,Меню!A:E,4,0)</f>
        <v>Суши</v>
      </c>
      <c r="F4667">
        <f>VLOOKUP(C4667,Меню!A:E,5,0)</f>
        <v>200</v>
      </c>
    </row>
    <row r="4668" spans="1:6" ht="15.75" hidden="1" customHeight="1" x14ac:dyDescent="0.35">
      <c r="A4668" s="1">
        <v>4667</v>
      </c>
      <c r="B4668" s="1">
        <v>908</v>
      </c>
      <c r="C4668" s="1">
        <v>50</v>
      </c>
      <c r="D4668" t="str">
        <f>VLOOKUP(B4668,Заказы!A:C,3,0)</f>
        <v>2023-10-11 15:06:00</v>
      </c>
      <c r="E4668" t="str">
        <f>VLOOKUP(C4668,Меню!A:E,4,0)</f>
        <v>Суши</v>
      </c>
      <c r="F4668">
        <f>VLOOKUP(C4668,Меню!A:E,5,0)</f>
        <v>200</v>
      </c>
    </row>
    <row r="4669" spans="1:6" ht="15.75" hidden="1" customHeight="1" x14ac:dyDescent="0.35">
      <c r="A4669" s="1">
        <v>4668</v>
      </c>
      <c r="B4669" s="1">
        <v>909</v>
      </c>
      <c r="C4669" s="1">
        <v>23</v>
      </c>
      <c r="D4669" t="str">
        <f>VLOOKUP(B4669,Заказы!A:C,3,0)</f>
        <v>2023-10-12 17:25:00</v>
      </c>
      <c r="E4669" t="str">
        <f>VLOOKUP(C4669,Меню!A:E,4,0)</f>
        <v>Салат</v>
      </c>
      <c r="F4669">
        <f>VLOOKUP(C4669,Меню!A:E,5,0)</f>
        <v>250</v>
      </c>
    </row>
    <row r="4670" spans="1:6" ht="15.75" hidden="1" customHeight="1" x14ac:dyDescent="0.35">
      <c r="A4670" s="1">
        <v>4669</v>
      </c>
      <c r="B4670" s="1">
        <v>909</v>
      </c>
      <c r="C4670" s="1">
        <v>7</v>
      </c>
      <c r="D4670" t="str">
        <f>VLOOKUP(B4670,Заказы!A:C,3,0)</f>
        <v>2023-10-12 17:25:00</v>
      </c>
      <c r="E4670" t="str">
        <f>VLOOKUP(C4670,Меню!A:E,4,0)</f>
        <v>Завтрак</v>
      </c>
      <c r="F4670">
        <f>VLOOKUP(C4670,Меню!A:E,5,0)</f>
        <v>200</v>
      </c>
    </row>
    <row r="4671" spans="1:6" ht="15.75" hidden="1" customHeight="1" x14ac:dyDescent="0.35">
      <c r="A4671" s="1">
        <v>4670</v>
      </c>
      <c r="B4671" s="1">
        <v>909</v>
      </c>
      <c r="C4671" s="1">
        <v>37</v>
      </c>
      <c r="D4671" t="str">
        <f>VLOOKUP(B4671,Заказы!A:C,3,0)</f>
        <v>2023-10-12 17:25:00</v>
      </c>
      <c r="E4671" t="str">
        <f>VLOOKUP(C4671,Меню!A:E,4,0)</f>
        <v>Десерт</v>
      </c>
      <c r="F4671">
        <f>VLOOKUP(C4671,Меню!A:E,5,0)</f>
        <v>100</v>
      </c>
    </row>
    <row r="4672" spans="1:6" ht="15.75" hidden="1" customHeight="1" x14ac:dyDescent="0.35">
      <c r="A4672" s="1">
        <v>4671</v>
      </c>
      <c r="B4672" s="1">
        <v>909</v>
      </c>
      <c r="C4672" s="1">
        <v>2</v>
      </c>
      <c r="D4672" t="str">
        <f>VLOOKUP(B4672,Заказы!A:C,3,0)</f>
        <v>2023-10-12 17:25:00</v>
      </c>
      <c r="E4672" t="str">
        <f>VLOOKUP(C4672,Меню!A:E,4,0)</f>
        <v>Завтрак</v>
      </c>
      <c r="F4672">
        <f>VLOOKUP(C4672,Меню!A:E,5,0)</f>
        <v>250</v>
      </c>
    </row>
    <row r="4673" spans="1:6" ht="15.75" hidden="1" customHeight="1" x14ac:dyDescent="0.35">
      <c r="A4673" s="1">
        <v>4672</v>
      </c>
      <c r="B4673" s="1">
        <v>909</v>
      </c>
      <c r="C4673" s="1">
        <v>8</v>
      </c>
      <c r="D4673" t="str">
        <f>VLOOKUP(B4673,Заказы!A:C,3,0)</f>
        <v>2023-10-12 17:25:00</v>
      </c>
      <c r="E4673" t="str">
        <f>VLOOKUP(C4673,Меню!A:E,4,0)</f>
        <v>Завтрак</v>
      </c>
      <c r="F4673">
        <f>VLOOKUP(C4673,Меню!A:E,5,0)</f>
        <v>180</v>
      </c>
    </row>
    <row r="4674" spans="1:6" ht="15.75" hidden="1" customHeight="1" x14ac:dyDescent="0.35">
      <c r="A4674" s="1">
        <v>4673</v>
      </c>
      <c r="B4674" s="1">
        <v>910</v>
      </c>
      <c r="C4674" s="1">
        <v>19</v>
      </c>
      <c r="D4674" t="str">
        <f>VLOOKUP(B4674,Заказы!A:C,3,0)</f>
        <v>2023-10-12 18:25:00</v>
      </c>
      <c r="E4674" t="str">
        <f>VLOOKUP(C4674,Меню!A:E,4,0)</f>
        <v>Первое</v>
      </c>
      <c r="F4674">
        <f>VLOOKUP(C4674,Меню!A:E,5,0)</f>
        <v>300</v>
      </c>
    </row>
    <row r="4675" spans="1:6" ht="15.75" hidden="1" customHeight="1" x14ac:dyDescent="0.35">
      <c r="A4675" s="1">
        <v>4674</v>
      </c>
      <c r="B4675" s="1">
        <v>910</v>
      </c>
      <c r="C4675" s="1">
        <v>35</v>
      </c>
      <c r="D4675" t="str">
        <f>VLOOKUP(B4675,Заказы!A:C,3,0)</f>
        <v>2023-10-12 18:25:00</v>
      </c>
      <c r="E4675" t="str">
        <f>VLOOKUP(C4675,Меню!A:E,4,0)</f>
        <v>Десерт</v>
      </c>
      <c r="F4675">
        <f>VLOOKUP(C4675,Меню!A:E,5,0)</f>
        <v>150</v>
      </c>
    </row>
    <row r="4676" spans="1:6" ht="15.75" hidden="1" customHeight="1" x14ac:dyDescent="0.35">
      <c r="A4676" s="1">
        <v>4675</v>
      </c>
      <c r="B4676" s="1">
        <v>910</v>
      </c>
      <c r="C4676" s="1">
        <v>32</v>
      </c>
      <c r="D4676" t="str">
        <f>VLOOKUP(B4676,Заказы!A:C,3,0)</f>
        <v>2023-10-12 18:25:00</v>
      </c>
      <c r="E4676" t="str">
        <f>VLOOKUP(C4676,Меню!A:E,4,0)</f>
        <v>Десерт</v>
      </c>
      <c r="F4676">
        <f>VLOOKUP(C4676,Меню!A:E,5,0)</f>
        <v>150</v>
      </c>
    </row>
    <row r="4677" spans="1:6" ht="15.75" hidden="1" customHeight="1" x14ac:dyDescent="0.35">
      <c r="A4677" s="1">
        <v>4676</v>
      </c>
      <c r="B4677" s="1">
        <v>910</v>
      </c>
      <c r="C4677" s="1">
        <v>48</v>
      </c>
      <c r="D4677" t="str">
        <f>VLOOKUP(B4677,Заказы!A:C,3,0)</f>
        <v>2023-10-12 18:25:00</v>
      </c>
      <c r="E4677" t="str">
        <f>VLOOKUP(C4677,Меню!A:E,4,0)</f>
        <v>Суши</v>
      </c>
      <c r="F4677">
        <f>VLOOKUP(C4677,Меню!A:E,5,0)</f>
        <v>200</v>
      </c>
    </row>
    <row r="4678" spans="1:6" ht="15.75" hidden="1" customHeight="1" x14ac:dyDescent="0.35">
      <c r="A4678" s="1">
        <v>4677</v>
      </c>
      <c r="B4678" s="1">
        <v>910</v>
      </c>
      <c r="C4678" s="1">
        <v>40</v>
      </c>
      <c r="D4678" t="str">
        <f>VLOOKUP(B4678,Заказы!A:C,3,0)</f>
        <v>2023-10-12 18:25:00</v>
      </c>
      <c r="E4678" t="str">
        <f>VLOOKUP(C4678,Меню!A:E,4,0)</f>
        <v>Десерт</v>
      </c>
      <c r="F4678">
        <f>VLOOKUP(C4678,Меню!A:E,5,0)</f>
        <v>150</v>
      </c>
    </row>
    <row r="4679" spans="1:6" ht="15.75" hidden="1" customHeight="1" x14ac:dyDescent="0.35">
      <c r="A4679" s="1">
        <v>4678</v>
      </c>
      <c r="B4679" s="1">
        <v>911</v>
      </c>
      <c r="C4679" s="1">
        <v>47</v>
      </c>
      <c r="D4679" t="str">
        <f>VLOOKUP(B4679,Заказы!A:C,3,0)</f>
        <v>2023-10-12 21:17:00</v>
      </c>
      <c r="E4679" t="str">
        <f>VLOOKUP(C4679,Меню!A:E,4,0)</f>
        <v>Суши</v>
      </c>
      <c r="F4679">
        <f>VLOOKUP(C4679,Меню!A:E,5,0)</f>
        <v>200</v>
      </c>
    </row>
    <row r="4680" spans="1:6" ht="15.75" hidden="1" customHeight="1" x14ac:dyDescent="0.35">
      <c r="A4680" s="1">
        <v>4679</v>
      </c>
      <c r="B4680" s="1">
        <v>911</v>
      </c>
      <c r="C4680" s="1">
        <v>1</v>
      </c>
      <c r="D4680" t="str">
        <f>VLOOKUP(B4680,Заказы!A:C,3,0)</f>
        <v>2023-10-12 21:17:00</v>
      </c>
      <c r="E4680" t="str">
        <f>VLOOKUP(C4680,Меню!A:E,4,0)</f>
        <v>Завтрак</v>
      </c>
      <c r="F4680">
        <f>VLOOKUP(C4680,Меню!A:E,5,0)</f>
        <v>200</v>
      </c>
    </row>
    <row r="4681" spans="1:6" ht="15.75" hidden="1" customHeight="1" x14ac:dyDescent="0.35">
      <c r="A4681" s="1">
        <v>4680</v>
      </c>
      <c r="B4681" s="1">
        <v>911</v>
      </c>
      <c r="C4681" s="1">
        <v>44</v>
      </c>
      <c r="D4681" t="str">
        <f>VLOOKUP(B4681,Заказы!A:C,3,0)</f>
        <v>2023-10-12 21:17:00</v>
      </c>
      <c r="E4681" t="str">
        <f>VLOOKUP(C4681,Меню!A:E,4,0)</f>
        <v>Суши</v>
      </c>
      <c r="F4681">
        <f>VLOOKUP(C4681,Меню!A:E,5,0)</f>
        <v>250</v>
      </c>
    </row>
    <row r="4682" spans="1:6" ht="15.75" hidden="1" customHeight="1" x14ac:dyDescent="0.35">
      <c r="A4682" s="1">
        <v>4681</v>
      </c>
      <c r="B4682" s="1">
        <v>911</v>
      </c>
      <c r="C4682" s="1">
        <v>7</v>
      </c>
      <c r="D4682" t="str">
        <f>VLOOKUP(B4682,Заказы!A:C,3,0)</f>
        <v>2023-10-12 21:17:00</v>
      </c>
      <c r="E4682" t="str">
        <f>VLOOKUP(C4682,Меню!A:E,4,0)</f>
        <v>Завтрак</v>
      </c>
      <c r="F4682">
        <f>VLOOKUP(C4682,Меню!A:E,5,0)</f>
        <v>200</v>
      </c>
    </row>
    <row r="4683" spans="1:6" ht="15.75" hidden="1" customHeight="1" x14ac:dyDescent="0.35">
      <c r="A4683" s="1">
        <v>4682</v>
      </c>
      <c r="B4683" s="1">
        <v>911</v>
      </c>
      <c r="C4683" s="1">
        <v>36</v>
      </c>
      <c r="D4683" t="str">
        <f>VLOOKUP(B4683,Заказы!A:C,3,0)</f>
        <v>2023-10-12 21:17:00</v>
      </c>
      <c r="E4683" t="str">
        <f>VLOOKUP(C4683,Меню!A:E,4,0)</f>
        <v>Десерт</v>
      </c>
      <c r="F4683">
        <f>VLOOKUP(C4683,Меню!A:E,5,0)</f>
        <v>150</v>
      </c>
    </row>
    <row r="4684" spans="1:6" ht="15.75" hidden="1" customHeight="1" x14ac:dyDescent="0.35">
      <c r="A4684" s="1">
        <v>4683</v>
      </c>
      <c r="B4684" s="1">
        <v>911</v>
      </c>
      <c r="C4684" s="1">
        <v>60</v>
      </c>
      <c r="D4684" t="str">
        <f>VLOOKUP(B4684,Заказы!A:C,3,0)</f>
        <v>2023-10-12 21:17:00</v>
      </c>
      <c r="E4684" t="str">
        <f>VLOOKUP(C4684,Меню!A:E,4,0)</f>
        <v>Суши</v>
      </c>
      <c r="F4684">
        <f>VLOOKUP(C4684,Меню!A:E,5,0)</f>
        <v>250</v>
      </c>
    </row>
    <row r="4685" spans="1:6" ht="15.75" hidden="1" customHeight="1" x14ac:dyDescent="0.35">
      <c r="A4685" s="1">
        <v>4684</v>
      </c>
      <c r="B4685" s="1">
        <v>911</v>
      </c>
      <c r="C4685" s="1">
        <v>38</v>
      </c>
      <c r="D4685" t="str">
        <f>VLOOKUP(B4685,Заказы!A:C,3,0)</f>
        <v>2023-10-12 21:17:00</v>
      </c>
      <c r="E4685" t="str">
        <f>VLOOKUP(C4685,Меню!A:E,4,0)</f>
        <v>Десерт</v>
      </c>
      <c r="F4685">
        <f>VLOOKUP(C4685,Меню!A:E,5,0)</f>
        <v>150</v>
      </c>
    </row>
    <row r="4686" spans="1:6" ht="15.75" hidden="1" customHeight="1" x14ac:dyDescent="0.35">
      <c r="A4686" s="1">
        <v>4685</v>
      </c>
      <c r="B4686" s="1">
        <v>912</v>
      </c>
      <c r="C4686" s="1">
        <v>59</v>
      </c>
      <c r="D4686" t="str">
        <f>VLOOKUP(B4686,Заказы!A:C,3,0)</f>
        <v>2023-10-12 21:27:00</v>
      </c>
      <c r="E4686" t="str">
        <f>VLOOKUP(C4686,Меню!A:E,4,0)</f>
        <v>Суши</v>
      </c>
      <c r="F4686">
        <f>VLOOKUP(C4686,Меню!A:E,5,0)</f>
        <v>300</v>
      </c>
    </row>
    <row r="4687" spans="1:6" ht="15.75" hidden="1" customHeight="1" x14ac:dyDescent="0.35">
      <c r="A4687" s="1">
        <v>4686</v>
      </c>
      <c r="B4687" s="1">
        <v>912</v>
      </c>
      <c r="C4687" s="1">
        <v>25</v>
      </c>
      <c r="D4687" t="str">
        <f>VLOOKUP(B4687,Заказы!A:C,3,0)</f>
        <v>2023-10-12 21:27:00</v>
      </c>
      <c r="E4687" t="str">
        <f>VLOOKUP(C4687,Меню!A:E,4,0)</f>
        <v>Салат</v>
      </c>
      <c r="F4687">
        <f>VLOOKUP(C4687,Меню!A:E,5,0)</f>
        <v>250</v>
      </c>
    </row>
    <row r="4688" spans="1:6" ht="15.75" hidden="1" customHeight="1" x14ac:dyDescent="0.35">
      <c r="A4688" s="1">
        <v>4687</v>
      </c>
      <c r="B4688" s="1">
        <v>912</v>
      </c>
      <c r="C4688" s="1">
        <v>3</v>
      </c>
      <c r="D4688" t="str">
        <f>VLOOKUP(B4688,Заказы!A:C,3,0)</f>
        <v>2023-10-12 21:27:00</v>
      </c>
      <c r="E4688" t="str">
        <f>VLOOKUP(C4688,Меню!A:E,4,0)</f>
        <v>Завтрак</v>
      </c>
      <c r="F4688">
        <f>VLOOKUP(C4688,Меню!A:E,5,0)</f>
        <v>150</v>
      </c>
    </row>
    <row r="4689" spans="1:6" ht="15.75" hidden="1" customHeight="1" x14ac:dyDescent="0.35">
      <c r="A4689" s="1">
        <v>4688</v>
      </c>
      <c r="B4689" s="1">
        <v>912</v>
      </c>
      <c r="C4689" s="1">
        <v>13</v>
      </c>
      <c r="D4689" t="str">
        <f>VLOOKUP(B4689,Заказы!A:C,3,0)</f>
        <v>2023-10-12 21:27:00</v>
      </c>
      <c r="E4689" t="str">
        <f>VLOOKUP(C4689,Меню!A:E,4,0)</f>
        <v>Первое</v>
      </c>
      <c r="F4689">
        <f>VLOOKUP(C4689,Меню!A:E,5,0)</f>
        <v>280</v>
      </c>
    </row>
    <row r="4690" spans="1:6" ht="15.75" hidden="1" customHeight="1" x14ac:dyDescent="0.35">
      <c r="A4690" s="1">
        <v>4689</v>
      </c>
      <c r="B4690" s="1">
        <v>912</v>
      </c>
      <c r="C4690" s="1">
        <v>32</v>
      </c>
      <c r="D4690" t="str">
        <f>VLOOKUP(B4690,Заказы!A:C,3,0)</f>
        <v>2023-10-12 21:27:00</v>
      </c>
      <c r="E4690" t="str">
        <f>VLOOKUP(C4690,Меню!A:E,4,0)</f>
        <v>Десерт</v>
      </c>
      <c r="F4690">
        <f>VLOOKUP(C4690,Меню!A:E,5,0)</f>
        <v>150</v>
      </c>
    </row>
    <row r="4691" spans="1:6" ht="15.75" hidden="1" customHeight="1" x14ac:dyDescent="0.35">
      <c r="A4691" s="1">
        <v>4690</v>
      </c>
      <c r="B4691" s="1">
        <v>912</v>
      </c>
      <c r="C4691" s="1">
        <v>28</v>
      </c>
      <c r="D4691" t="str">
        <f>VLOOKUP(B4691,Заказы!A:C,3,0)</f>
        <v>2023-10-12 21:27:00</v>
      </c>
      <c r="E4691" t="str">
        <f>VLOOKUP(C4691,Меню!A:E,4,0)</f>
        <v>Салат</v>
      </c>
      <c r="F4691">
        <f>VLOOKUP(C4691,Меню!A:E,5,0)</f>
        <v>250</v>
      </c>
    </row>
    <row r="4692" spans="1:6" ht="15.75" hidden="1" customHeight="1" x14ac:dyDescent="0.35">
      <c r="A4692" s="1">
        <v>4691</v>
      </c>
      <c r="B4692" s="1">
        <v>912</v>
      </c>
      <c r="C4692" s="1">
        <v>2</v>
      </c>
      <c r="D4692" t="str">
        <f>VLOOKUP(B4692,Заказы!A:C,3,0)</f>
        <v>2023-10-12 21:27:00</v>
      </c>
      <c r="E4692" t="str">
        <f>VLOOKUP(C4692,Меню!A:E,4,0)</f>
        <v>Завтрак</v>
      </c>
      <c r="F4692">
        <f>VLOOKUP(C4692,Меню!A:E,5,0)</f>
        <v>250</v>
      </c>
    </row>
    <row r="4693" spans="1:6" ht="15.75" hidden="1" customHeight="1" x14ac:dyDescent="0.35">
      <c r="A4693" s="1">
        <v>4692</v>
      </c>
      <c r="B4693" s="1">
        <v>913</v>
      </c>
      <c r="C4693" s="1">
        <v>40</v>
      </c>
      <c r="D4693" t="str">
        <f>VLOOKUP(B4693,Заказы!A:C,3,0)</f>
        <v>2023-10-12 21:50:00</v>
      </c>
      <c r="E4693" t="str">
        <f>VLOOKUP(C4693,Меню!A:E,4,0)</f>
        <v>Десерт</v>
      </c>
      <c r="F4693">
        <f>VLOOKUP(C4693,Меню!A:E,5,0)</f>
        <v>150</v>
      </c>
    </row>
    <row r="4694" spans="1:6" ht="15.75" hidden="1" customHeight="1" x14ac:dyDescent="0.35">
      <c r="A4694" s="1">
        <v>4693</v>
      </c>
      <c r="B4694" s="1">
        <v>913</v>
      </c>
      <c r="C4694" s="1">
        <v>18</v>
      </c>
      <c r="D4694" t="str">
        <f>VLOOKUP(B4694,Заказы!A:C,3,0)</f>
        <v>2023-10-12 21:50:00</v>
      </c>
      <c r="E4694" t="str">
        <f>VLOOKUP(C4694,Меню!A:E,4,0)</f>
        <v>Первое</v>
      </c>
      <c r="F4694">
        <f>VLOOKUP(C4694,Меню!A:E,5,0)</f>
        <v>300</v>
      </c>
    </row>
    <row r="4695" spans="1:6" ht="15.75" hidden="1" customHeight="1" x14ac:dyDescent="0.35">
      <c r="A4695" s="1">
        <v>4694</v>
      </c>
      <c r="B4695" s="1">
        <v>913</v>
      </c>
      <c r="C4695" s="1">
        <v>27</v>
      </c>
      <c r="D4695" t="str">
        <f>VLOOKUP(B4695,Заказы!A:C,3,0)</f>
        <v>2023-10-12 21:50:00</v>
      </c>
      <c r="E4695" t="str">
        <f>VLOOKUP(C4695,Меню!A:E,4,0)</f>
        <v>Салат</v>
      </c>
      <c r="F4695">
        <f>VLOOKUP(C4695,Меню!A:E,5,0)</f>
        <v>250</v>
      </c>
    </row>
    <row r="4696" spans="1:6" ht="15.75" hidden="1" customHeight="1" x14ac:dyDescent="0.35">
      <c r="A4696" s="1">
        <v>4695</v>
      </c>
      <c r="B4696" s="1">
        <v>913</v>
      </c>
      <c r="C4696" s="1">
        <v>42</v>
      </c>
      <c r="D4696" t="str">
        <f>VLOOKUP(B4696,Заказы!A:C,3,0)</f>
        <v>2023-10-12 21:50:00</v>
      </c>
      <c r="E4696" t="str">
        <f>VLOOKUP(C4696,Меню!A:E,4,0)</f>
        <v>Суши</v>
      </c>
      <c r="F4696">
        <f>VLOOKUP(C4696,Меню!A:E,5,0)</f>
        <v>250</v>
      </c>
    </row>
    <row r="4697" spans="1:6" ht="15.75" hidden="1" customHeight="1" x14ac:dyDescent="0.35">
      <c r="A4697" s="1">
        <v>4696</v>
      </c>
      <c r="B4697" s="1">
        <v>913</v>
      </c>
      <c r="C4697" s="1">
        <v>6</v>
      </c>
      <c r="D4697" t="str">
        <f>VLOOKUP(B4697,Заказы!A:C,3,0)</f>
        <v>2023-10-12 21:50:00</v>
      </c>
      <c r="E4697" t="str">
        <f>VLOOKUP(C4697,Меню!A:E,4,0)</f>
        <v>Завтрак</v>
      </c>
      <c r="F4697">
        <f>VLOOKUP(C4697,Меню!A:E,5,0)</f>
        <v>300</v>
      </c>
    </row>
    <row r="4698" spans="1:6" ht="15.75" hidden="1" customHeight="1" x14ac:dyDescent="0.35">
      <c r="A4698" s="1">
        <v>4697</v>
      </c>
      <c r="B4698" s="1">
        <v>913</v>
      </c>
      <c r="C4698" s="1">
        <v>35</v>
      </c>
      <c r="D4698" t="str">
        <f>VLOOKUP(B4698,Заказы!A:C,3,0)</f>
        <v>2023-10-12 21:50:00</v>
      </c>
      <c r="E4698" t="str">
        <f>VLOOKUP(C4698,Меню!A:E,4,0)</f>
        <v>Десерт</v>
      </c>
      <c r="F4698">
        <f>VLOOKUP(C4698,Меню!A:E,5,0)</f>
        <v>150</v>
      </c>
    </row>
    <row r="4699" spans="1:6" ht="15.75" hidden="1" customHeight="1" x14ac:dyDescent="0.35">
      <c r="A4699" s="1">
        <v>4698</v>
      </c>
      <c r="B4699" s="1">
        <v>913</v>
      </c>
      <c r="C4699" s="1">
        <v>26</v>
      </c>
      <c r="D4699" t="str">
        <f>VLOOKUP(B4699,Заказы!A:C,3,0)</f>
        <v>2023-10-12 21:50:00</v>
      </c>
      <c r="E4699" t="str">
        <f>VLOOKUP(C4699,Меню!A:E,4,0)</f>
        <v>Салат</v>
      </c>
      <c r="F4699">
        <f>VLOOKUP(C4699,Меню!A:E,5,0)</f>
        <v>250</v>
      </c>
    </row>
    <row r="4700" spans="1:6" ht="15.75" hidden="1" customHeight="1" x14ac:dyDescent="0.35">
      <c r="A4700" s="1">
        <v>4699</v>
      </c>
      <c r="B4700" s="1">
        <v>914</v>
      </c>
      <c r="C4700" s="1">
        <v>38</v>
      </c>
      <c r="D4700" t="str">
        <f>VLOOKUP(B4700,Заказы!A:C,3,0)</f>
        <v>2023-10-13 15:40:00</v>
      </c>
      <c r="E4700" t="str">
        <f>VLOOKUP(C4700,Меню!A:E,4,0)</f>
        <v>Десерт</v>
      </c>
      <c r="F4700">
        <f>VLOOKUP(C4700,Меню!A:E,5,0)</f>
        <v>150</v>
      </c>
    </row>
    <row r="4701" spans="1:6" ht="15.75" hidden="1" customHeight="1" x14ac:dyDescent="0.35">
      <c r="A4701" s="1">
        <v>4700</v>
      </c>
      <c r="B4701" s="1">
        <v>914</v>
      </c>
      <c r="C4701" s="1">
        <v>46</v>
      </c>
      <c r="D4701" t="str">
        <f>VLOOKUP(B4701,Заказы!A:C,3,0)</f>
        <v>2023-10-13 15:40:00</v>
      </c>
      <c r="E4701" t="str">
        <f>VLOOKUP(C4701,Меню!A:E,4,0)</f>
        <v>Суши</v>
      </c>
      <c r="F4701">
        <f>VLOOKUP(C4701,Меню!A:E,5,0)</f>
        <v>200</v>
      </c>
    </row>
    <row r="4702" spans="1:6" ht="15.75" hidden="1" customHeight="1" x14ac:dyDescent="0.35">
      <c r="A4702" s="1">
        <v>4701</v>
      </c>
      <c r="B4702" s="1">
        <v>914</v>
      </c>
      <c r="C4702" s="1">
        <v>38</v>
      </c>
      <c r="D4702" t="str">
        <f>VLOOKUP(B4702,Заказы!A:C,3,0)</f>
        <v>2023-10-13 15:40:00</v>
      </c>
      <c r="E4702" t="str">
        <f>VLOOKUP(C4702,Меню!A:E,4,0)</f>
        <v>Десерт</v>
      </c>
      <c r="F4702">
        <f>VLOOKUP(C4702,Меню!A:E,5,0)</f>
        <v>150</v>
      </c>
    </row>
    <row r="4703" spans="1:6" ht="15.75" hidden="1" customHeight="1" x14ac:dyDescent="0.35">
      <c r="A4703" s="1">
        <v>4702</v>
      </c>
      <c r="B4703" s="1">
        <v>914</v>
      </c>
      <c r="C4703" s="1">
        <v>16</v>
      </c>
      <c r="D4703" t="str">
        <f>VLOOKUP(B4703,Заказы!A:C,3,0)</f>
        <v>2023-10-13 15:40:00</v>
      </c>
      <c r="E4703" t="str">
        <f>VLOOKUP(C4703,Меню!A:E,4,0)</f>
        <v>Первое</v>
      </c>
      <c r="F4703">
        <f>VLOOKUP(C4703,Меню!A:E,5,0)</f>
        <v>250</v>
      </c>
    </row>
    <row r="4704" spans="1:6" ht="15.75" hidden="1" customHeight="1" x14ac:dyDescent="0.35">
      <c r="A4704" s="1">
        <v>4703</v>
      </c>
      <c r="B4704" s="1">
        <v>914</v>
      </c>
      <c r="C4704" s="1">
        <v>1</v>
      </c>
      <c r="D4704" t="str">
        <f>VLOOKUP(B4704,Заказы!A:C,3,0)</f>
        <v>2023-10-13 15:40:00</v>
      </c>
      <c r="E4704" t="str">
        <f>VLOOKUP(C4704,Меню!A:E,4,0)</f>
        <v>Завтрак</v>
      </c>
      <c r="F4704">
        <f>VLOOKUP(C4704,Меню!A:E,5,0)</f>
        <v>200</v>
      </c>
    </row>
    <row r="4705" spans="1:6" ht="15.75" hidden="1" customHeight="1" x14ac:dyDescent="0.35">
      <c r="A4705" s="1">
        <v>4704</v>
      </c>
      <c r="B4705" s="1">
        <v>914</v>
      </c>
      <c r="C4705" s="1">
        <v>16</v>
      </c>
      <c r="D4705" t="str">
        <f>VLOOKUP(B4705,Заказы!A:C,3,0)</f>
        <v>2023-10-13 15:40:00</v>
      </c>
      <c r="E4705" t="str">
        <f>VLOOKUP(C4705,Меню!A:E,4,0)</f>
        <v>Первое</v>
      </c>
      <c r="F4705">
        <f>VLOOKUP(C4705,Меню!A:E,5,0)</f>
        <v>250</v>
      </c>
    </row>
    <row r="4706" spans="1:6" ht="15.75" hidden="1" customHeight="1" x14ac:dyDescent="0.35">
      <c r="A4706" s="1">
        <v>4705</v>
      </c>
      <c r="B4706" s="1">
        <v>914</v>
      </c>
      <c r="C4706" s="1">
        <v>28</v>
      </c>
      <c r="D4706" t="str">
        <f>VLOOKUP(B4706,Заказы!A:C,3,0)</f>
        <v>2023-10-13 15:40:00</v>
      </c>
      <c r="E4706" t="str">
        <f>VLOOKUP(C4706,Меню!A:E,4,0)</f>
        <v>Салат</v>
      </c>
      <c r="F4706">
        <f>VLOOKUP(C4706,Меню!A:E,5,0)</f>
        <v>250</v>
      </c>
    </row>
    <row r="4707" spans="1:6" ht="15.75" hidden="1" customHeight="1" x14ac:dyDescent="0.35">
      <c r="A4707" s="1">
        <v>4706</v>
      </c>
      <c r="B4707" s="1">
        <v>914</v>
      </c>
      <c r="C4707" s="1">
        <v>25</v>
      </c>
      <c r="D4707" t="str">
        <f>VLOOKUP(B4707,Заказы!A:C,3,0)</f>
        <v>2023-10-13 15:40:00</v>
      </c>
      <c r="E4707" t="str">
        <f>VLOOKUP(C4707,Меню!A:E,4,0)</f>
        <v>Салат</v>
      </c>
      <c r="F4707">
        <f>VLOOKUP(C4707,Меню!A:E,5,0)</f>
        <v>250</v>
      </c>
    </row>
    <row r="4708" spans="1:6" ht="15.75" hidden="1" customHeight="1" x14ac:dyDescent="0.35">
      <c r="A4708" s="1">
        <v>4707</v>
      </c>
      <c r="B4708" s="1">
        <v>914</v>
      </c>
      <c r="C4708" s="1">
        <v>58</v>
      </c>
      <c r="D4708" t="str">
        <f>VLOOKUP(B4708,Заказы!A:C,3,0)</f>
        <v>2023-10-13 15:40:00</v>
      </c>
      <c r="E4708" t="str">
        <f>VLOOKUP(C4708,Меню!A:E,4,0)</f>
        <v>Суши</v>
      </c>
      <c r="F4708">
        <f>VLOOKUP(C4708,Меню!A:E,5,0)</f>
        <v>200</v>
      </c>
    </row>
    <row r="4709" spans="1:6" ht="15.75" hidden="1" customHeight="1" x14ac:dyDescent="0.35">
      <c r="A4709" s="1">
        <v>4708</v>
      </c>
      <c r="B4709" s="1">
        <v>914</v>
      </c>
      <c r="C4709" s="1">
        <v>37</v>
      </c>
      <c r="D4709" t="str">
        <f>VLOOKUP(B4709,Заказы!A:C,3,0)</f>
        <v>2023-10-13 15:40:00</v>
      </c>
      <c r="E4709" t="str">
        <f>VLOOKUP(C4709,Меню!A:E,4,0)</f>
        <v>Десерт</v>
      </c>
      <c r="F4709">
        <f>VLOOKUP(C4709,Меню!A:E,5,0)</f>
        <v>100</v>
      </c>
    </row>
    <row r="4710" spans="1:6" ht="15.75" hidden="1" customHeight="1" x14ac:dyDescent="0.35">
      <c r="A4710" s="1">
        <v>4709</v>
      </c>
      <c r="B4710" s="1">
        <v>915</v>
      </c>
      <c r="C4710" s="1">
        <v>58</v>
      </c>
      <c r="D4710" t="str">
        <f>VLOOKUP(B4710,Заказы!A:C,3,0)</f>
        <v>2023-10-13 16:04:00</v>
      </c>
      <c r="E4710" t="str">
        <f>VLOOKUP(C4710,Меню!A:E,4,0)</f>
        <v>Суши</v>
      </c>
      <c r="F4710">
        <f>VLOOKUP(C4710,Меню!A:E,5,0)</f>
        <v>200</v>
      </c>
    </row>
    <row r="4711" spans="1:6" ht="15.75" hidden="1" customHeight="1" x14ac:dyDescent="0.35">
      <c r="A4711" s="1">
        <v>4710</v>
      </c>
      <c r="B4711" s="1">
        <v>915</v>
      </c>
      <c r="C4711" s="1">
        <v>23</v>
      </c>
      <c r="D4711" t="str">
        <f>VLOOKUP(B4711,Заказы!A:C,3,0)</f>
        <v>2023-10-13 16:04:00</v>
      </c>
      <c r="E4711" t="str">
        <f>VLOOKUP(C4711,Меню!A:E,4,0)</f>
        <v>Салат</v>
      </c>
      <c r="F4711">
        <f>VLOOKUP(C4711,Меню!A:E,5,0)</f>
        <v>250</v>
      </c>
    </row>
    <row r="4712" spans="1:6" ht="15.75" hidden="1" customHeight="1" x14ac:dyDescent="0.35">
      <c r="A4712" s="1">
        <v>4711</v>
      </c>
      <c r="B4712" s="1">
        <v>915</v>
      </c>
      <c r="C4712" s="1">
        <v>42</v>
      </c>
      <c r="D4712" t="str">
        <f>VLOOKUP(B4712,Заказы!A:C,3,0)</f>
        <v>2023-10-13 16:04:00</v>
      </c>
      <c r="E4712" t="str">
        <f>VLOOKUP(C4712,Меню!A:E,4,0)</f>
        <v>Суши</v>
      </c>
      <c r="F4712">
        <f>VLOOKUP(C4712,Меню!A:E,5,0)</f>
        <v>250</v>
      </c>
    </row>
    <row r="4713" spans="1:6" ht="15.75" hidden="1" customHeight="1" x14ac:dyDescent="0.35">
      <c r="A4713" s="1">
        <v>4712</v>
      </c>
      <c r="B4713" s="1">
        <v>915</v>
      </c>
      <c r="C4713" s="1">
        <v>53</v>
      </c>
      <c r="D4713" t="str">
        <f>VLOOKUP(B4713,Заказы!A:C,3,0)</f>
        <v>2023-10-13 16:04:00</v>
      </c>
      <c r="E4713" t="str">
        <f>VLOOKUP(C4713,Меню!A:E,4,0)</f>
        <v>Суши</v>
      </c>
      <c r="F4713">
        <f>VLOOKUP(C4713,Меню!A:E,5,0)</f>
        <v>100</v>
      </c>
    </row>
    <row r="4714" spans="1:6" ht="15.75" hidden="1" customHeight="1" x14ac:dyDescent="0.35">
      <c r="A4714" s="1">
        <v>4713</v>
      </c>
      <c r="B4714" s="1">
        <v>915</v>
      </c>
      <c r="C4714" s="1">
        <v>53</v>
      </c>
      <c r="D4714" t="str">
        <f>VLOOKUP(B4714,Заказы!A:C,3,0)</f>
        <v>2023-10-13 16:04:00</v>
      </c>
      <c r="E4714" t="str">
        <f>VLOOKUP(C4714,Меню!A:E,4,0)</f>
        <v>Суши</v>
      </c>
      <c r="F4714">
        <f>VLOOKUP(C4714,Меню!A:E,5,0)</f>
        <v>100</v>
      </c>
    </row>
    <row r="4715" spans="1:6" ht="15.75" hidden="1" customHeight="1" x14ac:dyDescent="0.35">
      <c r="A4715" s="1">
        <v>4714</v>
      </c>
      <c r="B4715" s="1">
        <v>915</v>
      </c>
      <c r="C4715" s="1">
        <v>59</v>
      </c>
      <c r="D4715" t="str">
        <f>VLOOKUP(B4715,Заказы!A:C,3,0)</f>
        <v>2023-10-13 16:04:00</v>
      </c>
      <c r="E4715" t="str">
        <f>VLOOKUP(C4715,Меню!A:E,4,0)</f>
        <v>Суши</v>
      </c>
      <c r="F4715">
        <f>VLOOKUP(C4715,Меню!A:E,5,0)</f>
        <v>300</v>
      </c>
    </row>
    <row r="4716" spans="1:6" ht="15.75" hidden="1" customHeight="1" x14ac:dyDescent="0.35">
      <c r="A4716" s="1">
        <v>4715</v>
      </c>
      <c r="B4716" s="1">
        <v>915</v>
      </c>
      <c r="C4716" s="1">
        <v>41</v>
      </c>
      <c r="D4716" t="str">
        <f>VLOOKUP(B4716,Заказы!A:C,3,0)</f>
        <v>2023-10-13 16:04:00</v>
      </c>
      <c r="E4716" t="str">
        <f>VLOOKUP(C4716,Меню!A:E,4,0)</f>
        <v>Суши</v>
      </c>
      <c r="F4716">
        <f>VLOOKUP(C4716,Меню!A:E,5,0)</f>
        <v>220</v>
      </c>
    </row>
    <row r="4717" spans="1:6" ht="15.75" hidden="1" customHeight="1" x14ac:dyDescent="0.35">
      <c r="A4717" s="1">
        <v>4716</v>
      </c>
      <c r="B4717" s="1">
        <v>916</v>
      </c>
      <c r="C4717" s="1">
        <v>35</v>
      </c>
      <c r="D4717" t="str">
        <f>VLOOKUP(B4717,Заказы!A:C,3,0)</f>
        <v>2023-10-13 20:04:00</v>
      </c>
      <c r="E4717" t="str">
        <f>VLOOKUP(C4717,Меню!A:E,4,0)</f>
        <v>Десерт</v>
      </c>
      <c r="F4717">
        <f>VLOOKUP(C4717,Меню!A:E,5,0)</f>
        <v>150</v>
      </c>
    </row>
    <row r="4718" spans="1:6" ht="15.75" hidden="1" customHeight="1" x14ac:dyDescent="0.35">
      <c r="A4718" s="1">
        <v>4717</v>
      </c>
      <c r="B4718" s="1">
        <v>916</v>
      </c>
      <c r="C4718" s="1">
        <v>28</v>
      </c>
      <c r="D4718" t="str">
        <f>VLOOKUP(B4718,Заказы!A:C,3,0)</f>
        <v>2023-10-13 20:04:00</v>
      </c>
      <c r="E4718" t="str">
        <f>VLOOKUP(C4718,Меню!A:E,4,0)</f>
        <v>Салат</v>
      </c>
      <c r="F4718">
        <f>VLOOKUP(C4718,Меню!A:E,5,0)</f>
        <v>250</v>
      </c>
    </row>
    <row r="4719" spans="1:6" ht="15.75" hidden="1" customHeight="1" x14ac:dyDescent="0.35">
      <c r="A4719" s="1">
        <v>4718</v>
      </c>
      <c r="B4719" s="1">
        <v>916</v>
      </c>
      <c r="C4719" s="1">
        <v>59</v>
      </c>
      <c r="D4719" t="str">
        <f>VLOOKUP(B4719,Заказы!A:C,3,0)</f>
        <v>2023-10-13 20:04:00</v>
      </c>
      <c r="E4719" t="str">
        <f>VLOOKUP(C4719,Меню!A:E,4,0)</f>
        <v>Суши</v>
      </c>
      <c r="F4719">
        <f>VLOOKUP(C4719,Меню!A:E,5,0)</f>
        <v>300</v>
      </c>
    </row>
    <row r="4720" spans="1:6" ht="15.75" hidden="1" customHeight="1" x14ac:dyDescent="0.35">
      <c r="A4720" s="1">
        <v>4719</v>
      </c>
      <c r="B4720" s="1">
        <v>917</v>
      </c>
      <c r="C4720" s="1">
        <v>30</v>
      </c>
      <c r="D4720" t="str">
        <f>VLOOKUP(B4720,Заказы!A:C,3,0)</f>
        <v>2023-10-13 20:59:00</v>
      </c>
      <c r="E4720" t="str">
        <f>VLOOKUP(C4720,Меню!A:E,4,0)</f>
        <v>Салат</v>
      </c>
      <c r="F4720">
        <f>VLOOKUP(C4720,Меню!A:E,5,0)</f>
        <v>250</v>
      </c>
    </row>
    <row r="4721" spans="1:6" ht="15.75" hidden="1" customHeight="1" x14ac:dyDescent="0.35">
      <c r="A4721" s="1">
        <v>4720</v>
      </c>
      <c r="B4721" s="1">
        <v>918</v>
      </c>
      <c r="C4721" s="1">
        <v>50</v>
      </c>
      <c r="D4721" t="str">
        <f>VLOOKUP(B4721,Заказы!A:C,3,0)</f>
        <v>2023-10-13 22:12:00</v>
      </c>
      <c r="E4721" t="str">
        <f>VLOOKUP(C4721,Меню!A:E,4,0)</f>
        <v>Суши</v>
      </c>
      <c r="F4721">
        <f>VLOOKUP(C4721,Меню!A:E,5,0)</f>
        <v>200</v>
      </c>
    </row>
    <row r="4722" spans="1:6" ht="15.75" hidden="1" customHeight="1" x14ac:dyDescent="0.35">
      <c r="A4722" s="1">
        <v>4721</v>
      </c>
      <c r="B4722" s="1">
        <v>918</v>
      </c>
      <c r="C4722" s="1">
        <v>46</v>
      </c>
      <c r="D4722" t="str">
        <f>VLOOKUP(B4722,Заказы!A:C,3,0)</f>
        <v>2023-10-13 22:12:00</v>
      </c>
      <c r="E4722" t="str">
        <f>VLOOKUP(C4722,Меню!A:E,4,0)</f>
        <v>Суши</v>
      </c>
      <c r="F4722">
        <f>VLOOKUP(C4722,Меню!A:E,5,0)</f>
        <v>200</v>
      </c>
    </row>
    <row r="4723" spans="1:6" ht="15.75" hidden="1" customHeight="1" x14ac:dyDescent="0.35">
      <c r="A4723" s="1">
        <v>4722</v>
      </c>
      <c r="B4723" s="1">
        <v>918</v>
      </c>
      <c r="C4723" s="1">
        <v>36</v>
      </c>
      <c r="D4723" t="str">
        <f>VLOOKUP(B4723,Заказы!A:C,3,0)</f>
        <v>2023-10-13 22:12:00</v>
      </c>
      <c r="E4723" t="str">
        <f>VLOOKUP(C4723,Меню!A:E,4,0)</f>
        <v>Десерт</v>
      </c>
      <c r="F4723">
        <f>VLOOKUP(C4723,Меню!A:E,5,0)</f>
        <v>150</v>
      </c>
    </row>
    <row r="4724" spans="1:6" ht="15.75" hidden="1" customHeight="1" x14ac:dyDescent="0.35">
      <c r="A4724" s="1">
        <v>4723</v>
      </c>
      <c r="B4724" s="1">
        <v>918</v>
      </c>
      <c r="C4724" s="1">
        <v>15</v>
      </c>
      <c r="D4724" t="str">
        <f>VLOOKUP(B4724,Заказы!A:C,3,0)</f>
        <v>2023-10-13 22:12:00</v>
      </c>
      <c r="E4724" t="str">
        <f>VLOOKUP(C4724,Меню!A:E,4,0)</f>
        <v>Первое</v>
      </c>
      <c r="F4724">
        <f>VLOOKUP(C4724,Меню!A:E,5,0)</f>
        <v>250</v>
      </c>
    </row>
    <row r="4725" spans="1:6" ht="15.75" hidden="1" customHeight="1" x14ac:dyDescent="0.35">
      <c r="A4725" s="1">
        <v>4724</v>
      </c>
      <c r="B4725" s="1">
        <v>918</v>
      </c>
      <c r="C4725" s="1">
        <v>45</v>
      </c>
      <c r="D4725" t="str">
        <f>VLOOKUP(B4725,Заказы!A:C,3,0)</f>
        <v>2023-10-13 22:12:00</v>
      </c>
      <c r="E4725" t="str">
        <f>VLOOKUP(C4725,Меню!A:E,4,0)</f>
        <v>Суши</v>
      </c>
      <c r="F4725">
        <f>VLOOKUP(C4725,Меню!A:E,5,0)</f>
        <v>200</v>
      </c>
    </row>
    <row r="4726" spans="1:6" ht="15.75" hidden="1" customHeight="1" x14ac:dyDescent="0.35">
      <c r="A4726" s="1">
        <v>4725</v>
      </c>
      <c r="B4726" s="1">
        <v>918</v>
      </c>
      <c r="C4726" s="1">
        <v>50</v>
      </c>
      <c r="D4726" t="str">
        <f>VLOOKUP(B4726,Заказы!A:C,3,0)</f>
        <v>2023-10-13 22:12:00</v>
      </c>
      <c r="E4726" t="str">
        <f>VLOOKUP(C4726,Меню!A:E,4,0)</f>
        <v>Суши</v>
      </c>
      <c r="F4726">
        <f>VLOOKUP(C4726,Меню!A:E,5,0)</f>
        <v>200</v>
      </c>
    </row>
    <row r="4727" spans="1:6" ht="15.75" hidden="1" customHeight="1" x14ac:dyDescent="0.35">
      <c r="A4727" s="1">
        <v>4726</v>
      </c>
      <c r="B4727" s="1">
        <v>919</v>
      </c>
      <c r="C4727" s="1">
        <v>57</v>
      </c>
      <c r="D4727" t="str">
        <f>VLOOKUP(B4727,Заказы!A:C,3,0)</f>
        <v>2023-10-13 22:30:00</v>
      </c>
      <c r="E4727" t="str">
        <f>VLOOKUP(C4727,Меню!A:E,4,0)</f>
        <v>Суши</v>
      </c>
      <c r="F4727">
        <f>VLOOKUP(C4727,Меню!A:E,5,0)</f>
        <v>200</v>
      </c>
    </row>
    <row r="4728" spans="1:6" ht="15.75" hidden="1" customHeight="1" x14ac:dyDescent="0.35">
      <c r="A4728" s="1">
        <v>4727</v>
      </c>
      <c r="B4728" s="1">
        <v>919</v>
      </c>
      <c r="C4728" s="1">
        <v>49</v>
      </c>
      <c r="D4728" t="str">
        <f>VLOOKUP(B4728,Заказы!A:C,3,0)</f>
        <v>2023-10-13 22:30:00</v>
      </c>
      <c r="E4728" t="str">
        <f>VLOOKUP(C4728,Меню!A:E,4,0)</f>
        <v>Суши</v>
      </c>
      <c r="F4728">
        <f>VLOOKUP(C4728,Меню!A:E,5,0)</f>
        <v>200</v>
      </c>
    </row>
    <row r="4729" spans="1:6" ht="15.75" hidden="1" customHeight="1" x14ac:dyDescent="0.35">
      <c r="A4729" s="1">
        <v>4728</v>
      </c>
      <c r="B4729" s="1">
        <v>919</v>
      </c>
      <c r="C4729" s="1">
        <v>52</v>
      </c>
      <c r="D4729" t="str">
        <f>VLOOKUP(B4729,Заказы!A:C,3,0)</f>
        <v>2023-10-13 22:30:00</v>
      </c>
      <c r="E4729" t="str">
        <f>VLOOKUP(C4729,Меню!A:E,4,0)</f>
        <v>Суши</v>
      </c>
      <c r="F4729">
        <f>VLOOKUP(C4729,Меню!A:E,5,0)</f>
        <v>100</v>
      </c>
    </row>
    <row r="4730" spans="1:6" ht="15.75" hidden="1" customHeight="1" x14ac:dyDescent="0.35">
      <c r="A4730" s="1">
        <v>4729</v>
      </c>
      <c r="B4730" s="1">
        <v>919</v>
      </c>
      <c r="C4730" s="1">
        <v>24</v>
      </c>
      <c r="D4730" t="str">
        <f>VLOOKUP(B4730,Заказы!A:C,3,0)</f>
        <v>2023-10-13 22:30:00</v>
      </c>
      <c r="E4730" t="str">
        <f>VLOOKUP(C4730,Меню!A:E,4,0)</f>
        <v>Салат</v>
      </c>
      <c r="F4730">
        <f>VLOOKUP(C4730,Меню!A:E,5,0)</f>
        <v>250</v>
      </c>
    </row>
    <row r="4731" spans="1:6" ht="15.75" hidden="1" customHeight="1" x14ac:dyDescent="0.35">
      <c r="A4731" s="1">
        <v>4730</v>
      </c>
      <c r="B4731" s="1">
        <v>919</v>
      </c>
      <c r="C4731" s="1">
        <v>5</v>
      </c>
      <c r="D4731" t="str">
        <f>VLOOKUP(B4731,Заказы!A:C,3,0)</f>
        <v>2023-10-13 22:30:00</v>
      </c>
      <c r="E4731" t="str">
        <f>VLOOKUP(C4731,Меню!A:E,4,0)</f>
        <v>Завтрак</v>
      </c>
      <c r="F4731">
        <f>VLOOKUP(C4731,Меню!A:E,5,0)</f>
        <v>220</v>
      </c>
    </row>
    <row r="4732" spans="1:6" ht="15.75" hidden="1" customHeight="1" x14ac:dyDescent="0.35">
      <c r="A4732" s="1">
        <v>4731</v>
      </c>
      <c r="B4732" s="1">
        <v>919</v>
      </c>
      <c r="C4732" s="1">
        <v>11</v>
      </c>
      <c r="D4732" t="str">
        <f>VLOOKUP(B4732,Заказы!A:C,3,0)</f>
        <v>2023-10-13 22:30:00</v>
      </c>
      <c r="E4732" t="str">
        <f>VLOOKUP(C4732,Меню!A:E,4,0)</f>
        <v>Первое</v>
      </c>
      <c r="F4732">
        <f>VLOOKUP(C4732,Меню!A:E,5,0)</f>
        <v>300</v>
      </c>
    </row>
    <row r="4733" spans="1:6" ht="15.75" hidden="1" customHeight="1" x14ac:dyDescent="0.35">
      <c r="A4733" s="1">
        <v>4732</v>
      </c>
      <c r="B4733" s="1">
        <v>919</v>
      </c>
      <c r="C4733" s="1">
        <v>25</v>
      </c>
      <c r="D4733" t="str">
        <f>VLOOKUP(B4733,Заказы!A:C,3,0)</f>
        <v>2023-10-13 22:30:00</v>
      </c>
      <c r="E4733" t="str">
        <f>VLOOKUP(C4733,Меню!A:E,4,0)</f>
        <v>Салат</v>
      </c>
      <c r="F4733">
        <f>VLOOKUP(C4733,Меню!A:E,5,0)</f>
        <v>250</v>
      </c>
    </row>
    <row r="4734" spans="1:6" ht="15.75" hidden="1" customHeight="1" x14ac:dyDescent="0.35">
      <c r="A4734" s="1">
        <v>4733</v>
      </c>
      <c r="B4734" s="1">
        <v>920</v>
      </c>
      <c r="C4734" s="1">
        <v>37</v>
      </c>
      <c r="D4734" t="str">
        <f>VLOOKUP(B4734,Заказы!A:C,3,0)</f>
        <v>2023-10-14 16:00:00</v>
      </c>
      <c r="E4734" t="str">
        <f>VLOOKUP(C4734,Меню!A:E,4,0)</f>
        <v>Десерт</v>
      </c>
      <c r="F4734">
        <f>VLOOKUP(C4734,Меню!A:E,5,0)</f>
        <v>100</v>
      </c>
    </row>
    <row r="4735" spans="1:6" ht="15.75" hidden="1" customHeight="1" x14ac:dyDescent="0.35">
      <c r="A4735" s="1">
        <v>4734</v>
      </c>
      <c r="B4735" s="1">
        <v>920</v>
      </c>
      <c r="C4735" s="1">
        <v>33</v>
      </c>
      <c r="D4735" t="str">
        <f>VLOOKUP(B4735,Заказы!A:C,3,0)</f>
        <v>2023-10-14 16:00:00</v>
      </c>
      <c r="E4735" t="str">
        <f>VLOOKUP(C4735,Меню!A:E,4,0)</f>
        <v>Десерт</v>
      </c>
      <c r="F4735">
        <f>VLOOKUP(C4735,Меню!A:E,5,0)</f>
        <v>150</v>
      </c>
    </row>
    <row r="4736" spans="1:6" ht="15.75" hidden="1" customHeight="1" x14ac:dyDescent="0.35">
      <c r="A4736" s="1">
        <v>4735</v>
      </c>
      <c r="B4736" s="1">
        <v>920</v>
      </c>
      <c r="C4736" s="1">
        <v>19</v>
      </c>
      <c r="D4736" t="str">
        <f>VLOOKUP(B4736,Заказы!A:C,3,0)</f>
        <v>2023-10-14 16:00:00</v>
      </c>
      <c r="E4736" t="str">
        <f>VLOOKUP(C4736,Меню!A:E,4,0)</f>
        <v>Первое</v>
      </c>
      <c r="F4736">
        <f>VLOOKUP(C4736,Меню!A:E,5,0)</f>
        <v>300</v>
      </c>
    </row>
    <row r="4737" spans="1:6" ht="15.75" hidden="1" customHeight="1" x14ac:dyDescent="0.35">
      <c r="A4737" s="1">
        <v>4736</v>
      </c>
      <c r="B4737" s="1">
        <v>920</v>
      </c>
      <c r="C4737" s="1">
        <v>9</v>
      </c>
      <c r="D4737" t="str">
        <f>VLOOKUP(B4737,Заказы!A:C,3,0)</f>
        <v>2023-10-14 16:00:00</v>
      </c>
      <c r="E4737" t="str">
        <f>VLOOKUP(C4737,Меню!A:E,4,0)</f>
        <v>Завтрак</v>
      </c>
      <c r="F4737">
        <f>VLOOKUP(C4737,Меню!A:E,5,0)</f>
        <v>220</v>
      </c>
    </row>
    <row r="4738" spans="1:6" ht="15.75" hidden="1" customHeight="1" x14ac:dyDescent="0.35">
      <c r="A4738" s="1">
        <v>4737</v>
      </c>
      <c r="B4738" s="1">
        <v>920</v>
      </c>
      <c r="C4738" s="1">
        <v>12</v>
      </c>
      <c r="D4738" t="str">
        <f>VLOOKUP(B4738,Заказы!A:C,3,0)</f>
        <v>2023-10-14 16:00:00</v>
      </c>
      <c r="E4738" t="str">
        <f>VLOOKUP(C4738,Меню!A:E,4,0)</f>
        <v>Первое</v>
      </c>
      <c r="F4738">
        <f>VLOOKUP(C4738,Меню!A:E,5,0)</f>
        <v>300</v>
      </c>
    </row>
    <row r="4739" spans="1:6" ht="15.75" hidden="1" customHeight="1" x14ac:dyDescent="0.35">
      <c r="A4739" s="1">
        <v>4738</v>
      </c>
      <c r="B4739" s="1">
        <v>921</v>
      </c>
      <c r="C4739" s="1">
        <v>26</v>
      </c>
      <c r="D4739" t="str">
        <f>VLOOKUP(B4739,Заказы!A:C,3,0)</f>
        <v>2023-10-14 16:05:00</v>
      </c>
      <c r="E4739" t="str">
        <f>VLOOKUP(C4739,Меню!A:E,4,0)</f>
        <v>Салат</v>
      </c>
      <c r="F4739">
        <f>VLOOKUP(C4739,Меню!A:E,5,0)</f>
        <v>250</v>
      </c>
    </row>
    <row r="4740" spans="1:6" ht="15.75" hidden="1" customHeight="1" x14ac:dyDescent="0.35">
      <c r="A4740" s="1">
        <v>4739</v>
      </c>
      <c r="B4740" s="1">
        <v>921</v>
      </c>
      <c r="C4740" s="1">
        <v>16</v>
      </c>
      <c r="D4740" t="str">
        <f>VLOOKUP(B4740,Заказы!A:C,3,0)</f>
        <v>2023-10-14 16:05:00</v>
      </c>
      <c r="E4740" t="str">
        <f>VLOOKUP(C4740,Меню!A:E,4,0)</f>
        <v>Первое</v>
      </c>
      <c r="F4740">
        <f>VLOOKUP(C4740,Меню!A:E,5,0)</f>
        <v>250</v>
      </c>
    </row>
    <row r="4741" spans="1:6" ht="15.75" hidden="1" customHeight="1" x14ac:dyDescent="0.35">
      <c r="A4741" s="1">
        <v>4740</v>
      </c>
      <c r="B4741" s="1">
        <v>921</v>
      </c>
      <c r="C4741" s="1">
        <v>59</v>
      </c>
      <c r="D4741" t="str">
        <f>VLOOKUP(B4741,Заказы!A:C,3,0)</f>
        <v>2023-10-14 16:05:00</v>
      </c>
      <c r="E4741" t="str">
        <f>VLOOKUP(C4741,Меню!A:E,4,0)</f>
        <v>Суши</v>
      </c>
      <c r="F4741">
        <f>VLOOKUP(C4741,Меню!A:E,5,0)</f>
        <v>300</v>
      </c>
    </row>
    <row r="4742" spans="1:6" ht="15.75" hidden="1" customHeight="1" x14ac:dyDescent="0.35">
      <c r="A4742" s="1">
        <v>4741</v>
      </c>
      <c r="B4742" s="1">
        <v>921</v>
      </c>
      <c r="C4742" s="1">
        <v>54</v>
      </c>
      <c r="D4742" t="str">
        <f>VLOOKUP(B4742,Заказы!A:C,3,0)</f>
        <v>2023-10-14 16:05:00</v>
      </c>
      <c r="E4742" t="str">
        <f>VLOOKUP(C4742,Меню!A:E,4,0)</f>
        <v>Суши</v>
      </c>
      <c r="F4742">
        <f>VLOOKUP(C4742,Меню!A:E,5,0)</f>
        <v>100</v>
      </c>
    </row>
    <row r="4743" spans="1:6" ht="15.75" hidden="1" customHeight="1" x14ac:dyDescent="0.35">
      <c r="A4743" s="1">
        <v>4742</v>
      </c>
      <c r="B4743" s="1">
        <v>922</v>
      </c>
      <c r="C4743" s="1">
        <v>10</v>
      </c>
      <c r="D4743" t="str">
        <f>VLOOKUP(B4743,Заказы!A:C,3,0)</f>
        <v>2023-10-14 18:56:00</v>
      </c>
      <c r="E4743" t="str">
        <f>VLOOKUP(C4743,Меню!A:E,4,0)</f>
        <v>Завтрак</v>
      </c>
      <c r="F4743">
        <f>VLOOKUP(C4743,Меню!A:E,5,0)</f>
        <v>200</v>
      </c>
    </row>
    <row r="4744" spans="1:6" ht="15.75" hidden="1" customHeight="1" x14ac:dyDescent="0.35">
      <c r="A4744" s="1">
        <v>4743</v>
      </c>
      <c r="B4744" s="1">
        <v>922</v>
      </c>
      <c r="C4744" s="1">
        <v>47</v>
      </c>
      <c r="D4744" t="str">
        <f>VLOOKUP(B4744,Заказы!A:C,3,0)</f>
        <v>2023-10-14 18:56:00</v>
      </c>
      <c r="E4744" t="str">
        <f>VLOOKUP(C4744,Меню!A:E,4,0)</f>
        <v>Суши</v>
      </c>
      <c r="F4744">
        <f>VLOOKUP(C4744,Меню!A:E,5,0)</f>
        <v>200</v>
      </c>
    </row>
    <row r="4745" spans="1:6" ht="15.75" hidden="1" customHeight="1" x14ac:dyDescent="0.35">
      <c r="A4745" s="1">
        <v>4744</v>
      </c>
      <c r="B4745" s="1">
        <v>922</v>
      </c>
      <c r="C4745" s="1">
        <v>28</v>
      </c>
      <c r="D4745" t="str">
        <f>VLOOKUP(B4745,Заказы!A:C,3,0)</f>
        <v>2023-10-14 18:56:00</v>
      </c>
      <c r="E4745" t="str">
        <f>VLOOKUP(C4745,Меню!A:E,4,0)</f>
        <v>Салат</v>
      </c>
      <c r="F4745">
        <f>VLOOKUP(C4745,Меню!A:E,5,0)</f>
        <v>250</v>
      </c>
    </row>
    <row r="4746" spans="1:6" ht="15.75" hidden="1" customHeight="1" x14ac:dyDescent="0.35">
      <c r="A4746" s="1">
        <v>4745</v>
      </c>
      <c r="B4746" s="1">
        <v>922</v>
      </c>
      <c r="C4746" s="1">
        <v>54</v>
      </c>
      <c r="D4746" t="str">
        <f>VLOOKUP(B4746,Заказы!A:C,3,0)</f>
        <v>2023-10-14 18:56:00</v>
      </c>
      <c r="E4746" t="str">
        <f>VLOOKUP(C4746,Меню!A:E,4,0)</f>
        <v>Суши</v>
      </c>
      <c r="F4746">
        <f>VLOOKUP(C4746,Меню!A:E,5,0)</f>
        <v>100</v>
      </c>
    </row>
    <row r="4747" spans="1:6" ht="15.75" hidden="1" customHeight="1" x14ac:dyDescent="0.35">
      <c r="A4747" s="1">
        <v>4746</v>
      </c>
      <c r="B4747" s="1">
        <v>922</v>
      </c>
      <c r="C4747" s="1">
        <v>59</v>
      </c>
      <c r="D4747" t="str">
        <f>VLOOKUP(B4747,Заказы!A:C,3,0)</f>
        <v>2023-10-14 18:56:00</v>
      </c>
      <c r="E4747" t="str">
        <f>VLOOKUP(C4747,Меню!A:E,4,0)</f>
        <v>Суши</v>
      </c>
      <c r="F4747">
        <f>VLOOKUP(C4747,Меню!A:E,5,0)</f>
        <v>300</v>
      </c>
    </row>
    <row r="4748" spans="1:6" ht="15.75" hidden="1" customHeight="1" x14ac:dyDescent="0.35">
      <c r="A4748" s="1">
        <v>4747</v>
      </c>
      <c r="B4748" s="1">
        <v>923</v>
      </c>
      <c r="C4748" s="1">
        <v>14</v>
      </c>
      <c r="D4748" t="str">
        <f>VLOOKUP(B4748,Заказы!A:C,3,0)</f>
        <v>2023-10-14 21:01:00</v>
      </c>
      <c r="E4748" t="str">
        <f>VLOOKUP(C4748,Меню!A:E,4,0)</f>
        <v>Первое</v>
      </c>
      <c r="F4748">
        <f>VLOOKUP(C4748,Меню!A:E,5,0)</f>
        <v>350</v>
      </c>
    </row>
    <row r="4749" spans="1:6" ht="15.75" hidden="1" customHeight="1" x14ac:dyDescent="0.35">
      <c r="A4749" s="1">
        <v>4748</v>
      </c>
      <c r="B4749" s="1">
        <v>923</v>
      </c>
      <c r="C4749" s="1">
        <v>42</v>
      </c>
      <c r="D4749" t="str">
        <f>VLOOKUP(B4749,Заказы!A:C,3,0)</f>
        <v>2023-10-14 21:01:00</v>
      </c>
      <c r="E4749" t="str">
        <f>VLOOKUP(C4749,Меню!A:E,4,0)</f>
        <v>Суши</v>
      </c>
      <c r="F4749">
        <f>VLOOKUP(C4749,Меню!A:E,5,0)</f>
        <v>250</v>
      </c>
    </row>
    <row r="4750" spans="1:6" ht="15.75" hidden="1" customHeight="1" x14ac:dyDescent="0.35">
      <c r="A4750" s="1">
        <v>4749</v>
      </c>
      <c r="B4750" s="1">
        <v>923</v>
      </c>
      <c r="C4750" s="1">
        <v>23</v>
      </c>
      <c r="D4750" t="str">
        <f>VLOOKUP(B4750,Заказы!A:C,3,0)</f>
        <v>2023-10-14 21:01:00</v>
      </c>
      <c r="E4750" t="str">
        <f>VLOOKUP(C4750,Меню!A:E,4,0)</f>
        <v>Салат</v>
      </c>
      <c r="F4750">
        <f>VLOOKUP(C4750,Меню!A:E,5,0)</f>
        <v>250</v>
      </c>
    </row>
    <row r="4751" spans="1:6" ht="15.75" hidden="1" customHeight="1" x14ac:dyDescent="0.35">
      <c r="A4751" s="1">
        <v>4750</v>
      </c>
      <c r="B4751" s="1">
        <v>923</v>
      </c>
      <c r="C4751" s="1">
        <v>6</v>
      </c>
      <c r="D4751" t="str">
        <f>VLOOKUP(B4751,Заказы!A:C,3,0)</f>
        <v>2023-10-14 21:01:00</v>
      </c>
      <c r="E4751" t="str">
        <f>VLOOKUP(C4751,Меню!A:E,4,0)</f>
        <v>Завтрак</v>
      </c>
      <c r="F4751">
        <f>VLOOKUP(C4751,Меню!A:E,5,0)</f>
        <v>300</v>
      </c>
    </row>
    <row r="4752" spans="1:6" ht="15.75" hidden="1" customHeight="1" x14ac:dyDescent="0.35">
      <c r="A4752" s="1">
        <v>4751</v>
      </c>
      <c r="B4752" s="1">
        <v>923</v>
      </c>
      <c r="C4752" s="1">
        <v>23</v>
      </c>
      <c r="D4752" t="str">
        <f>VLOOKUP(B4752,Заказы!A:C,3,0)</f>
        <v>2023-10-14 21:01:00</v>
      </c>
      <c r="E4752" t="str">
        <f>VLOOKUP(C4752,Меню!A:E,4,0)</f>
        <v>Салат</v>
      </c>
      <c r="F4752">
        <f>VLOOKUP(C4752,Меню!A:E,5,0)</f>
        <v>250</v>
      </c>
    </row>
    <row r="4753" spans="1:6" ht="15.75" hidden="1" customHeight="1" x14ac:dyDescent="0.35">
      <c r="A4753" s="1">
        <v>4752</v>
      </c>
      <c r="B4753" s="1">
        <v>923</v>
      </c>
      <c r="C4753" s="1">
        <v>26</v>
      </c>
      <c r="D4753" t="str">
        <f>VLOOKUP(B4753,Заказы!A:C,3,0)</f>
        <v>2023-10-14 21:01:00</v>
      </c>
      <c r="E4753" t="str">
        <f>VLOOKUP(C4753,Меню!A:E,4,0)</f>
        <v>Салат</v>
      </c>
      <c r="F4753">
        <f>VLOOKUP(C4753,Меню!A:E,5,0)</f>
        <v>250</v>
      </c>
    </row>
    <row r="4754" spans="1:6" ht="15.75" hidden="1" customHeight="1" x14ac:dyDescent="0.35">
      <c r="A4754" s="1">
        <v>4753</v>
      </c>
      <c r="B4754" s="1">
        <v>923</v>
      </c>
      <c r="C4754" s="1">
        <v>56</v>
      </c>
      <c r="D4754" t="str">
        <f>VLOOKUP(B4754,Заказы!A:C,3,0)</f>
        <v>2023-10-14 21:01:00</v>
      </c>
      <c r="E4754" t="str">
        <f>VLOOKUP(C4754,Меню!A:E,4,0)</f>
        <v>Суши</v>
      </c>
      <c r="F4754">
        <f>VLOOKUP(C4754,Меню!A:E,5,0)</f>
        <v>200</v>
      </c>
    </row>
    <row r="4755" spans="1:6" ht="15.75" hidden="1" customHeight="1" x14ac:dyDescent="0.35">
      <c r="A4755" s="1">
        <v>4754</v>
      </c>
      <c r="B4755" s="1">
        <v>924</v>
      </c>
      <c r="C4755" s="1">
        <v>51</v>
      </c>
      <c r="D4755" t="str">
        <f>VLOOKUP(B4755,Заказы!A:C,3,0)</f>
        <v>2023-10-14 21:07:00</v>
      </c>
      <c r="E4755" t="str">
        <f>VLOOKUP(C4755,Меню!A:E,4,0)</f>
        <v>Суши</v>
      </c>
      <c r="F4755">
        <f>VLOOKUP(C4755,Меню!A:E,5,0)</f>
        <v>100</v>
      </c>
    </row>
    <row r="4756" spans="1:6" ht="15.75" hidden="1" customHeight="1" x14ac:dyDescent="0.35">
      <c r="A4756" s="1">
        <v>4755</v>
      </c>
      <c r="B4756" s="1">
        <v>924</v>
      </c>
      <c r="C4756" s="1">
        <v>24</v>
      </c>
      <c r="D4756" t="str">
        <f>VLOOKUP(B4756,Заказы!A:C,3,0)</f>
        <v>2023-10-14 21:07:00</v>
      </c>
      <c r="E4756" t="str">
        <f>VLOOKUP(C4756,Меню!A:E,4,0)</f>
        <v>Салат</v>
      </c>
      <c r="F4756">
        <f>VLOOKUP(C4756,Меню!A:E,5,0)</f>
        <v>250</v>
      </c>
    </row>
    <row r="4757" spans="1:6" ht="15.75" hidden="1" customHeight="1" x14ac:dyDescent="0.35">
      <c r="A4757" s="1">
        <v>4756</v>
      </c>
      <c r="B4757" s="1">
        <v>925</v>
      </c>
      <c r="C4757" s="1">
        <v>16</v>
      </c>
      <c r="D4757" t="str">
        <f>VLOOKUP(B4757,Заказы!A:C,3,0)</f>
        <v>2023-10-14 21:39:00</v>
      </c>
      <c r="E4757" t="str">
        <f>VLOOKUP(C4757,Меню!A:E,4,0)</f>
        <v>Первое</v>
      </c>
      <c r="F4757">
        <f>VLOOKUP(C4757,Меню!A:E,5,0)</f>
        <v>250</v>
      </c>
    </row>
    <row r="4758" spans="1:6" ht="15.75" hidden="1" customHeight="1" x14ac:dyDescent="0.35">
      <c r="A4758" s="1">
        <v>4757</v>
      </c>
      <c r="B4758" s="1">
        <v>925</v>
      </c>
      <c r="C4758" s="1">
        <v>53</v>
      </c>
      <c r="D4758" t="str">
        <f>VLOOKUP(B4758,Заказы!A:C,3,0)</f>
        <v>2023-10-14 21:39:00</v>
      </c>
      <c r="E4758" t="str">
        <f>VLOOKUP(C4758,Меню!A:E,4,0)</f>
        <v>Суши</v>
      </c>
      <c r="F4758">
        <f>VLOOKUP(C4758,Меню!A:E,5,0)</f>
        <v>100</v>
      </c>
    </row>
    <row r="4759" spans="1:6" ht="15.75" hidden="1" customHeight="1" x14ac:dyDescent="0.35">
      <c r="A4759" s="1">
        <v>4758</v>
      </c>
      <c r="B4759" s="1">
        <v>925</v>
      </c>
      <c r="C4759" s="1">
        <v>6</v>
      </c>
      <c r="D4759" t="str">
        <f>VLOOKUP(B4759,Заказы!A:C,3,0)</f>
        <v>2023-10-14 21:39:00</v>
      </c>
      <c r="E4759" t="str">
        <f>VLOOKUP(C4759,Меню!A:E,4,0)</f>
        <v>Завтрак</v>
      </c>
      <c r="F4759">
        <f>VLOOKUP(C4759,Меню!A:E,5,0)</f>
        <v>300</v>
      </c>
    </row>
    <row r="4760" spans="1:6" ht="15.75" hidden="1" customHeight="1" x14ac:dyDescent="0.35">
      <c r="A4760" s="1">
        <v>4759</v>
      </c>
      <c r="B4760" s="1">
        <v>925</v>
      </c>
      <c r="C4760" s="1">
        <v>6</v>
      </c>
      <c r="D4760" t="str">
        <f>VLOOKUP(B4760,Заказы!A:C,3,0)</f>
        <v>2023-10-14 21:39:00</v>
      </c>
      <c r="E4760" t="str">
        <f>VLOOKUP(C4760,Меню!A:E,4,0)</f>
        <v>Завтрак</v>
      </c>
      <c r="F4760">
        <f>VLOOKUP(C4760,Меню!A:E,5,0)</f>
        <v>300</v>
      </c>
    </row>
    <row r="4761" spans="1:6" ht="15.75" hidden="1" customHeight="1" x14ac:dyDescent="0.35">
      <c r="A4761" s="1">
        <v>4760</v>
      </c>
      <c r="B4761" s="1">
        <v>926</v>
      </c>
      <c r="C4761" s="1">
        <v>24</v>
      </c>
      <c r="D4761" t="str">
        <f>VLOOKUP(B4761,Заказы!A:C,3,0)</f>
        <v>2023-10-14 22:11:00</v>
      </c>
      <c r="E4761" t="str">
        <f>VLOOKUP(C4761,Меню!A:E,4,0)</f>
        <v>Салат</v>
      </c>
      <c r="F4761">
        <f>VLOOKUP(C4761,Меню!A:E,5,0)</f>
        <v>250</v>
      </c>
    </row>
    <row r="4762" spans="1:6" ht="15.75" hidden="1" customHeight="1" x14ac:dyDescent="0.35">
      <c r="A4762" s="1">
        <v>4761</v>
      </c>
      <c r="B4762" s="1">
        <v>926</v>
      </c>
      <c r="C4762" s="1">
        <v>6</v>
      </c>
      <c r="D4762" t="str">
        <f>VLOOKUP(B4762,Заказы!A:C,3,0)</f>
        <v>2023-10-14 22:11:00</v>
      </c>
      <c r="E4762" t="str">
        <f>VLOOKUP(C4762,Меню!A:E,4,0)</f>
        <v>Завтрак</v>
      </c>
      <c r="F4762">
        <f>VLOOKUP(C4762,Меню!A:E,5,0)</f>
        <v>300</v>
      </c>
    </row>
    <row r="4763" spans="1:6" ht="15.75" hidden="1" customHeight="1" x14ac:dyDescent="0.35">
      <c r="A4763" s="1">
        <v>4762</v>
      </c>
      <c r="B4763" s="1">
        <v>926</v>
      </c>
      <c r="C4763" s="1">
        <v>39</v>
      </c>
      <c r="D4763" t="str">
        <f>VLOOKUP(B4763,Заказы!A:C,3,0)</f>
        <v>2023-10-14 22:11:00</v>
      </c>
      <c r="E4763" t="str">
        <f>VLOOKUP(C4763,Меню!A:E,4,0)</f>
        <v>Десерт</v>
      </c>
      <c r="F4763">
        <f>VLOOKUP(C4763,Меню!A:E,5,0)</f>
        <v>150</v>
      </c>
    </row>
    <row r="4764" spans="1:6" ht="15.75" hidden="1" customHeight="1" x14ac:dyDescent="0.35">
      <c r="A4764" s="1">
        <v>4763</v>
      </c>
      <c r="B4764" s="1">
        <v>926</v>
      </c>
      <c r="C4764" s="1">
        <v>49</v>
      </c>
      <c r="D4764" t="str">
        <f>VLOOKUP(B4764,Заказы!A:C,3,0)</f>
        <v>2023-10-14 22:11:00</v>
      </c>
      <c r="E4764" t="str">
        <f>VLOOKUP(C4764,Меню!A:E,4,0)</f>
        <v>Суши</v>
      </c>
      <c r="F4764">
        <f>VLOOKUP(C4764,Меню!A:E,5,0)</f>
        <v>200</v>
      </c>
    </row>
    <row r="4765" spans="1:6" ht="15.75" hidden="1" customHeight="1" x14ac:dyDescent="0.35">
      <c r="A4765" s="1">
        <v>4764</v>
      </c>
      <c r="B4765" s="1">
        <v>926</v>
      </c>
      <c r="C4765" s="1">
        <v>40</v>
      </c>
      <c r="D4765" t="str">
        <f>VLOOKUP(B4765,Заказы!A:C,3,0)</f>
        <v>2023-10-14 22:11:00</v>
      </c>
      <c r="E4765" t="str">
        <f>VLOOKUP(C4765,Меню!A:E,4,0)</f>
        <v>Десерт</v>
      </c>
      <c r="F4765">
        <f>VLOOKUP(C4765,Меню!A:E,5,0)</f>
        <v>150</v>
      </c>
    </row>
    <row r="4766" spans="1:6" ht="15.75" hidden="1" customHeight="1" x14ac:dyDescent="0.35">
      <c r="A4766" s="1">
        <v>4765</v>
      </c>
      <c r="B4766" s="1">
        <v>927</v>
      </c>
      <c r="C4766" s="1">
        <v>47</v>
      </c>
      <c r="D4766" t="str">
        <f>VLOOKUP(B4766,Заказы!A:C,3,0)</f>
        <v>2023-10-14 22:13:00</v>
      </c>
      <c r="E4766" t="str">
        <f>VLOOKUP(C4766,Меню!A:E,4,0)</f>
        <v>Суши</v>
      </c>
      <c r="F4766">
        <f>VLOOKUP(C4766,Меню!A:E,5,0)</f>
        <v>200</v>
      </c>
    </row>
    <row r="4767" spans="1:6" ht="15.75" hidden="1" customHeight="1" x14ac:dyDescent="0.35">
      <c r="A4767" s="1">
        <v>4766</v>
      </c>
      <c r="B4767" s="1">
        <v>927</v>
      </c>
      <c r="C4767" s="1">
        <v>3</v>
      </c>
      <c r="D4767" t="str">
        <f>VLOOKUP(B4767,Заказы!A:C,3,0)</f>
        <v>2023-10-14 22:13:00</v>
      </c>
      <c r="E4767" t="str">
        <f>VLOOKUP(C4767,Меню!A:E,4,0)</f>
        <v>Завтрак</v>
      </c>
      <c r="F4767">
        <f>VLOOKUP(C4767,Меню!A:E,5,0)</f>
        <v>150</v>
      </c>
    </row>
    <row r="4768" spans="1:6" ht="15.75" hidden="1" customHeight="1" x14ac:dyDescent="0.35">
      <c r="A4768" s="1">
        <v>4767</v>
      </c>
      <c r="B4768" s="1">
        <v>927</v>
      </c>
      <c r="C4768" s="1">
        <v>21</v>
      </c>
      <c r="D4768" t="str">
        <f>VLOOKUP(B4768,Заказы!A:C,3,0)</f>
        <v>2023-10-14 22:13:00</v>
      </c>
      <c r="E4768" t="str">
        <f>VLOOKUP(C4768,Меню!A:E,4,0)</f>
        <v>Салат</v>
      </c>
      <c r="F4768">
        <f>VLOOKUP(C4768,Меню!A:E,5,0)</f>
        <v>250</v>
      </c>
    </row>
    <row r="4769" spans="1:6" ht="15.75" hidden="1" customHeight="1" x14ac:dyDescent="0.35">
      <c r="A4769" s="1">
        <v>4768</v>
      </c>
      <c r="B4769" s="1">
        <v>928</v>
      </c>
      <c r="C4769" s="1">
        <v>2</v>
      </c>
      <c r="D4769" t="str">
        <f>VLOOKUP(B4769,Заказы!A:C,3,0)</f>
        <v>2023-10-15 15:00:00</v>
      </c>
      <c r="E4769" t="str">
        <f>VLOOKUP(C4769,Меню!A:E,4,0)</f>
        <v>Завтрак</v>
      </c>
      <c r="F4769">
        <f>VLOOKUP(C4769,Меню!A:E,5,0)</f>
        <v>250</v>
      </c>
    </row>
    <row r="4770" spans="1:6" ht="15.75" hidden="1" customHeight="1" x14ac:dyDescent="0.35">
      <c r="A4770" s="1">
        <v>4769</v>
      </c>
      <c r="B4770" s="1">
        <v>928</v>
      </c>
      <c r="C4770" s="1">
        <v>22</v>
      </c>
      <c r="D4770" t="str">
        <f>VLOOKUP(B4770,Заказы!A:C,3,0)</f>
        <v>2023-10-15 15:00:00</v>
      </c>
      <c r="E4770" t="str">
        <f>VLOOKUP(C4770,Меню!A:E,4,0)</f>
        <v>Салат</v>
      </c>
      <c r="F4770">
        <f>VLOOKUP(C4770,Меню!A:E,5,0)</f>
        <v>250</v>
      </c>
    </row>
    <row r="4771" spans="1:6" ht="15.75" hidden="1" customHeight="1" x14ac:dyDescent="0.35">
      <c r="A4771" s="1">
        <v>4770</v>
      </c>
      <c r="B4771" s="1">
        <v>928</v>
      </c>
      <c r="C4771" s="1">
        <v>14</v>
      </c>
      <c r="D4771" t="str">
        <f>VLOOKUP(B4771,Заказы!A:C,3,0)</f>
        <v>2023-10-15 15:00:00</v>
      </c>
      <c r="E4771" t="str">
        <f>VLOOKUP(C4771,Меню!A:E,4,0)</f>
        <v>Первое</v>
      </c>
      <c r="F4771">
        <f>VLOOKUP(C4771,Меню!A:E,5,0)</f>
        <v>350</v>
      </c>
    </row>
    <row r="4772" spans="1:6" ht="15.75" hidden="1" customHeight="1" x14ac:dyDescent="0.35">
      <c r="A4772" s="1">
        <v>4771</v>
      </c>
      <c r="B4772" s="1">
        <v>928</v>
      </c>
      <c r="C4772" s="1">
        <v>44</v>
      </c>
      <c r="D4772" t="str">
        <f>VLOOKUP(B4772,Заказы!A:C,3,0)</f>
        <v>2023-10-15 15:00:00</v>
      </c>
      <c r="E4772" t="str">
        <f>VLOOKUP(C4772,Меню!A:E,4,0)</f>
        <v>Суши</v>
      </c>
      <c r="F4772">
        <f>VLOOKUP(C4772,Меню!A:E,5,0)</f>
        <v>250</v>
      </c>
    </row>
    <row r="4773" spans="1:6" ht="15.75" hidden="1" customHeight="1" x14ac:dyDescent="0.35">
      <c r="A4773" s="1">
        <v>4772</v>
      </c>
      <c r="B4773" s="1">
        <v>928</v>
      </c>
      <c r="C4773" s="1">
        <v>38</v>
      </c>
      <c r="D4773" t="str">
        <f>VLOOKUP(B4773,Заказы!A:C,3,0)</f>
        <v>2023-10-15 15:00:00</v>
      </c>
      <c r="E4773" t="str">
        <f>VLOOKUP(C4773,Меню!A:E,4,0)</f>
        <v>Десерт</v>
      </c>
      <c r="F4773">
        <f>VLOOKUP(C4773,Меню!A:E,5,0)</f>
        <v>150</v>
      </c>
    </row>
    <row r="4774" spans="1:6" ht="15.75" hidden="1" customHeight="1" x14ac:dyDescent="0.35">
      <c r="A4774" s="1">
        <v>4773</v>
      </c>
      <c r="B4774" s="1">
        <v>928</v>
      </c>
      <c r="C4774" s="1">
        <v>1</v>
      </c>
      <c r="D4774" t="str">
        <f>VLOOKUP(B4774,Заказы!A:C,3,0)</f>
        <v>2023-10-15 15:00:00</v>
      </c>
      <c r="E4774" t="str">
        <f>VLOOKUP(C4774,Меню!A:E,4,0)</f>
        <v>Завтрак</v>
      </c>
      <c r="F4774">
        <f>VLOOKUP(C4774,Меню!A:E,5,0)</f>
        <v>200</v>
      </c>
    </row>
    <row r="4775" spans="1:6" ht="15.75" hidden="1" customHeight="1" x14ac:dyDescent="0.35">
      <c r="A4775" s="1">
        <v>4774</v>
      </c>
      <c r="B4775" s="1">
        <v>928</v>
      </c>
      <c r="C4775" s="1">
        <v>43</v>
      </c>
      <c r="D4775" t="str">
        <f>VLOOKUP(B4775,Заказы!A:C,3,0)</f>
        <v>2023-10-15 15:00:00</v>
      </c>
      <c r="E4775" t="str">
        <f>VLOOKUP(C4775,Меню!A:E,4,0)</f>
        <v>Суши</v>
      </c>
      <c r="F4775">
        <f>VLOOKUP(C4775,Меню!A:E,5,0)</f>
        <v>250</v>
      </c>
    </row>
    <row r="4776" spans="1:6" ht="15.75" hidden="1" customHeight="1" x14ac:dyDescent="0.35">
      <c r="A4776" s="1">
        <v>4775</v>
      </c>
      <c r="B4776" s="1">
        <v>929</v>
      </c>
      <c r="C4776" s="1">
        <v>14</v>
      </c>
      <c r="D4776" t="str">
        <f>VLOOKUP(B4776,Заказы!A:C,3,0)</f>
        <v>2023-10-15 16:47:00</v>
      </c>
      <c r="E4776" t="str">
        <f>VLOOKUP(C4776,Меню!A:E,4,0)</f>
        <v>Первое</v>
      </c>
      <c r="F4776">
        <f>VLOOKUP(C4776,Меню!A:E,5,0)</f>
        <v>350</v>
      </c>
    </row>
    <row r="4777" spans="1:6" ht="15.75" hidden="1" customHeight="1" x14ac:dyDescent="0.35">
      <c r="A4777" s="1">
        <v>4776</v>
      </c>
      <c r="B4777" s="1">
        <v>929</v>
      </c>
      <c r="C4777" s="1">
        <v>19</v>
      </c>
      <c r="D4777" t="str">
        <f>VLOOKUP(B4777,Заказы!A:C,3,0)</f>
        <v>2023-10-15 16:47:00</v>
      </c>
      <c r="E4777" t="str">
        <f>VLOOKUP(C4777,Меню!A:E,4,0)</f>
        <v>Первое</v>
      </c>
      <c r="F4777">
        <f>VLOOKUP(C4777,Меню!A:E,5,0)</f>
        <v>300</v>
      </c>
    </row>
    <row r="4778" spans="1:6" ht="15.75" hidden="1" customHeight="1" x14ac:dyDescent="0.35">
      <c r="A4778" s="1">
        <v>4777</v>
      </c>
      <c r="B4778" s="1">
        <v>929</v>
      </c>
      <c r="C4778" s="1">
        <v>38</v>
      </c>
      <c r="D4778" t="str">
        <f>VLOOKUP(B4778,Заказы!A:C,3,0)</f>
        <v>2023-10-15 16:47:00</v>
      </c>
      <c r="E4778" t="str">
        <f>VLOOKUP(C4778,Меню!A:E,4,0)</f>
        <v>Десерт</v>
      </c>
      <c r="F4778">
        <f>VLOOKUP(C4778,Меню!A:E,5,0)</f>
        <v>150</v>
      </c>
    </row>
    <row r="4779" spans="1:6" ht="15.75" hidden="1" customHeight="1" x14ac:dyDescent="0.35">
      <c r="A4779" s="1">
        <v>4778</v>
      </c>
      <c r="B4779" s="1">
        <v>930</v>
      </c>
      <c r="C4779" s="1">
        <v>14</v>
      </c>
      <c r="D4779" t="str">
        <f>VLOOKUP(B4779,Заказы!A:C,3,0)</f>
        <v>2023-10-15 17:34:00</v>
      </c>
      <c r="E4779" t="str">
        <f>VLOOKUP(C4779,Меню!A:E,4,0)</f>
        <v>Первое</v>
      </c>
      <c r="F4779">
        <f>VLOOKUP(C4779,Меню!A:E,5,0)</f>
        <v>350</v>
      </c>
    </row>
    <row r="4780" spans="1:6" ht="15.75" hidden="1" customHeight="1" x14ac:dyDescent="0.35">
      <c r="A4780" s="1">
        <v>4779</v>
      </c>
      <c r="B4780" s="1">
        <v>930</v>
      </c>
      <c r="C4780" s="1">
        <v>20</v>
      </c>
      <c r="D4780" t="str">
        <f>VLOOKUP(B4780,Заказы!A:C,3,0)</f>
        <v>2023-10-15 17:34:00</v>
      </c>
      <c r="E4780" t="str">
        <f>VLOOKUP(C4780,Меню!A:E,4,0)</f>
        <v>Первое</v>
      </c>
      <c r="F4780">
        <f>VLOOKUP(C4780,Меню!A:E,5,0)</f>
        <v>250</v>
      </c>
    </row>
    <row r="4781" spans="1:6" ht="15.75" hidden="1" customHeight="1" x14ac:dyDescent="0.35">
      <c r="A4781" s="1">
        <v>4780</v>
      </c>
      <c r="B4781" s="1">
        <v>930</v>
      </c>
      <c r="C4781" s="1">
        <v>19</v>
      </c>
      <c r="D4781" t="str">
        <f>VLOOKUP(B4781,Заказы!A:C,3,0)</f>
        <v>2023-10-15 17:34:00</v>
      </c>
      <c r="E4781" t="str">
        <f>VLOOKUP(C4781,Меню!A:E,4,0)</f>
        <v>Первое</v>
      </c>
      <c r="F4781">
        <f>VLOOKUP(C4781,Меню!A:E,5,0)</f>
        <v>300</v>
      </c>
    </row>
    <row r="4782" spans="1:6" ht="15.75" hidden="1" customHeight="1" x14ac:dyDescent="0.35">
      <c r="A4782" s="1">
        <v>4781</v>
      </c>
      <c r="B4782" s="1">
        <v>930</v>
      </c>
      <c r="C4782" s="1">
        <v>38</v>
      </c>
      <c r="D4782" t="str">
        <f>VLOOKUP(B4782,Заказы!A:C,3,0)</f>
        <v>2023-10-15 17:34:00</v>
      </c>
      <c r="E4782" t="str">
        <f>VLOOKUP(C4782,Меню!A:E,4,0)</f>
        <v>Десерт</v>
      </c>
      <c r="F4782">
        <f>VLOOKUP(C4782,Меню!A:E,5,0)</f>
        <v>150</v>
      </c>
    </row>
    <row r="4783" spans="1:6" ht="15.75" hidden="1" customHeight="1" x14ac:dyDescent="0.35">
      <c r="A4783" s="1">
        <v>4782</v>
      </c>
      <c r="B4783" s="1">
        <v>930</v>
      </c>
      <c r="C4783" s="1">
        <v>44</v>
      </c>
      <c r="D4783" t="str">
        <f>VLOOKUP(B4783,Заказы!A:C,3,0)</f>
        <v>2023-10-15 17:34:00</v>
      </c>
      <c r="E4783" t="str">
        <f>VLOOKUP(C4783,Меню!A:E,4,0)</f>
        <v>Суши</v>
      </c>
      <c r="F4783">
        <f>VLOOKUP(C4783,Меню!A:E,5,0)</f>
        <v>250</v>
      </c>
    </row>
    <row r="4784" spans="1:6" ht="15.75" hidden="1" customHeight="1" x14ac:dyDescent="0.35">
      <c r="A4784" s="1">
        <v>4783</v>
      </c>
      <c r="B4784" s="1">
        <v>930</v>
      </c>
      <c r="C4784" s="1">
        <v>37</v>
      </c>
      <c r="D4784" t="str">
        <f>VLOOKUP(B4784,Заказы!A:C,3,0)</f>
        <v>2023-10-15 17:34:00</v>
      </c>
      <c r="E4784" t="str">
        <f>VLOOKUP(C4784,Меню!A:E,4,0)</f>
        <v>Десерт</v>
      </c>
      <c r="F4784">
        <f>VLOOKUP(C4784,Меню!A:E,5,0)</f>
        <v>100</v>
      </c>
    </row>
    <row r="4785" spans="1:6" ht="15.75" hidden="1" customHeight="1" x14ac:dyDescent="0.35">
      <c r="A4785" s="1">
        <v>4784</v>
      </c>
      <c r="B4785" s="1">
        <v>931</v>
      </c>
      <c r="C4785" s="1">
        <v>55</v>
      </c>
      <c r="D4785" t="str">
        <f>VLOOKUP(B4785,Заказы!A:C,3,0)</f>
        <v>2023-10-17 17:35:00</v>
      </c>
      <c r="E4785" t="str">
        <f>VLOOKUP(C4785,Меню!A:E,4,0)</f>
        <v>Суши</v>
      </c>
      <c r="F4785">
        <f>VLOOKUP(C4785,Меню!A:E,5,0)</f>
        <v>100</v>
      </c>
    </row>
    <row r="4786" spans="1:6" ht="15.75" hidden="1" customHeight="1" x14ac:dyDescent="0.35">
      <c r="A4786" s="1">
        <v>4785</v>
      </c>
      <c r="B4786" s="1">
        <v>931</v>
      </c>
      <c r="C4786" s="1">
        <v>44</v>
      </c>
      <c r="D4786" t="str">
        <f>VLOOKUP(B4786,Заказы!A:C,3,0)</f>
        <v>2023-10-17 17:35:00</v>
      </c>
      <c r="E4786" t="str">
        <f>VLOOKUP(C4786,Меню!A:E,4,0)</f>
        <v>Суши</v>
      </c>
      <c r="F4786">
        <f>VLOOKUP(C4786,Меню!A:E,5,0)</f>
        <v>250</v>
      </c>
    </row>
    <row r="4787" spans="1:6" ht="15.75" hidden="1" customHeight="1" x14ac:dyDescent="0.35">
      <c r="A4787" s="1">
        <v>4786</v>
      </c>
      <c r="B4787" s="1">
        <v>931</v>
      </c>
      <c r="C4787" s="1">
        <v>21</v>
      </c>
      <c r="D4787" t="str">
        <f>VLOOKUP(B4787,Заказы!A:C,3,0)</f>
        <v>2023-10-17 17:35:00</v>
      </c>
      <c r="E4787" t="str">
        <f>VLOOKUP(C4787,Меню!A:E,4,0)</f>
        <v>Салат</v>
      </c>
      <c r="F4787">
        <f>VLOOKUP(C4787,Меню!A:E,5,0)</f>
        <v>250</v>
      </c>
    </row>
    <row r="4788" spans="1:6" ht="15.75" hidden="1" customHeight="1" x14ac:dyDescent="0.35">
      <c r="A4788" s="1">
        <v>4787</v>
      </c>
      <c r="B4788" s="1">
        <v>931</v>
      </c>
      <c r="C4788" s="1">
        <v>47</v>
      </c>
      <c r="D4788" t="str">
        <f>VLOOKUP(B4788,Заказы!A:C,3,0)</f>
        <v>2023-10-17 17:35:00</v>
      </c>
      <c r="E4788" t="str">
        <f>VLOOKUP(C4788,Меню!A:E,4,0)</f>
        <v>Суши</v>
      </c>
      <c r="F4788">
        <f>VLOOKUP(C4788,Меню!A:E,5,0)</f>
        <v>200</v>
      </c>
    </row>
    <row r="4789" spans="1:6" ht="15.75" hidden="1" customHeight="1" x14ac:dyDescent="0.35">
      <c r="A4789" s="1">
        <v>4788</v>
      </c>
      <c r="B4789" s="1">
        <v>931</v>
      </c>
      <c r="C4789" s="1">
        <v>13</v>
      </c>
      <c r="D4789" t="str">
        <f>VLOOKUP(B4789,Заказы!A:C,3,0)</f>
        <v>2023-10-17 17:35:00</v>
      </c>
      <c r="E4789" t="str">
        <f>VLOOKUP(C4789,Меню!A:E,4,0)</f>
        <v>Первое</v>
      </c>
      <c r="F4789">
        <f>VLOOKUP(C4789,Меню!A:E,5,0)</f>
        <v>280</v>
      </c>
    </row>
    <row r="4790" spans="1:6" ht="15.75" hidden="1" customHeight="1" x14ac:dyDescent="0.35">
      <c r="A4790" s="1">
        <v>4789</v>
      </c>
      <c r="B4790" s="1">
        <v>931</v>
      </c>
      <c r="C4790" s="1">
        <v>44</v>
      </c>
      <c r="D4790" t="str">
        <f>VLOOKUP(B4790,Заказы!A:C,3,0)</f>
        <v>2023-10-17 17:35:00</v>
      </c>
      <c r="E4790" t="str">
        <f>VLOOKUP(C4790,Меню!A:E,4,0)</f>
        <v>Суши</v>
      </c>
      <c r="F4790">
        <f>VLOOKUP(C4790,Меню!A:E,5,0)</f>
        <v>250</v>
      </c>
    </row>
    <row r="4791" spans="1:6" ht="15.75" hidden="1" customHeight="1" x14ac:dyDescent="0.35">
      <c r="A4791" s="1">
        <v>4790</v>
      </c>
      <c r="B4791" s="1">
        <v>931</v>
      </c>
      <c r="C4791" s="1">
        <v>41</v>
      </c>
      <c r="D4791" t="str">
        <f>VLOOKUP(B4791,Заказы!A:C,3,0)</f>
        <v>2023-10-17 17:35:00</v>
      </c>
      <c r="E4791" t="str">
        <f>VLOOKUP(C4791,Меню!A:E,4,0)</f>
        <v>Суши</v>
      </c>
      <c r="F4791">
        <f>VLOOKUP(C4791,Меню!A:E,5,0)</f>
        <v>220</v>
      </c>
    </row>
    <row r="4792" spans="1:6" ht="15.75" hidden="1" customHeight="1" x14ac:dyDescent="0.35">
      <c r="A4792" s="1">
        <v>4791</v>
      </c>
      <c r="B4792" s="1">
        <v>932</v>
      </c>
      <c r="C4792" s="1">
        <v>18</v>
      </c>
      <c r="D4792" t="str">
        <f>VLOOKUP(B4792,Заказы!A:C,3,0)</f>
        <v>2023-10-17 19:54:00</v>
      </c>
      <c r="E4792" t="str">
        <f>VLOOKUP(C4792,Меню!A:E,4,0)</f>
        <v>Первое</v>
      </c>
      <c r="F4792">
        <f>VLOOKUP(C4792,Меню!A:E,5,0)</f>
        <v>300</v>
      </c>
    </row>
    <row r="4793" spans="1:6" ht="15.75" hidden="1" customHeight="1" x14ac:dyDescent="0.35">
      <c r="A4793" s="1">
        <v>4792</v>
      </c>
      <c r="B4793" s="1">
        <v>932</v>
      </c>
      <c r="C4793" s="1">
        <v>14</v>
      </c>
      <c r="D4793" t="str">
        <f>VLOOKUP(B4793,Заказы!A:C,3,0)</f>
        <v>2023-10-17 19:54:00</v>
      </c>
      <c r="E4793" t="str">
        <f>VLOOKUP(C4793,Меню!A:E,4,0)</f>
        <v>Первое</v>
      </c>
      <c r="F4793">
        <f>VLOOKUP(C4793,Меню!A:E,5,0)</f>
        <v>350</v>
      </c>
    </row>
    <row r="4794" spans="1:6" ht="15.75" hidden="1" customHeight="1" x14ac:dyDescent="0.35">
      <c r="A4794" s="1">
        <v>4793</v>
      </c>
      <c r="B4794" s="1">
        <v>932</v>
      </c>
      <c r="C4794" s="1">
        <v>60</v>
      </c>
      <c r="D4794" t="str">
        <f>VLOOKUP(B4794,Заказы!A:C,3,0)</f>
        <v>2023-10-17 19:54:00</v>
      </c>
      <c r="E4794" t="str">
        <f>VLOOKUP(C4794,Меню!A:E,4,0)</f>
        <v>Суши</v>
      </c>
      <c r="F4794">
        <f>VLOOKUP(C4794,Меню!A:E,5,0)</f>
        <v>250</v>
      </c>
    </row>
    <row r="4795" spans="1:6" ht="15.75" hidden="1" customHeight="1" x14ac:dyDescent="0.35">
      <c r="A4795" s="1">
        <v>4794</v>
      </c>
      <c r="B4795" s="1">
        <v>933</v>
      </c>
      <c r="C4795" s="1">
        <v>18</v>
      </c>
      <c r="D4795" t="str">
        <f>VLOOKUP(B4795,Заказы!A:C,3,0)</f>
        <v>2023-10-17 20:43:00</v>
      </c>
      <c r="E4795" t="str">
        <f>VLOOKUP(C4795,Меню!A:E,4,0)</f>
        <v>Первое</v>
      </c>
      <c r="F4795">
        <f>VLOOKUP(C4795,Меню!A:E,5,0)</f>
        <v>300</v>
      </c>
    </row>
    <row r="4796" spans="1:6" ht="15.75" hidden="1" customHeight="1" x14ac:dyDescent="0.35">
      <c r="A4796" s="1">
        <v>4795</v>
      </c>
      <c r="B4796" s="1">
        <v>933</v>
      </c>
      <c r="C4796" s="1">
        <v>14</v>
      </c>
      <c r="D4796" t="str">
        <f>VLOOKUP(B4796,Заказы!A:C,3,0)</f>
        <v>2023-10-17 20:43:00</v>
      </c>
      <c r="E4796" t="str">
        <f>VLOOKUP(C4796,Меню!A:E,4,0)</f>
        <v>Первое</v>
      </c>
      <c r="F4796">
        <f>VLOOKUP(C4796,Меню!A:E,5,0)</f>
        <v>350</v>
      </c>
    </row>
    <row r="4797" spans="1:6" ht="15.75" hidden="1" customHeight="1" x14ac:dyDescent="0.35">
      <c r="A4797" s="1">
        <v>4796</v>
      </c>
      <c r="B4797" s="1">
        <v>933</v>
      </c>
      <c r="C4797" s="1">
        <v>15</v>
      </c>
      <c r="D4797" t="str">
        <f>VLOOKUP(B4797,Заказы!A:C,3,0)</f>
        <v>2023-10-17 20:43:00</v>
      </c>
      <c r="E4797" t="str">
        <f>VLOOKUP(C4797,Меню!A:E,4,0)</f>
        <v>Первое</v>
      </c>
      <c r="F4797">
        <f>VLOOKUP(C4797,Меню!A:E,5,0)</f>
        <v>250</v>
      </c>
    </row>
    <row r="4798" spans="1:6" ht="15.75" hidden="1" customHeight="1" x14ac:dyDescent="0.35">
      <c r="A4798" s="1">
        <v>4797</v>
      </c>
      <c r="B4798" s="1">
        <v>933</v>
      </c>
      <c r="C4798" s="1">
        <v>51</v>
      </c>
      <c r="D4798" t="str">
        <f>VLOOKUP(B4798,Заказы!A:C,3,0)</f>
        <v>2023-10-17 20:43:00</v>
      </c>
      <c r="E4798" t="str">
        <f>VLOOKUP(C4798,Меню!A:E,4,0)</f>
        <v>Суши</v>
      </c>
      <c r="F4798">
        <f>VLOOKUP(C4798,Меню!A:E,5,0)</f>
        <v>100</v>
      </c>
    </row>
    <row r="4799" spans="1:6" ht="15.75" hidden="1" customHeight="1" x14ac:dyDescent="0.35">
      <c r="A4799" s="1">
        <v>4798</v>
      </c>
      <c r="B4799" s="1">
        <v>933</v>
      </c>
      <c r="C4799" s="1">
        <v>17</v>
      </c>
      <c r="D4799" t="str">
        <f>VLOOKUP(B4799,Заказы!A:C,3,0)</f>
        <v>2023-10-17 20:43:00</v>
      </c>
      <c r="E4799" t="str">
        <f>VLOOKUP(C4799,Меню!A:E,4,0)</f>
        <v>Первое</v>
      </c>
      <c r="F4799">
        <f>VLOOKUP(C4799,Меню!A:E,5,0)</f>
        <v>250</v>
      </c>
    </row>
    <row r="4800" spans="1:6" ht="15.75" hidden="1" customHeight="1" x14ac:dyDescent="0.35">
      <c r="A4800" s="1">
        <v>4799</v>
      </c>
      <c r="B4800" s="1">
        <v>933</v>
      </c>
      <c r="C4800" s="1">
        <v>11</v>
      </c>
      <c r="D4800" t="str">
        <f>VLOOKUP(B4800,Заказы!A:C,3,0)</f>
        <v>2023-10-17 20:43:00</v>
      </c>
      <c r="E4800" t="str">
        <f>VLOOKUP(C4800,Меню!A:E,4,0)</f>
        <v>Первое</v>
      </c>
      <c r="F4800">
        <f>VLOOKUP(C4800,Меню!A:E,5,0)</f>
        <v>300</v>
      </c>
    </row>
    <row r="4801" spans="1:6" ht="15.75" hidden="1" customHeight="1" x14ac:dyDescent="0.35">
      <c r="A4801" s="1">
        <v>4800</v>
      </c>
      <c r="B4801" s="1">
        <v>934</v>
      </c>
      <c r="C4801" s="1">
        <v>53</v>
      </c>
      <c r="D4801" t="str">
        <f>VLOOKUP(B4801,Заказы!A:C,3,0)</f>
        <v>2023-10-17 22:49:00</v>
      </c>
      <c r="E4801" t="str">
        <f>VLOOKUP(C4801,Меню!A:E,4,0)</f>
        <v>Суши</v>
      </c>
      <c r="F4801">
        <f>VLOOKUP(C4801,Меню!A:E,5,0)</f>
        <v>100</v>
      </c>
    </row>
    <row r="4802" spans="1:6" ht="15.75" hidden="1" customHeight="1" x14ac:dyDescent="0.35">
      <c r="A4802" s="1">
        <v>4801</v>
      </c>
      <c r="B4802" s="1">
        <v>934</v>
      </c>
      <c r="C4802" s="1">
        <v>6</v>
      </c>
      <c r="D4802" t="str">
        <f>VLOOKUP(B4802,Заказы!A:C,3,0)</f>
        <v>2023-10-17 22:49:00</v>
      </c>
      <c r="E4802" t="str">
        <f>VLOOKUP(C4802,Меню!A:E,4,0)</f>
        <v>Завтрак</v>
      </c>
      <c r="F4802">
        <f>VLOOKUP(C4802,Меню!A:E,5,0)</f>
        <v>300</v>
      </c>
    </row>
    <row r="4803" spans="1:6" ht="15.75" hidden="1" customHeight="1" x14ac:dyDescent="0.35">
      <c r="A4803" s="1">
        <v>4802</v>
      </c>
      <c r="B4803" s="1">
        <v>934</v>
      </c>
      <c r="C4803" s="1">
        <v>15</v>
      </c>
      <c r="D4803" t="str">
        <f>VLOOKUP(B4803,Заказы!A:C,3,0)</f>
        <v>2023-10-17 22:49:00</v>
      </c>
      <c r="E4803" t="str">
        <f>VLOOKUP(C4803,Меню!A:E,4,0)</f>
        <v>Первое</v>
      </c>
      <c r="F4803">
        <f>VLOOKUP(C4803,Меню!A:E,5,0)</f>
        <v>250</v>
      </c>
    </row>
    <row r="4804" spans="1:6" ht="15.75" hidden="1" customHeight="1" x14ac:dyDescent="0.35">
      <c r="A4804" s="1">
        <v>4803</v>
      </c>
      <c r="B4804" s="1">
        <v>934</v>
      </c>
      <c r="C4804" s="1">
        <v>38</v>
      </c>
      <c r="D4804" t="str">
        <f>VLOOKUP(B4804,Заказы!A:C,3,0)</f>
        <v>2023-10-17 22:49:00</v>
      </c>
      <c r="E4804" t="str">
        <f>VLOOKUP(C4804,Меню!A:E,4,0)</f>
        <v>Десерт</v>
      </c>
      <c r="F4804">
        <f>VLOOKUP(C4804,Меню!A:E,5,0)</f>
        <v>150</v>
      </c>
    </row>
    <row r="4805" spans="1:6" ht="15.75" hidden="1" customHeight="1" x14ac:dyDescent="0.35">
      <c r="A4805" s="1">
        <v>4804</v>
      </c>
      <c r="B4805" s="1">
        <v>935</v>
      </c>
      <c r="C4805" s="1">
        <v>48</v>
      </c>
      <c r="D4805" t="str">
        <f>VLOOKUP(B4805,Заказы!A:C,3,0)</f>
        <v>2023-10-18 15:17:00</v>
      </c>
      <c r="E4805" t="str">
        <f>VLOOKUP(C4805,Меню!A:E,4,0)</f>
        <v>Суши</v>
      </c>
      <c r="F4805">
        <f>VLOOKUP(C4805,Меню!A:E,5,0)</f>
        <v>200</v>
      </c>
    </row>
    <row r="4806" spans="1:6" ht="15.75" hidden="1" customHeight="1" x14ac:dyDescent="0.35">
      <c r="A4806" s="1">
        <v>4805</v>
      </c>
      <c r="B4806" s="1">
        <v>935</v>
      </c>
      <c r="C4806" s="1">
        <v>3</v>
      </c>
      <c r="D4806" t="str">
        <f>VLOOKUP(B4806,Заказы!A:C,3,0)</f>
        <v>2023-10-18 15:17:00</v>
      </c>
      <c r="E4806" t="str">
        <f>VLOOKUP(C4806,Меню!A:E,4,0)</f>
        <v>Завтрак</v>
      </c>
      <c r="F4806">
        <f>VLOOKUP(C4806,Меню!A:E,5,0)</f>
        <v>150</v>
      </c>
    </row>
    <row r="4807" spans="1:6" ht="15.75" hidden="1" customHeight="1" x14ac:dyDescent="0.35">
      <c r="A4807" s="1">
        <v>4806</v>
      </c>
      <c r="B4807" s="1">
        <v>935</v>
      </c>
      <c r="C4807" s="1">
        <v>20</v>
      </c>
      <c r="D4807" t="str">
        <f>VLOOKUP(B4807,Заказы!A:C,3,0)</f>
        <v>2023-10-18 15:17:00</v>
      </c>
      <c r="E4807" t="str">
        <f>VLOOKUP(C4807,Меню!A:E,4,0)</f>
        <v>Первое</v>
      </c>
      <c r="F4807">
        <f>VLOOKUP(C4807,Меню!A:E,5,0)</f>
        <v>250</v>
      </c>
    </row>
    <row r="4808" spans="1:6" ht="15.75" hidden="1" customHeight="1" x14ac:dyDescent="0.35">
      <c r="A4808" s="1">
        <v>4807</v>
      </c>
      <c r="B4808" s="1">
        <v>935</v>
      </c>
      <c r="C4808" s="1">
        <v>53</v>
      </c>
      <c r="D4808" t="str">
        <f>VLOOKUP(B4808,Заказы!A:C,3,0)</f>
        <v>2023-10-18 15:17:00</v>
      </c>
      <c r="E4808" t="str">
        <f>VLOOKUP(C4808,Меню!A:E,4,0)</f>
        <v>Суши</v>
      </c>
      <c r="F4808">
        <f>VLOOKUP(C4808,Меню!A:E,5,0)</f>
        <v>100</v>
      </c>
    </row>
    <row r="4809" spans="1:6" ht="15.75" hidden="1" customHeight="1" x14ac:dyDescent="0.35">
      <c r="A4809" s="1">
        <v>4808</v>
      </c>
      <c r="B4809" s="1">
        <v>936</v>
      </c>
      <c r="C4809" s="1">
        <v>53</v>
      </c>
      <c r="D4809" t="str">
        <f>VLOOKUP(B4809,Заказы!A:C,3,0)</f>
        <v>2023-10-18 15:52:00</v>
      </c>
      <c r="E4809" t="str">
        <f>VLOOKUP(C4809,Меню!A:E,4,0)</f>
        <v>Суши</v>
      </c>
      <c r="F4809">
        <f>VLOOKUP(C4809,Меню!A:E,5,0)</f>
        <v>100</v>
      </c>
    </row>
    <row r="4810" spans="1:6" ht="15.75" hidden="1" customHeight="1" x14ac:dyDescent="0.35">
      <c r="A4810" s="1">
        <v>4809</v>
      </c>
      <c r="B4810" s="1">
        <v>936</v>
      </c>
      <c r="C4810" s="1">
        <v>34</v>
      </c>
      <c r="D4810" t="str">
        <f>VLOOKUP(B4810,Заказы!A:C,3,0)</f>
        <v>2023-10-18 15:52:00</v>
      </c>
      <c r="E4810" t="str">
        <f>VLOOKUP(C4810,Меню!A:E,4,0)</f>
        <v>Десерт</v>
      </c>
      <c r="F4810">
        <f>VLOOKUP(C4810,Меню!A:E,5,0)</f>
        <v>150</v>
      </c>
    </row>
    <row r="4811" spans="1:6" ht="15.75" hidden="1" customHeight="1" x14ac:dyDescent="0.35">
      <c r="A4811" s="1">
        <v>4810</v>
      </c>
      <c r="B4811" s="1">
        <v>936</v>
      </c>
      <c r="C4811" s="1">
        <v>22</v>
      </c>
      <c r="D4811" t="str">
        <f>VLOOKUP(B4811,Заказы!A:C,3,0)</f>
        <v>2023-10-18 15:52:00</v>
      </c>
      <c r="E4811" t="str">
        <f>VLOOKUP(C4811,Меню!A:E,4,0)</f>
        <v>Салат</v>
      </c>
      <c r="F4811">
        <f>VLOOKUP(C4811,Меню!A:E,5,0)</f>
        <v>250</v>
      </c>
    </row>
    <row r="4812" spans="1:6" ht="15.75" hidden="1" customHeight="1" x14ac:dyDescent="0.35">
      <c r="A4812" s="1">
        <v>4811</v>
      </c>
      <c r="B4812" s="1">
        <v>936</v>
      </c>
      <c r="C4812" s="1">
        <v>11</v>
      </c>
      <c r="D4812" t="str">
        <f>VLOOKUP(B4812,Заказы!A:C,3,0)</f>
        <v>2023-10-18 15:52:00</v>
      </c>
      <c r="E4812" t="str">
        <f>VLOOKUP(C4812,Меню!A:E,4,0)</f>
        <v>Первое</v>
      </c>
      <c r="F4812">
        <f>VLOOKUP(C4812,Меню!A:E,5,0)</f>
        <v>300</v>
      </c>
    </row>
    <row r="4813" spans="1:6" ht="15.75" hidden="1" customHeight="1" x14ac:dyDescent="0.35">
      <c r="A4813" s="1">
        <v>4812</v>
      </c>
      <c r="B4813" s="1">
        <v>936</v>
      </c>
      <c r="C4813" s="1">
        <v>36</v>
      </c>
      <c r="D4813" t="str">
        <f>VLOOKUP(B4813,Заказы!A:C,3,0)</f>
        <v>2023-10-18 15:52:00</v>
      </c>
      <c r="E4813" t="str">
        <f>VLOOKUP(C4813,Меню!A:E,4,0)</f>
        <v>Десерт</v>
      </c>
      <c r="F4813">
        <f>VLOOKUP(C4813,Меню!A:E,5,0)</f>
        <v>150</v>
      </c>
    </row>
    <row r="4814" spans="1:6" ht="15.75" hidden="1" customHeight="1" x14ac:dyDescent="0.35">
      <c r="A4814" s="1">
        <v>4813</v>
      </c>
      <c r="B4814" s="1">
        <v>936</v>
      </c>
      <c r="C4814" s="1">
        <v>14</v>
      </c>
      <c r="D4814" t="str">
        <f>VLOOKUP(B4814,Заказы!A:C,3,0)</f>
        <v>2023-10-18 15:52:00</v>
      </c>
      <c r="E4814" t="str">
        <f>VLOOKUP(C4814,Меню!A:E,4,0)</f>
        <v>Первое</v>
      </c>
      <c r="F4814">
        <f>VLOOKUP(C4814,Меню!A:E,5,0)</f>
        <v>350</v>
      </c>
    </row>
    <row r="4815" spans="1:6" ht="15.75" hidden="1" customHeight="1" x14ac:dyDescent="0.35">
      <c r="A4815" s="1">
        <v>4814</v>
      </c>
      <c r="B4815" s="1">
        <v>936</v>
      </c>
      <c r="C4815" s="1">
        <v>34</v>
      </c>
      <c r="D4815" t="str">
        <f>VLOOKUP(B4815,Заказы!A:C,3,0)</f>
        <v>2023-10-18 15:52:00</v>
      </c>
      <c r="E4815" t="str">
        <f>VLOOKUP(C4815,Меню!A:E,4,0)</f>
        <v>Десерт</v>
      </c>
      <c r="F4815">
        <f>VLOOKUP(C4815,Меню!A:E,5,0)</f>
        <v>150</v>
      </c>
    </row>
    <row r="4816" spans="1:6" ht="15.75" hidden="1" customHeight="1" x14ac:dyDescent="0.35">
      <c r="A4816" s="1">
        <v>4815</v>
      </c>
      <c r="B4816" s="1">
        <v>936</v>
      </c>
      <c r="C4816" s="1">
        <v>47</v>
      </c>
      <c r="D4816" t="str">
        <f>VLOOKUP(B4816,Заказы!A:C,3,0)</f>
        <v>2023-10-18 15:52:00</v>
      </c>
      <c r="E4816" t="str">
        <f>VLOOKUP(C4816,Меню!A:E,4,0)</f>
        <v>Суши</v>
      </c>
      <c r="F4816">
        <f>VLOOKUP(C4816,Меню!A:E,5,0)</f>
        <v>200</v>
      </c>
    </row>
    <row r="4817" spans="1:6" ht="15.75" hidden="1" customHeight="1" x14ac:dyDescent="0.35">
      <c r="A4817" s="1">
        <v>4816</v>
      </c>
      <c r="B4817" s="1">
        <v>937</v>
      </c>
      <c r="C4817" s="1">
        <v>6</v>
      </c>
      <c r="D4817" t="str">
        <f>VLOOKUP(B4817,Заказы!A:C,3,0)</f>
        <v>2023-10-18 18:34:00</v>
      </c>
      <c r="E4817" t="str">
        <f>VLOOKUP(C4817,Меню!A:E,4,0)</f>
        <v>Завтрак</v>
      </c>
      <c r="F4817">
        <f>VLOOKUP(C4817,Меню!A:E,5,0)</f>
        <v>300</v>
      </c>
    </row>
    <row r="4818" spans="1:6" ht="15.75" hidden="1" customHeight="1" x14ac:dyDescent="0.35">
      <c r="A4818" s="1">
        <v>4817</v>
      </c>
      <c r="B4818" s="1">
        <v>937</v>
      </c>
      <c r="C4818" s="1">
        <v>33</v>
      </c>
      <c r="D4818" t="str">
        <f>VLOOKUP(B4818,Заказы!A:C,3,0)</f>
        <v>2023-10-18 18:34:00</v>
      </c>
      <c r="E4818" t="str">
        <f>VLOOKUP(C4818,Меню!A:E,4,0)</f>
        <v>Десерт</v>
      </c>
      <c r="F4818">
        <f>VLOOKUP(C4818,Меню!A:E,5,0)</f>
        <v>150</v>
      </c>
    </row>
    <row r="4819" spans="1:6" ht="15.75" hidden="1" customHeight="1" x14ac:dyDescent="0.35">
      <c r="A4819" s="1">
        <v>4818</v>
      </c>
      <c r="B4819" s="1">
        <v>937</v>
      </c>
      <c r="C4819" s="1">
        <v>8</v>
      </c>
      <c r="D4819" t="str">
        <f>VLOOKUP(B4819,Заказы!A:C,3,0)</f>
        <v>2023-10-18 18:34:00</v>
      </c>
      <c r="E4819" t="str">
        <f>VLOOKUP(C4819,Меню!A:E,4,0)</f>
        <v>Завтрак</v>
      </c>
      <c r="F4819">
        <f>VLOOKUP(C4819,Меню!A:E,5,0)</f>
        <v>180</v>
      </c>
    </row>
    <row r="4820" spans="1:6" ht="15.75" hidden="1" customHeight="1" x14ac:dyDescent="0.35">
      <c r="A4820" s="1">
        <v>4819</v>
      </c>
      <c r="B4820" s="1">
        <v>937</v>
      </c>
      <c r="C4820" s="1">
        <v>35</v>
      </c>
      <c r="D4820" t="str">
        <f>VLOOKUP(B4820,Заказы!A:C,3,0)</f>
        <v>2023-10-18 18:34:00</v>
      </c>
      <c r="E4820" t="str">
        <f>VLOOKUP(C4820,Меню!A:E,4,0)</f>
        <v>Десерт</v>
      </c>
      <c r="F4820">
        <f>VLOOKUP(C4820,Меню!A:E,5,0)</f>
        <v>150</v>
      </c>
    </row>
    <row r="4821" spans="1:6" ht="15.75" hidden="1" customHeight="1" x14ac:dyDescent="0.35">
      <c r="A4821" s="1">
        <v>4820</v>
      </c>
      <c r="B4821" s="1">
        <v>937</v>
      </c>
      <c r="C4821" s="1">
        <v>59</v>
      </c>
      <c r="D4821" t="str">
        <f>VLOOKUP(B4821,Заказы!A:C,3,0)</f>
        <v>2023-10-18 18:34:00</v>
      </c>
      <c r="E4821" t="str">
        <f>VLOOKUP(C4821,Меню!A:E,4,0)</f>
        <v>Суши</v>
      </c>
      <c r="F4821">
        <f>VLOOKUP(C4821,Меню!A:E,5,0)</f>
        <v>300</v>
      </c>
    </row>
    <row r="4822" spans="1:6" ht="15.75" hidden="1" customHeight="1" x14ac:dyDescent="0.35">
      <c r="A4822" s="1">
        <v>4821</v>
      </c>
      <c r="B4822" s="1">
        <v>937</v>
      </c>
      <c r="C4822" s="1">
        <v>60</v>
      </c>
      <c r="D4822" t="str">
        <f>VLOOKUP(B4822,Заказы!A:C,3,0)</f>
        <v>2023-10-18 18:34:00</v>
      </c>
      <c r="E4822" t="str">
        <f>VLOOKUP(C4822,Меню!A:E,4,0)</f>
        <v>Суши</v>
      </c>
      <c r="F4822">
        <f>VLOOKUP(C4822,Меню!A:E,5,0)</f>
        <v>250</v>
      </c>
    </row>
    <row r="4823" spans="1:6" ht="15.75" hidden="1" customHeight="1" x14ac:dyDescent="0.35">
      <c r="A4823" s="1">
        <v>4822</v>
      </c>
      <c r="B4823" s="1">
        <v>937</v>
      </c>
      <c r="C4823" s="1">
        <v>12</v>
      </c>
      <c r="D4823" t="str">
        <f>VLOOKUP(B4823,Заказы!A:C,3,0)</f>
        <v>2023-10-18 18:34:00</v>
      </c>
      <c r="E4823" t="str">
        <f>VLOOKUP(C4823,Меню!A:E,4,0)</f>
        <v>Первое</v>
      </c>
      <c r="F4823">
        <f>VLOOKUP(C4823,Меню!A:E,5,0)</f>
        <v>300</v>
      </c>
    </row>
    <row r="4824" spans="1:6" ht="15.75" hidden="1" customHeight="1" x14ac:dyDescent="0.35">
      <c r="A4824" s="1">
        <v>4823</v>
      </c>
      <c r="B4824" s="1">
        <v>937</v>
      </c>
      <c r="C4824" s="1">
        <v>1</v>
      </c>
      <c r="D4824" t="str">
        <f>VLOOKUP(B4824,Заказы!A:C,3,0)</f>
        <v>2023-10-18 18:34:00</v>
      </c>
      <c r="E4824" t="str">
        <f>VLOOKUP(C4824,Меню!A:E,4,0)</f>
        <v>Завтрак</v>
      </c>
      <c r="F4824">
        <f>VLOOKUP(C4824,Меню!A:E,5,0)</f>
        <v>200</v>
      </c>
    </row>
    <row r="4825" spans="1:6" ht="15.75" hidden="1" customHeight="1" x14ac:dyDescent="0.35">
      <c r="A4825" s="1">
        <v>4824</v>
      </c>
      <c r="B4825" s="1">
        <v>937</v>
      </c>
      <c r="C4825" s="1">
        <v>46</v>
      </c>
      <c r="D4825" t="str">
        <f>VLOOKUP(B4825,Заказы!A:C,3,0)</f>
        <v>2023-10-18 18:34:00</v>
      </c>
      <c r="E4825" t="str">
        <f>VLOOKUP(C4825,Меню!A:E,4,0)</f>
        <v>Суши</v>
      </c>
      <c r="F4825">
        <f>VLOOKUP(C4825,Меню!A:E,5,0)</f>
        <v>200</v>
      </c>
    </row>
    <row r="4826" spans="1:6" ht="15.75" hidden="1" customHeight="1" x14ac:dyDescent="0.35">
      <c r="A4826" s="1">
        <v>4825</v>
      </c>
      <c r="B4826" s="1">
        <v>937</v>
      </c>
      <c r="C4826" s="1">
        <v>39</v>
      </c>
      <c r="D4826" t="str">
        <f>VLOOKUP(B4826,Заказы!A:C,3,0)</f>
        <v>2023-10-18 18:34:00</v>
      </c>
      <c r="E4826" t="str">
        <f>VLOOKUP(C4826,Меню!A:E,4,0)</f>
        <v>Десерт</v>
      </c>
      <c r="F4826">
        <f>VLOOKUP(C4826,Меню!A:E,5,0)</f>
        <v>150</v>
      </c>
    </row>
    <row r="4827" spans="1:6" ht="15.75" hidden="1" customHeight="1" x14ac:dyDescent="0.35">
      <c r="A4827" s="1">
        <v>4826</v>
      </c>
      <c r="B4827" s="1">
        <v>938</v>
      </c>
      <c r="C4827" s="1">
        <v>47</v>
      </c>
      <c r="D4827" t="str">
        <f>VLOOKUP(B4827,Заказы!A:C,3,0)</f>
        <v>2023-10-18 20:12:00</v>
      </c>
      <c r="E4827" t="str">
        <f>VLOOKUP(C4827,Меню!A:E,4,0)</f>
        <v>Суши</v>
      </c>
      <c r="F4827">
        <f>VLOOKUP(C4827,Меню!A:E,5,0)</f>
        <v>200</v>
      </c>
    </row>
    <row r="4828" spans="1:6" ht="15.75" hidden="1" customHeight="1" x14ac:dyDescent="0.35">
      <c r="A4828" s="1">
        <v>4827</v>
      </c>
      <c r="B4828" s="1">
        <v>938</v>
      </c>
      <c r="C4828" s="1">
        <v>46</v>
      </c>
      <c r="D4828" t="str">
        <f>VLOOKUP(B4828,Заказы!A:C,3,0)</f>
        <v>2023-10-18 20:12:00</v>
      </c>
      <c r="E4828" t="str">
        <f>VLOOKUP(C4828,Меню!A:E,4,0)</f>
        <v>Суши</v>
      </c>
      <c r="F4828">
        <f>VLOOKUP(C4828,Меню!A:E,5,0)</f>
        <v>200</v>
      </c>
    </row>
    <row r="4829" spans="1:6" ht="15.75" hidden="1" customHeight="1" x14ac:dyDescent="0.35">
      <c r="A4829" s="1">
        <v>4828</v>
      </c>
      <c r="B4829" s="1">
        <v>938</v>
      </c>
      <c r="C4829" s="1">
        <v>39</v>
      </c>
      <c r="D4829" t="str">
        <f>VLOOKUP(B4829,Заказы!A:C,3,0)</f>
        <v>2023-10-18 20:12:00</v>
      </c>
      <c r="E4829" t="str">
        <f>VLOOKUP(C4829,Меню!A:E,4,0)</f>
        <v>Десерт</v>
      </c>
      <c r="F4829">
        <f>VLOOKUP(C4829,Меню!A:E,5,0)</f>
        <v>150</v>
      </c>
    </row>
    <row r="4830" spans="1:6" ht="15.75" hidden="1" customHeight="1" x14ac:dyDescent="0.35">
      <c r="A4830" s="1">
        <v>4829</v>
      </c>
      <c r="B4830" s="1">
        <v>938</v>
      </c>
      <c r="C4830" s="1">
        <v>56</v>
      </c>
      <c r="D4830" t="str">
        <f>VLOOKUP(B4830,Заказы!A:C,3,0)</f>
        <v>2023-10-18 20:12:00</v>
      </c>
      <c r="E4830" t="str">
        <f>VLOOKUP(C4830,Меню!A:E,4,0)</f>
        <v>Суши</v>
      </c>
      <c r="F4830">
        <f>VLOOKUP(C4830,Меню!A:E,5,0)</f>
        <v>200</v>
      </c>
    </row>
    <row r="4831" spans="1:6" ht="15.75" hidden="1" customHeight="1" x14ac:dyDescent="0.35">
      <c r="A4831" s="1">
        <v>4830</v>
      </c>
      <c r="B4831" s="1">
        <v>938</v>
      </c>
      <c r="C4831" s="1">
        <v>10</v>
      </c>
      <c r="D4831" t="str">
        <f>VLOOKUP(B4831,Заказы!A:C,3,0)</f>
        <v>2023-10-18 20:12:00</v>
      </c>
      <c r="E4831" t="str">
        <f>VLOOKUP(C4831,Меню!A:E,4,0)</f>
        <v>Завтрак</v>
      </c>
      <c r="F4831">
        <f>VLOOKUP(C4831,Меню!A:E,5,0)</f>
        <v>200</v>
      </c>
    </row>
    <row r="4832" spans="1:6" ht="15.75" hidden="1" customHeight="1" x14ac:dyDescent="0.35">
      <c r="A4832" s="1">
        <v>4831</v>
      </c>
      <c r="B4832" s="1">
        <v>938</v>
      </c>
      <c r="C4832" s="1">
        <v>35</v>
      </c>
      <c r="D4832" t="str">
        <f>VLOOKUP(B4832,Заказы!A:C,3,0)</f>
        <v>2023-10-18 20:12:00</v>
      </c>
      <c r="E4832" t="str">
        <f>VLOOKUP(C4832,Меню!A:E,4,0)</f>
        <v>Десерт</v>
      </c>
      <c r="F4832">
        <f>VLOOKUP(C4832,Меню!A:E,5,0)</f>
        <v>150</v>
      </c>
    </row>
    <row r="4833" spans="1:6" ht="15.75" hidden="1" customHeight="1" x14ac:dyDescent="0.35">
      <c r="A4833" s="1">
        <v>4832</v>
      </c>
      <c r="B4833" s="1">
        <v>939</v>
      </c>
      <c r="C4833" s="1">
        <v>19</v>
      </c>
      <c r="D4833" t="str">
        <f>VLOOKUP(B4833,Заказы!A:C,3,0)</f>
        <v>2023-10-19 16:14:00</v>
      </c>
      <c r="E4833" t="str">
        <f>VLOOKUP(C4833,Меню!A:E,4,0)</f>
        <v>Первое</v>
      </c>
      <c r="F4833">
        <f>VLOOKUP(C4833,Меню!A:E,5,0)</f>
        <v>300</v>
      </c>
    </row>
    <row r="4834" spans="1:6" ht="15.75" hidden="1" customHeight="1" x14ac:dyDescent="0.35">
      <c r="A4834" s="1">
        <v>4833</v>
      </c>
      <c r="B4834" s="1">
        <v>939</v>
      </c>
      <c r="C4834" s="1">
        <v>8</v>
      </c>
      <c r="D4834" t="str">
        <f>VLOOKUP(B4834,Заказы!A:C,3,0)</f>
        <v>2023-10-19 16:14:00</v>
      </c>
      <c r="E4834" t="str">
        <f>VLOOKUP(C4834,Меню!A:E,4,0)</f>
        <v>Завтрак</v>
      </c>
      <c r="F4834">
        <f>VLOOKUP(C4834,Меню!A:E,5,0)</f>
        <v>180</v>
      </c>
    </row>
    <row r="4835" spans="1:6" ht="15.75" hidden="1" customHeight="1" x14ac:dyDescent="0.35">
      <c r="A4835" s="1">
        <v>4834</v>
      </c>
      <c r="B4835" s="1">
        <v>940</v>
      </c>
      <c r="C4835" s="1">
        <v>46</v>
      </c>
      <c r="D4835" t="str">
        <f>VLOOKUP(B4835,Заказы!A:C,3,0)</f>
        <v>2023-10-19 17:09:00</v>
      </c>
      <c r="E4835" t="str">
        <f>VLOOKUP(C4835,Меню!A:E,4,0)</f>
        <v>Суши</v>
      </c>
      <c r="F4835">
        <f>VLOOKUP(C4835,Меню!A:E,5,0)</f>
        <v>200</v>
      </c>
    </row>
    <row r="4836" spans="1:6" ht="15.75" hidden="1" customHeight="1" x14ac:dyDescent="0.35">
      <c r="A4836" s="1">
        <v>4835</v>
      </c>
      <c r="B4836" s="1">
        <v>940</v>
      </c>
      <c r="C4836" s="1">
        <v>33</v>
      </c>
      <c r="D4836" t="str">
        <f>VLOOKUP(B4836,Заказы!A:C,3,0)</f>
        <v>2023-10-19 17:09:00</v>
      </c>
      <c r="E4836" t="str">
        <f>VLOOKUP(C4836,Меню!A:E,4,0)</f>
        <v>Десерт</v>
      </c>
      <c r="F4836">
        <f>VLOOKUP(C4836,Меню!A:E,5,0)</f>
        <v>150</v>
      </c>
    </row>
    <row r="4837" spans="1:6" ht="15.75" hidden="1" customHeight="1" x14ac:dyDescent="0.35">
      <c r="A4837" s="1">
        <v>4836</v>
      </c>
      <c r="B4837" s="1">
        <v>940</v>
      </c>
      <c r="C4837" s="1">
        <v>19</v>
      </c>
      <c r="D4837" t="str">
        <f>VLOOKUP(B4837,Заказы!A:C,3,0)</f>
        <v>2023-10-19 17:09:00</v>
      </c>
      <c r="E4837" t="str">
        <f>VLOOKUP(C4837,Меню!A:E,4,0)</f>
        <v>Первое</v>
      </c>
      <c r="F4837">
        <f>VLOOKUP(C4837,Меню!A:E,5,0)</f>
        <v>300</v>
      </c>
    </row>
    <row r="4838" spans="1:6" ht="15.75" hidden="1" customHeight="1" x14ac:dyDescent="0.35">
      <c r="A4838" s="1">
        <v>4837</v>
      </c>
      <c r="B4838" s="1">
        <v>940</v>
      </c>
      <c r="C4838" s="1">
        <v>17</v>
      </c>
      <c r="D4838" t="str">
        <f>VLOOKUP(B4838,Заказы!A:C,3,0)</f>
        <v>2023-10-19 17:09:00</v>
      </c>
      <c r="E4838" t="str">
        <f>VLOOKUP(C4838,Меню!A:E,4,0)</f>
        <v>Первое</v>
      </c>
      <c r="F4838">
        <f>VLOOKUP(C4838,Меню!A:E,5,0)</f>
        <v>250</v>
      </c>
    </row>
    <row r="4839" spans="1:6" ht="15.75" hidden="1" customHeight="1" x14ac:dyDescent="0.35">
      <c r="A4839" s="1">
        <v>4838</v>
      </c>
      <c r="B4839" s="1">
        <v>940</v>
      </c>
      <c r="C4839" s="1">
        <v>22</v>
      </c>
      <c r="D4839" t="str">
        <f>VLOOKUP(B4839,Заказы!A:C,3,0)</f>
        <v>2023-10-19 17:09:00</v>
      </c>
      <c r="E4839" t="str">
        <f>VLOOKUP(C4839,Меню!A:E,4,0)</f>
        <v>Салат</v>
      </c>
      <c r="F4839">
        <f>VLOOKUP(C4839,Меню!A:E,5,0)</f>
        <v>250</v>
      </c>
    </row>
    <row r="4840" spans="1:6" ht="15.75" hidden="1" customHeight="1" x14ac:dyDescent="0.35">
      <c r="A4840" s="1">
        <v>4839</v>
      </c>
      <c r="B4840" s="1">
        <v>940</v>
      </c>
      <c r="C4840" s="1">
        <v>33</v>
      </c>
      <c r="D4840" t="str">
        <f>VLOOKUP(B4840,Заказы!A:C,3,0)</f>
        <v>2023-10-19 17:09:00</v>
      </c>
      <c r="E4840" t="str">
        <f>VLOOKUP(C4840,Меню!A:E,4,0)</f>
        <v>Десерт</v>
      </c>
      <c r="F4840">
        <f>VLOOKUP(C4840,Меню!A:E,5,0)</f>
        <v>150</v>
      </c>
    </row>
    <row r="4841" spans="1:6" ht="15.75" hidden="1" customHeight="1" x14ac:dyDescent="0.35">
      <c r="A4841" s="1">
        <v>4840</v>
      </c>
      <c r="B4841" s="1">
        <v>940</v>
      </c>
      <c r="C4841" s="1">
        <v>5</v>
      </c>
      <c r="D4841" t="str">
        <f>VLOOKUP(B4841,Заказы!A:C,3,0)</f>
        <v>2023-10-19 17:09:00</v>
      </c>
      <c r="E4841" t="str">
        <f>VLOOKUP(C4841,Меню!A:E,4,0)</f>
        <v>Завтрак</v>
      </c>
      <c r="F4841">
        <f>VLOOKUP(C4841,Меню!A:E,5,0)</f>
        <v>220</v>
      </c>
    </row>
    <row r="4842" spans="1:6" ht="15.75" hidden="1" customHeight="1" x14ac:dyDescent="0.35">
      <c r="A4842" s="1">
        <v>4841</v>
      </c>
      <c r="B4842" s="1">
        <v>941</v>
      </c>
      <c r="C4842" s="1">
        <v>6</v>
      </c>
      <c r="D4842" t="str">
        <f>VLOOKUP(B4842,Заказы!A:C,3,0)</f>
        <v>2023-10-19 17:35:00</v>
      </c>
      <c r="E4842" t="str">
        <f>VLOOKUP(C4842,Меню!A:E,4,0)</f>
        <v>Завтрак</v>
      </c>
      <c r="F4842">
        <f>VLOOKUP(C4842,Меню!A:E,5,0)</f>
        <v>300</v>
      </c>
    </row>
    <row r="4843" spans="1:6" ht="15.75" hidden="1" customHeight="1" x14ac:dyDescent="0.35">
      <c r="A4843" s="1">
        <v>4842</v>
      </c>
      <c r="B4843" s="1">
        <v>941</v>
      </c>
      <c r="C4843" s="1">
        <v>40</v>
      </c>
      <c r="D4843" t="str">
        <f>VLOOKUP(B4843,Заказы!A:C,3,0)</f>
        <v>2023-10-19 17:35:00</v>
      </c>
      <c r="E4843" t="str">
        <f>VLOOKUP(C4843,Меню!A:E,4,0)</f>
        <v>Десерт</v>
      </c>
      <c r="F4843">
        <f>VLOOKUP(C4843,Меню!A:E,5,0)</f>
        <v>150</v>
      </c>
    </row>
    <row r="4844" spans="1:6" ht="15.75" hidden="1" customHeight="1" x14ac:dyDescent="0.35">
      <c r="A4844" s="1">
        <v>4843</v>
      </c>
      <c r="B4844" s="1">
        <v>941</v>
      </c>
      <c r="C4844" s="1">
        <v>50</v>
      </c>
      <c r="D4844" t="str">
        <f>VLOOKUP(B4844,Заказы!A:C,3,0)</f>
        <v>2023-10-19 17:35:00</v>
      </c>
      <c r="E4844" t="str">
        <f>VLOOKUP(C4844,Меню!A:E,4,0)</f>
        <v>Суши</v>
      </c>
      <c r="F4844">
        <f>VLOOKUP(C4844,Меню!A:E,5,0)</f>
        <v>200</v>
      </c>
    </row>
    <row r="4845" spans="1:6" ht="15.75" hidden="1" customHeight="1" x14ac:dyDescent="0.35">
      <c r="A4845" s="1">
        <v>4844</v>
      </c>
      <c r="B4845" s="1">
        <v>942</v>
      </c>
      <c r="C4845" s="1">
        <v>59</v>
      </c>
      <c r="D4845" t="str">
        <f>VLOOKUP(B4845,Заказы!A:C,3,0)</f>
        <v>2023-10-19 18:12:00</v>
      </c>
      <c r="E4845" t="str">
        <f>VLOOKUP(C4845,Меню!A:E,4,0)</f>
        <v>Суши</v>
      </c>
      <c r="F4845">
        <f>VLOOKUP(C4845,Меню!A:E,5,0)</f>
        <v>300</v>
      </c>
    </row>
    <row r="4846" spans="1:6" ht="15.75" hidden="1" customHeight="1" x14ac:dyDescent="0.35">
      <c r="A4846" s="1">
        <v>4845</v>
      </c>
      <c r="B4846" s="1">
        <v>942</v>
      </c>
      <c r="C4846" s="1">
        <v>58</v>
      </c>
      <c r="D4846" t="str">
        <f>VLOOKUP(B4846,Заказы!A:C,3,0)</f>
        <v>2023-10-19 18:12:00</v>
      </c>
      <c r="E4846" t="str">
        <f>VLOOKUP(C4846,Меню!A:E,4,0)</f>
        <v>Суши</v>
      </c>
      <c r="F4846">
        <f>VLOOKUP(C4846,Меню!A:E,5,0)</f>
        <v>200</v>
      </c>
    </row>
    <row r="4847" spans="1:6" ht="15.75" hidden="1" customHeight="1" x14ac:dyDescent="0.35">
      <c r="A4847" s="1">
        <v>4846</v>
      </c>
      <c r="B4847" s="1">
        <v>942</v>
      </c>
      <c r="C4847" s="1">
        <v>60</v>
      </c>
      <c r="D4847" t="str">
        <f>VLOOKUP(B4847,Заказы!A:C,3,0)</f>
        <v>2023-10-19 18:12:00</v>
      </c>
      <c r="E4847" t="str">
        <f>VLOOKUP(C4847,Меню!A:E,4,0)</f>
        <v>Суши</v>
      </c>
      <c r="F4847">
        <f>VLOOKUP(C4847,Меню!A:E,5,0)</f>
        <v>250</v>
      </c>
    </row>
    <row r="4848" spans="1:6" ht="15.75" hidden="1" customHeight="1" x14ac:dyDescent="0.35">
      <c r="A4848" s="1">
        <v>4847</v>
      </c>
      <c r="B4848" s="1">
        <v>942</v>
      </c>
      <c r="C4848" s="1">
        <v>37</v>
      </c>
      <c r="D4848" t="str">
        <f>VLOOKUP(B4848,Заказы!A:C,3,0)</f>
        <v>2023-10-19 18:12:00</v>
      </c>
      <c r="E4848" t="str">
        <f>VLOOKUP(C4848,Меню!A:E,4,0)</f>
        <v>Десерт</v>
      </c>
      <c r="F4848">
        <f>VLOOKUP(C4848,Меню!A:E,5,0)</f>
        <v>100</v>
      </c>
    </row>
    <row r="4849" spans="1:6" ht="15.75" hidden="1" customHeight="1" x14ac:dyDescent="0.35">
      <c r="A4849" s="1">
        <v>4848</v>
      </c>
      <c r="B4849" s="1">
        <v>942</v>
      </c>
      <c r="C4849" s="1">
        <v>37</v>
      </c>
      <c r="D4849" t="str">
        <f>VLOOKUP(B4849,Заказы!A:C,3,0)</f>
        <v>2023-10-19 18:12:00</v>
      </c>
      <c r="E4849" t="str">
        <f>VLOOKUP(C4849,Меню!A:E,4,0)</f>
        <v>Десерт</v>
      </c>
      <c r="F4849">
        <f>VLOOKUP(C4849,Меню!A:E,5,0)</f>
        <v>100</v>
      </c>
    </row>
    <row r="4850" spans="1:6" ht="15.75" hidden="1" customHeight="1" x14ac:dyDescent="0.35">
      <c r="A4850" s="1">
        <v>4849</v>
      </c>
      <c r="B4850" s="1">
        <v>943</v>
      </c>
      <c r="C4850" s="1">
        <v>21</v>
      </c>
      <c r="D4850" t="str">
        <f>VLOOKUP(B4850,Заказы!A:C,3,0)</f>
        <v>2023-10-19 18:21:00</v>
      </c>
      <c r="E4850" t="str">
        <f>VLOOKUP(C4850,Меню!A:E,4,0)</f>
        <v>Салат</v>
      </c>
      <c r="F4850">
        <f>VLOOKUP(C4850,Меню!A:E,5,0)</f>
        <v>250</v>
      </c>
    </row>
    <row r="4851" spans="1:6" ht="15.75" hidden="1" customHeight="1" x14ac:dyDescent="0.35">
      <c r="A4851" s="1">
        <v>4850</v>
      </c>
      <c r="B4851" s="1">
        <v>943</v>
      </c>
      <c r="C4851" s="1">
        <v>37</v>
      </c>
      <c r="D4851" t="str">
        <f>VLOOKUP(B4851,Заказы!A:C,3,0)</f>
        <v>2023-10-19 18:21:00</v>
      </c>
      <c r="E4851" t="str">
        <f>VLOOKUP(C4851,Меню!A:E,4,0)</f>
        <v>Десерт</v>
      </c>
      <c r="F4851">
        <f>VLOOKUP(C4851,Меню!A:E,5,0)</f>
        <v>100</v>
      </c>
    </row>
    <row r="4852" spans="1:6" ht="15.75" hidden="1" customHeight="1" x14ac:dyDescent="0.35">
      <c r="A4852" s="1">
        <v>4851</v>
      </c>
      <c r="B4852" s="1">
        <v>943</v>
      </c>
      <c r="C4852" s="1">
        <v>42</v>
      </c>
      <c r="D4852" t="str">
        <f>VLOOKUP(B4852,Заказы!A:C,3,0)</f>
        <v>2023-10-19 18:21:00</v>
      </c>
      <c r="E4852" t="str">
        <f>VLOOKUP(C4852,Меню!A:E,4,0)</f>
        <v>Суши</v>
      </c>
      <c r="F4852">
        <f>VLOOKUP(C4852,Меню!A:E,5,0)</f>
        <v>250</v>
      </c>
    </row>
    <row r="4853" spans="1:6" ht="15.75" hidden="1" customHeight="1" x14ac:dyDescent="0.35">
      <c r="A4853" s="1">
        <v>4852</v>
      </c>
      <c r="B4853" s="1">
        <v>943</v>
      </c>
      <c r="C4853" s="1">
        <v>10</v>
      </c>
      <c r="D4853" t="str">
        <f>VLOOKUP(B4853,Заказы!A:C,3,0)</f>
        <v>2023-10-19 18:21:00</v>
      </c>
      <c r="E4853" t="str">
        <f>VLOOKUP(C4853,Меню!A:E,4,0)</f>
        <v>Завтрак</v>
      </c>
      <c r="F4853">
        <f>VLOOKUP(C4853,Меню!A:E,5,0)</f>
        <v>200</v>
      </c>
    </row>
    <row r="4854" spans="1:6" ht="15.75" hidden="1" customHeight="1" x14ac:dyDescent="0.35">
      <c r="A4854" s="1">
        <v>4853</v>
      </c>
      <c r="B4854" s="1">
        <v>943</v>
      </c>
      <c r="C4854" s="1">
        <v>59</v>
      </c>
      <c r="D4854" t="str">
        <f>VLOOKUP(B4854,Заказы!A:C,3,0)</f>
        <v>2023-10-19 18:21:00</v>
      </c>
      <c r="E4854" t="str">
        <f>VLOOKUP(C4854,Меню!A:E,4,0)</f>
        <v>Суши</v>
      </c>
      <c r="F4854">
        <f>VLOOKUP(C4854,Меню!A:E,5,0)</f>
        <v>300</v>
      </c>
    </row>
    <row r="4855" spans="1:6" ht="15.75" hidden="1" customHeight="1" x14ac:dyDescent="0.35">
      <c r="A4855" s="1">
        <v>4854</v>
      </c>
      <c r="B4855" s="1">
        <v>944</v>
      </c>
      <c r="C4855" s="1">
        <v>59</v>
      </c>
      <c r="D4855" t="str">
        <f>VLOOKUP(B4855,Заказы!A:C,3,0)</f>
        <v>2023-10-19 19:14:00</v>
      </c>
      <c r="E4855" t="str">
        <f>VLOOKUP(C4855,Меню!A:E,4,0)</f>
        <v>Суши</v>
      </c>
      <c r="F4855">
        <f>VLOOKUP(C4855,Меню!A:E,5,0)</f>
        <v>300</v>
      </c>
    </row>
    <row r="4856" spans="1:6" ht="15.75" hidden="1" customHeight="1" x14ac:dyDescent="0.35">
      <c r="A4856" s="1">
        <v>4855</v>
      </c>
      <c r="B4856" s="1">
        <v>944</v>
      </c>
      <c r="C4856" s="1">
        <v>37</v>
      </c>
      <c r="D4856" t="str">
        <f>VLOOKUP(B4856,Заказы!A:C,3,0)</f>
        <v>2023-10-19 19:14:00</v>
      </c>
      <c r="E4856" t="str">
        <f>VLOOKUP(C4856,Меню!A:E,4,0)</f>
        <v>Десерт</v>
      </c>
      <c r="F4856">
        <f>VLOOKUP(C4856,Меню!A:E,5,0)</f>
        <v>100</v>
      </c>
    </row>
    <row r="4857" spans="1:6" ht="15.75" hidden="1" customHeight="1" x14ac:dyDescent="0.35">
      <c r="A4857" s="1">
        <v>4856</v>
      </c>
      <c r="B4857" s="1">
        <v>945</v>
      </c>
      <c r="C4857" s="1">
        <v>6</v>
      </c>
      <c r="D4857" t="str">
        <f>VLOOKUP(B4857,Заказы!A:C,3,0)</f>
        <v>2023-10-19 19:22:00</v>
      </c>
      <c r="E4857" t="str">
        <f>VLOOKUP(C4857,Меню!A:E,4,0)</f>
        <v>Завтрак</v>
      </c>
      <c r="F4857">
        <f>VLOOKUP(C4857,Меню!A:E,5,0)</f>
        <v>300</v>
      </c>
    </row>
    <row r="4858" spans="1:6" ht="15.75" hidden="1" customHeight="1" x14ac:dyDescent="0.35">
      <c r="A4858" s="1">
        <v>4857</v>
      </c>
      <c r="B4858" s="1">
        <v>945</v>
      </c>
      <c r="C4858" s="1">
        <v>1</v>
      </c>
      <c r="D4858" t="str">
        <f>VLOOKUP(B4858,Заказы!A:C,3,0)</f>
        <v>2023-10-19 19:22:00</v>
      </c>
      <c r="E4858" t="str">
        <f>VLOOKUP(C4858,Меню!A:E,4,0)</f>
        <v>Завтрак</v>
      </c>
      <c r="F4858">
        <f>VLOOKUP(C4858,Меню!A:E,5,0)</f>
        <v>200</v>
      </c>
    </row>
    <row r="4859" spans="1:6" ht="15.75" hidden="1" customHeight="1" x14ac:dyDescent="0.35">
      <c r="A4859" s="1">
        <v>4858</v>
      </c>
      <c r="B4859" s="1">
        <v>945</v>
      </c>
      <c r="C4859" s="1">
        <v>55</v>
      </c>
      <c r="D4859" t="str">
        <f>VLOOKUP(B4859,Заказы!A:C,3,0)</f>
        <v>2023-10-19 19:22:00</v>
      </c>
      <c r="E4859" t="str">
        <f>VLOOKUP(C4859,Меню!A:E,4,0)</f>
        <v>Суши</v>
      </c>
      <c r="F4859">
        <f>VLOOKUP(C4859,Меню!A:E,5,0)</f>
        <v>100</v>
      </c>
    </row>
    <row r="4860" spans="1:6" ht="15.75" hidden="1" customHeight="1" x14ac:dyDescent="0.35">
      <c r="A4860" s="1">
        <v>4859</v>
      </c>
      <c r="B4860" s="1">
        <v>945</v>
      </c>
      <c r="C4860" s="1">
        <v>5</v>
      </c>
      <c r="D4860" t="str">
        <f>VLOOKUP(B4860,Заказы!A:C,3,0)</f>
        <v>2023-10-19 19:22:00</v>
      </c>
      <c r="E4860" t="str">
        <f>VLOOKUP(C4860,Меню!A:E,4,0)</f>
        <v>Завтрак</v>
      </c>
      <c r="F4860">
        <f>VLOOKUP(C4860,Меню!A:E,5,0)</f>
        <v>220</v>
      </c>
    </row>
    <row r="4861" spans="1:6" ht="15.75" hidden="1" customHeight="1" x14ac:dyDescent="0.35">
      <c r="A4861" s="1">
        <v>4860</v>
      </c>
      <c r="B4861" s="1">
        <v>946</v>
      </c>
      <c r="C4861" s="1">
        <v>38</v>
      </c>
      <c r="D4861" t="str">
        <f>VLOOKUP(B4861,Заказы!A:C,3,0)</f>
        <v>2023-10-19 20:09:00</v>
      </c>
      <c r="E4861" t="str">
        <f>VLOOKUP(C4861,Меню!A:E,4,0)</f>
        <v>Десерт</v>
      </c>
      <c r="F4861">
        <f>VLOOKUP(C4861,Меню!A:E,5,0)</f>
        <v>150</v>
      </c>
    </row>
    <row r="4862" spans="1:6" ht="15.75" hidden="1" customHeight="1" x14ac:dyDescent="0.35">
      <c r="A4862" s="1">
        <v>4861</v>
      </c>
      <c r="B4862" s="1">
        <v>946</v>
      </c>
      <c r="C4862" s="1">
        <v>53</v>
      </c>
      <c r="D4862" t="str">
        <f>VLOOKUP(B4862,Заказы!A:C,3,0)</f>
        <v>2023-10-19 20:09:00</v>
      </c>
      <c r="E4862" t="str">
        <f>VLOOKUP(C4862,Меню!A:E,4,0)</f>
        <v>Суши</v>
      </c>
      <c r="F4862">
        <f>VLOOKUP(C4862,Меню!A:E,5,0)</f>
        <v>100</v>
      </c>
    </row>
    <row r="4863" spans="1:6" ht="15.75" hidden="1" customHeight="1" x14ac:dyDescent="0.35">
      <c r="A4863" s="1">
        <v>4862</v>
      </c>
      <c r="B4863" s="1">
        <v>946</v>
      </c>
      <c r="C4863" s="1">
        <v>11</v>
      </c>
      <c r="D4863" t="str">
        <f>VLOOKUP(B4863,Заказы!A:C,3,0)</f>
        <v>2023-10-19 20:09:00</v>
      </c>
      <c r="E4863" t="str">
        <f>VLOOKUP(C4863,Меню!A:E,4,0)</f>
        <v>Первое</v>
      </c>
      <c r="F4863">
        <f>VLOOKUP(C4863,Меню!A:E,5,0)</f>
        <v>300</v>
      </c>
    </row>
    <row r="4864" spans="1:6" ht="15.75" hidden="1" customHeight="1" x14ac:dyDescent="0.35">
      <c r="A4864" s="1">
        <v>4863</v>
      </c>
      <c r="B4864" s="1">
        <v>946</v>
      </c>
      <c r="C4864" s="1">
        <v>54</v>
      </c>
      <c r="D4864" t="str">
        <f>VLOOKUP(B4864,Заказы!A:C,3,0)</f>
        <v>2023-10-19 20:09:00</v>
      </c>
      <c r="E4864" t="str">
        <f>VLOOKUP(C4864,Меню!A:E,4,0)</f>
        <v>Суши</v>
      </c>
      <c r="F4864">
        <f>VLOOKUP(C4864,Меню!A:E,5,0)</f>
        <v>100</v>
      </c>
    </row>
    <row r="4865" spans="1:6" ht="15.75" hidden="1" customHeight="1" x14ac:dyDescent="0.35">
      <c r="A4865" s="1">
        <v>4864</v>
      </c>
      <c r="B4865" s="1">
        <v>946</v>
      </c>
      <c r="C4865" s="1">
        <v>24</v>
      </c>
      <c r="D4865" t="str">
        <f>VLOOKUP(B4865,Заказы!A:C,3,0)</f>
        <v>2023-10-19 20:09:00</v>
      </c>
      <c r="E4865" t="str">
        <f>VLOOKUP(C4865,Меню!A:E,4,0)</f>
        <v>Салат</v>
      </c>
      <c r="F4865">
        <f>VLOOKUP(C4865,Меню!A:E,5,0)</f>
        <v>250</v>
      </c>
    </row>
    <row r="4866" spans="1:6" ht="15.75" hidden="1" customHeight="1" x14ac:dyDescent="0.35">
      <c r="A4866" s="1">
        <v>4865</v>
      </c>
      <c r="B4866" s="1">
        <v>946</v>
      </c>
      <c r="C4866" s="1">
        <v>24</v>
      </c>
      <c r="D4866" t="str">
        <f>VLOOKUP(B4866,Заказы!A:C,3,0)</f>
        <v>2023-10-19 20:09:00</v>
      </c>
      <c r="E4866" t="str">
        <f>VLOOKUP(C4866,Меню!A:E,4,0)</f>
        <v>Салат</v>
      </c>
      <c r="F4866">
        <f>VLOOKUP(C4866,Меню!A:E,5,0)</f>
        <v>250</v>
      </c>
    </row>
    <row r="4867" spans="1:6" ht="15.75" hidden="1" customHeight="1" x14ac:dyDescent="0.35">
      <c r="A4867" s="1">
        <v>4866</v>
      </c>
      <c r="B4867" s="1">
        <v>947</v>
      </c>
      <c r="C4867" s="1">
        <v>58</v>
      </c>
      <c r="D4867" t="str">
        <f>VLOOKUP(B4867,Заказы!A:C,3,0)</f>
        <v>2023-10-19 20:45:00</v>
      </c>
      <c r="E4867" t="str">
        <f>VLOOKUP(C4867,Меню!A:E,4,0)</f>
        <v>Суши</v>
      </c>
      <c r="F4867">
        <f>VLOOKUP(C4867,Меню!A:E,5,0)</f>
        <v>200</v>
      </c>
    </row>
    <row r="4868" spans="1:6" ht="15.75" hidden="1" customHeight="1" x14ac:dyDescent="0.35">
      <c r="A4868" s="1">
        <v>4867</v>
      </c>
      <c r="B4868" s="1">
        <v>947</v>
      </c>
      <c r="C4868" s="1">
        <v>33</v>
      </c>
      <c r="D4868" t="str">
        <f>VLOOKUP(B4868,Заказы!A:C,3,0)</f>
        <v>2023-10-19 20:45:00</v>
      </c>
      <c r="E4868" t="str">
        <f>VLOOKUP(C4868,Меню!A:E,4,0)</f>
        <v>Десерт</v>
      </c>
      <c r="F4868">
        <f>VLOOKUP(C4868,Меню!A:E,5,0)</f>
        <v>150</v>
      </c>
    </row>
    <row r="4869" spans="1:6" ht="15.75" hidden="1" customHeight="1" x14ac:dyDescent="0.35">
      <c r="A4869" s="1">
        <v>4868</v>
      </c>
      <c r="B4869" s="1">
        <v>947</v>
      </c>
      <c r="C4869" s="1">
        <v>48</v>
      </c>
      <c r="D4869" t="str">
        <f>VLOOKUP(B4869,Заказы!A:C,3,0)</f>
        <v>2023-10-19 20:45:00</v>
      </c>
      <c r="E4869" t="str">
        <f>VLOOKUP(C4869,Меню!A:E,4,0)</f>
        <v>Суши</v>
      </c>
      <c r="F4869">
        <f>VLOOKUP(C4869,Меню!A:E,5,0)</f>
        <v>200</v>
      </c>
    </row>
    <row r="4870" spans="1:6" ht="15.75" hidden="1" customHeight="1" x14ac:dyDescent="0.35">
      <c r="A4870" s="1">
        <v>4869</v>
      </c>
      <c r="B4870" s="1">
        <v>947</v>
      </c>
      <c r="C4870" s="1">
        <v>56</v>
      </c>
      <c r="D4870" t="str">
        <f>VLOOKUP(B4870,Заказы!A:C,3,0)</f>
        <v>2023-10-19 20:45:00</v>
      </c>
      <c r="E4870" t="str">
        <f>VLOOKUP(C4870,Меню!A:E,4,0)</f>
        <v>Суши</v>
      </c>
      <c r="F4870">
        <f>VLOOKUP(C4870,Меню!A:E,5,0)</f>
        <v>200</v>
      </c>
    </row>
    <row r="4871" spans="1:6" ht="15.75" hidden="1" customHeight="1" x14ac:dyDescent="0.35">
      <c r="A4871" s="1">
        <v>4870</v>
      </c>
      <c r="B4871" s="1">
        <v>948</v>
      </c>
      <c r="C4871" s="1">
        <v>53</v>
      </c>
      <c r="D4871" t="str">
        <f>VLOOKUP(B4871,Заказы!A:C,3,0)</f>
        <v>2023-10-19 21:45:00</v>
      </c>
      <c r="E4871" t="str">
        <f>VLOOKUP(C4871,Меню!A:E,4,0)</f>
        <v>Суши</v>
      </c>
      <c r="F4871">
        <f>VLOOKUP(C4871,Меню!A:E,5,0)</f>
        <v>100</v>
      </c>
    </row>
    <row r="4872" spans="1:6" ht="15.75" hidden="1" customHeight="1" x14ac:dyDescent="0.35">
      <c r="A4872" s="1">
        <v>4871</v>
      </c>
      <c r="B4872" s="1">
        <v>948</v>
      </c>
      <c r="C4872" s="1">
        <v>12</v>
      </c>
      <c r="D4872" t="str">
        <f>VLOOKUP(B4872,Заказы!A:C,3,0)</f>
        <v>2023-10-19 21:45:00</v>
      </c>
      <c r="E4872" t="str">
        <f>VLOOKUP(C4872,Меню!A:E,4,0)</f>
        <v>Первое</v>
      </c>
      <c r="F4872">
        <f>VLOOKUP(C4872,Меню!A:E,5,0)</f>
        <v>300</v>
      </c>
    </row>
    <row r="4873" spans="1:6" ht="15.75" hidden="1" customHeight="1" x14ac:dyDescent="0.35">
      <c r="A4873" s="1">
        <v>4872</v>
      </c>
      <c r="B4873" s="1">
        <v>948</v>
      </c>
      <c r="C4873" s="1">
        <v>10</v>
      </c>
      <c r="D4873" t="str">
        <f>VLOOKUP(B4873,Заказы!A:C,3,0)</f>
        <v>2023-10-19 21:45:00</v>
      </c>
      <c r="E4873" t="str">
        <f>VLOOKUP(C4873,Меню!A:E,4,0)</f>
        <v>Завтрак</v>
      </c>
      <c r="F4873">
        <f>VLOOKUP(C4873,Меню!A:E,5,0)</f>
        <v>200</v>
      </c>
    </row>
    <row r="4874" spans="1:6" ht="15.75" hidden="1" customHeight="1" x14ac:dyDescent="0.35">
      <c r="A4874" s="1">
        <v>4873</v>
      </c>
      <c r="B4874" s="1">
        <v>948</v>
      </c>
      <c r="C4874" s="1">
        <v>52</v>
      </c>
      <c r="D4874" t="str">
        <f>VLOOKUP(B4874,Заказы!A:C,3,0)</f>
        <v>2023-10-19 21:45:00</v>
      </c>
      <c r="E4874" t="str">
        <f>VLOOKUP(C4874,Меню!A:E,4,0)</f>
        <v>Суши</v>
      </c>
      <c r="F4874">
        <f>VLOOKUP(C4874,Меню!A:E,5,0)</f>
        <v>100</v>
      </c>
    </row>
    <row r="4875" spans="1:6" ht="15.75" hidden="1" customHeight="1" x14ac:dyDescent="0.35">
      <c r="A4875" s="1">
        <v>4874</v>
      </c>
      <c r="B4875" s="1">
        <v>948</v>
      </c>
      <c r="C4875" s="1">
        <v>8</v>
      </c>
      <c r="D4875" t="str">
        <f>VLOOKUP(B4875,Заказы!A:C,3,0)</f>
        <v>2023-10-19 21:45:00</v>
      </c>
      <c r="E4875" t="str">
        <f>VLOOKUP(C4875,Меню!A:E,4,0)</f>
        <v>Завтрак</v>
      </c>
      <c r="F4875">
        <f>VLOOKUP(C4875,Меню!A:E,5,0)</f>
        <v>180</v>
      </c>
    </row>
    <row r="4876" spans="1:6" ht="15.75" hidden="1" customHeight="1" x14ac:dyDescent="0.35">
      <c r="A4876" s="1">
        <v>4875</v>
      </c>
      <c r="B4876" s="1">
        <v>949</v>
      </c>
      <c r="C4876" s="1">
        <v>48</v>
      </c>
      <c r="D4876" t="str">
        <f>VLOOKUP(B4876,Заказы!A:C,3,0)</f>
        <v>2023-10-20 18:50:00</v>
      </c>
      <c r="E4876" t="str">
        <f>VLOOKUP(C4876,Меню!A:E,4,0)</f>
        <v>Суши</v>
      </c>
      <c r="F4876">
        <f>VLOOKUP(C4876,Меню!A:E,5,0)</f>
        <v>200</v>
      </c>
    </row>
    <row r="4877" spans="1:6" ht="15.75" hidden="1" customHeight="1" x14ac:dyDescent="0.35">
      <c r="A4877" s="1">
        <v>4876</v>
      </c>
      <c r="B4877" s="1">
        <v>949</v>
      </c>
      <c r="C4877" s="1">
        <v>59</v>
      </c>
      <c r="D4877" t="str">
        <f>VLOOKUP(B4877,Заказы!A:C,3,0)</f>
        <v>2023-10-20 18:50:00</v>
      </c>
      <c r="E4877" t="str">
        <f>VLOOKUP(C4877,Меню!A:E,4,0)</f>
        <v>Суши</v>
      </c>
      <c r="F4877">
        <f>VLOOKUP(C4877,Меню!A:E,5,0)</f>
        <v>300</v>
      </c>
    </row>
    <row r="4878" spans="1:6" ht="15.75" hidden="1" customHeight="1" x14ac:dyDescent="0.35">
      <c r="A4878" s="1">
        <v>4877</v>
      </c>
      <c r="B4878" s="1">
        <v>949</v>
      </c>
      <c r="C4878" s="1">
        <v>24</v>
      </c>
      <c r="D4878" t="str">
        <f>VLOOKUP(B4878,Заказы!A:C,3,0)</f>
        <v>2023-10-20 18:50:00</v>
      </c>
      <c r="E4878" t="str">
        <f>VLOOKUP(C4878,Меню!A:E,4,0)</f>
        <v>Салат</v>
      </c>
      <c r="F4878">
        <f>VLOOKUP(C4878,Меню!A:E,5,0)</f>
        <v>250</v>
      </c>
    </row>
    <row r="4879" spans="1:6" ht="15.75" hidden="1" customHeight="1" x14ac:dyDescent="0.35">
      <c r="A4879" s="1">
        <v>4878</v>
      </c>
      <c r="B4879" s="1">
        <v>950</v>
      </c>
      <c r="C4879" s="1">
        <v>51</v>
      </c>
      <c r="D4879" t="str">
        <f>VLOOKUP(B4879,Заказы!A:C,3,0)</f>
        <v>2023-10-20 19:27:00</v>
      </c>
      <c r="E4879" t="str">
        <f>VLOOKUP(C4879,Меню!A:E,4,0)</f>
        <v>Суши</v>
      </c>
      <c r="F4879">
        <f>VLOOKUP(C4879,Меню!A:E,5,0)</f>
        <v>100</v>
      </c>
    </row>
    <row r="4880" spans="1:6" ht="15.75" hidden="1" customHeight="1" x14ac:dyDescent="0.35">
      <c r="A4880" s="1">
        <v>4879</v>
      </c>
      <c r="B4880" s="1">
        <v>950</v>
      </c>
      <c r="C4880" s="1">
        <v>57</v>
      </c>
      <c r="D4880" t="str">
        <f>VLOOKUP(B4880,Заказы!A:C,3,0)</f>
        <v>2023-10-20 19:27:00</v>
      </c>
      <c r="E4880" t="str">
        <f>VLOOKUP(C4880,Меню!A:E,4,0)</f>
        <v>Суши</v>
      </c>
      <c r="F4880">
        <f>VLOOKUP(C4880,Меню!A:E,5,0)</f>
        <v>200</v>
      </c>
    </row>
    <row r="4881" spans="1:6" ht="15.75" hidden="1" customHeight="1" x14ac:dyDescent="0.35">
      <c r="A4881" s="1">
        <v>4880</v>
      </c>
      <c r="B4881" s="1">
        <v>950</v>
      </c>
      <c r="C4881" s="1">
        <v>36</v>
      </c>
      <c r="D4881" t="str">
        <f>VLOOKUP(B4881,Заказы!A:C,3,0)</f>
        <v>2023-10-20 19:27:00</v>
      </c>
      <c r="E4881" t="str">
        <f>VLOOKUP(C4881,Меню!A:E,4,0)</f>
        <v>Десерт</v>
      </c>
      <c r="F4881">
        <f>VLOOKUP(C4881,Меню!A:E,5,0)</f>
        <v>150</v>
      </c>
    </row>
    <row r="4882" spans="1:6" ht="15.75" hidden="1" customHeight="1" x14ac:dyDescent="0.35">
      <c r="A4882" s="1">
        <v>4881</v>
      </c>
      <c r="B4882" s="1">
        <v>950</v>
      </c>
      <c r="C4882" s="1">
        <v>11</v>
      </c>
      <c r="D4882" t="str">
        <f>VLOOKUP(B4882,Заказы!A:C,3,0)</f>
        <v>2023-10-20 19:27:00</v>
      </c>
      <c r="E4882" t="str">
        <f>VLOOKUP(C4882,Меню!A:E,4,0)</f>
        <v>Первое</v>
      </c>
      <c r="F4882">
        <f>VLOOKUP(C4882,Меню!A:E,5,0)</f>
        <v>300</v>
      </c>
    </row>
    <row r="4883" spans="1:6" ht="15.75" hidden="1" customHeight="1" x14ac:dyDescent="0.35">
      <c r="A4883" s="1">
        <v>4882</v>
      </c>
      <c r="B4883" s="1">
        <v>950</v>
      </c>
      <c r="C4883" s="1">
        <v>57</v>
      </c>
      <c r="D4883" t="str">
        <f>VLOOKUP(B4883,Заказы!A:C,3,0)</f>
        <v>2023-10-20 19:27:00</v>
      </c>
      <c r="E4883" t="str">
        <f>VLOOKUP(C4883,Меню!A:E,4,0)</f>
        <v>Суши</v>
      </c>
      <c r="F4883">
        <f>VLOOKUP(C4883,Меню!A:E,5,0)</f>
        <v>200</v>
      </c>
    </row>
    <row r="4884" spans="1:6" ht="15.75" hidden="1" customHeight="1" x14ac:dyDescent="0.35">
      <c r="A4884" s="1">
        <v>4883</v>
      </c>
      <c r="B4884" s="1">
        <v>950</v>
      </c>
      <c r="C4884" s="1">
        <v>34</v>
      </c>
      <c r="D4884" t="str">
        <f>VLOOKUP(B4884,Заказы!A:C,3,0)</f>
        <v>2023-10-20 19:27:00</v>
      </c>
      <c r="E4884" t="str">
        <f>VLOOKUP(C4884,Меню!A:E,4,0)</f>
        <v>Десерт</v>
      </c>
      <c r="F4884">
        <f>VLOOKUP(C4884,Меню!A:E,5,0)</f>
        <v>150</v>
      </c>
    </row>
    <row r="4885" spans="1:6" ht="15.75" hidden="1" customHeight="1" x14ac:dyDescent="0.35">
      <c r="A4885" s="1">
        <v>4884</v>
      </c>
      <c r="B4885" s="1">
        <v>950</v>
      </c>
      <c r="C4885" s="1">
        <v>36</v>
      </c>
      <c r="D4885" t="str">
        <f>VLOOKUP(B4885,Заказы!A:C,3,0)</f>
        <v>2023-10-20 19:27:00</v>
      </c>
      <c r="E4885" t="str">
        <f>VLOOKUP(C4885,Меню!A:E,4,0)</f>
        <v>Десерт</v>
      </c>
      <c r="F4885">
        <f>VLOOKUP(C4885,Меню!A:E,5,0)</f>
        <v>150</v>
      </c>
    </row>
    <row r="4886" spans="1:6" ht="15.75" hidden="1" customHeight="1" x14ac:dyDescent="0.35">
      <c r="A4886" s="1">
        <v>4885</v>
      </c>
      <c r="B4886" s="1">
        <v>951</v>
      </c>
      <c r="C4886" s="1">
        <v>25</v>
      </c>
      <c r="D4886" t="str">
        <f>VLOOKUP(B4886,Заказы!A:C,3,0)</f>
        <v>2023-10-20 22:27:00</v>
      </c>
      <c r="E4886" t="str">
        <f>VLOOKUP(C4886,Меню!A:E,4,0)</f>
        <v>Салат</v>
      </c>
      <c r="F4886">
        <f>VLOOKUP(C4886,Меню!A:E,5,0)</f>
        <v>250</v>
      </c>
    </row>
    <row r="4887" spans="1:6" ht="15.75" hidden="1" customHeight="1" x14ac:dyDescent="0.35">
      <c r="A4887" s="1">
        <v>4886</v>
      </c>
      <c r="B4887" s="1">
        <v>951</v>
      </c>
      <c r="C4887" s="1">
        <v>20</v>
      </c>
      <c r="D4887" t="str">
        <f>VLOOKUP(B4887,Заказы!A:C,3,0)</f>
        <v>2023-10-20 22:27:00</v>
      </c>
      <c r="E4887" t="str">
        <f>VLOOKUP(C4887,Меню!A:E,4,0)</f>
        <v>Первое</v>
      </c>
      <c r="F4887">
        <f>VLOOKUP(C4887,Меню!A:E,5,0)</f>
        <v>250</v>
      </c>
    </row>
    <row r="4888" spans="1:6" ht="15.75" hidden="1" customHeight="1" x14ac:dyDescent="0.35">
      <c r="A4888" s="1">
        <v>4887</v>
      </c>
      <c r="B4888" s="1">
        <v>951</v>
      </c>
      <c r="C4888" s="1">
        <v>1</v>
      </c>
      <c r="D4888" t="str">
        <f>VLOOKUP(B4888,Заказы!A:C,3,0)</f>
        <v>2023-10-20 22:27:00</v>
      </c>
      <c r="E4888" t="str">
        <f>VLOOKUP(C4888,Меню!A:E,4,0)</f>
        <v>Завтрак</v>
      </c>
      <c r="F4888">
        <f>VLOOKUP(C4888,Меню!A:E,5,0)</f>
        <v>200</v>
      </c>
    </row>
    <row r="4889" spans="1:6" ht="15.75" hidden="1" customHeight="1" x14ac:dyDescent="0.35">
      <c r="A4889" s="1">
        <v>4888</v>
      </c>
      <c r="B4889" s="1">
        <v>951</v>
      </c>
      <c r="C4889" s="1">
        <v>1</v>
      </c>
      <c r="D4889" t="str">
        <f>VLOOKUP(B4889,Заказы!A:C,3,0)</f>
        <v>2023-10-20 22:27:00</v>
      </c>
      <c r="E4889" t="str">
        <f>VLOOKUP(C4889,Меню!A:E,4,0)</f>
        <v>Завтрак</v>
      </c>
      <c r="F4889">
        <f>VLOOKUP(C4889,Меню!A:E,5,0)</f>
        <v>200</v>
      </c>
    </row>
    <row r="4890" spans="1:6" ht="15.75" hidden="1" customHeight="1" x14ac:dyDescent="0.35">
      <c r="A4890" s="1">
        <v>4889</v>
      </c>
      <c r="B4890" s="1">
        <v>951</v>
      </c>
      <c r="C4890" s="1">
        <v>1</v>
      </c>
      <c r="D4890" t="str">
        <f>VLOOKUP(B4890,Заказы!A:C,3,0)</f>
        <v>2023-10-20 22:27:00</v>
      </c>
      <c r="E4890" t="str">
        <f>VLOOKUP(C4890,Меню!A:E,4,0)</f>
        <v>Завтрак</v>
      </c>
      <c r="F4890">
        <f>VLOOKUP(C4890,Меню!A:E,5,0)</f>
        <v>200</v>
      </c>
    </row>
    <row r="4891" spans="1:6" ht="15.75" hidden="1" customHeight="1" x14ac:dyDescent="0.35">
      <c r="A4891" s="1">
        <v>4890</v>
      </c>
      <c r="B4891" s="1">
        <v>951</v>
      </c>
      <c r="C4891" s="1">
        <v>32</v>
      </c>
      <c r="D4891" t="str">
        <f>VLOOKUP(B4891,Заказы!A:C,3,0)</f>
        <v>2023-10-20 22:27:00</v>
      </c>
      <c r="E4891" t="str">
        <f>VLOOKUP(C4891,Меню!A:E,4,0)</f>
        <v>Десерт</v>
      </c>
      <c r="F4891">
        <f>VLOOKUP(C4891,Меню!A:E,5,0)</f>
        <v>150</v>
      </c>
    </row>
    <row r="4892" spans="1:6" ht="15.75" hidden="1" customHeight="1" x14ac:dyDescent="0.35">
      <c r="A4892" s="1">
        <v>4891</v>
      </c>
      <c r="B4892" s="1">
        <v>951</v>
      </c>
      <c r="C4892" s="1">
        <v>8</v>
      </c>
      <c r="D4892" t="str">
        <f>VLOOKUP(B4892,Заказы!A:C,3,0)</f>
        <v>2023-10-20 22:27:00</v>
      </c>
      <c r="E4892" t="str">
        <f>VLOOKUP(C4892,Меню!A:E,4,0)</f>
        <v>Завтрак</v>
      </c>
      <c r="F4892">
        <f>VLOOKUP(C4892,Меню!A:E,5,0)</f>
        <v>180</v>
      </c>
    </row>
    <row r="4893" spans="1:6" ht="15.75" hidden="1" customHeight="1" x14ac:dyDescent="0.35">
      <c r="A4893" s="1">
        <v>4892</v>
      </c>
      <c r="B4893" s="1">
        <v>952</v>
      </c>
      <c r="C4893" s="1">
        <v>33</v>
      </c>
      <c r="D4893" t="str">
        <f>VLOOKUP(B4893,Заказы!A:C,3,0)</f>
        <v>2023-10-21 16:12:00</v>
      </c>
      <c r="E4893" t="str">
        <f>VLOOKUP(C4893,Меню!A:E,4,0)</f>
        <v>Десерт</v>
      </c>
      <c r="F4893">
        <f>VLOOKUP(C4893,Меню!A:E,5,0)</f>
        <v>150</v>
      </c>
    </row>
    <row r="4894" spans="1:6" ht="15.75" hidden="1" customHeight="1" x14ac:dyDescent="0.35">
      <c r="A4894" s="1">
        <v>4893</v>
      </c>
      <c r="B4894" s="1">
        <v>952</v>
      </c>
      <c r="C4894" s="1">
        <v>50</v>
      </c>
      <c r="D4894" t="str">
        <f>VLOOKUP(B4894,Заказы!A:C,3,0)</f>
        <v>2023-10-21 16:12:00</v>
      </c>
      <c r="E4894" t="str">
        <f>VLOOKUP(C4894,Меню!A:E,4,0)</f>
        <v>Суши</v>
      </c>
      <c r="F4894">
        <f>VLOOKUP(C4894,Меню!A:E,5,0)</f>
        <v>200</v>
      </c>
    </row>
    <row r="4895" spans="1:6" ht="15.75" hidden="1" customHeight="1" x14ac:dyDescent="0.35">
      <c r="A4895" s="1">
        <v>4894</v>
      </c>
      <c r="B4895" s="1">
        <v>952</v>
      </c>
      <c r="C4895" s="1">
        <v>50</v>
      </c>
      <c r="D4895" t="str">
        <f>VLOOKUP(B4895,Заказы!A:C,3,0)</f>
        <v>2023-10-21 16:12:00</v>
      </c>
      <c r="E4895" t="str">
        <f>VLOOKUP(C4895,Меню!A:E,4,0)</f>
        <v>Суши</v>
      </c>
      <c r="F4895">
        <f>VLOOKUP(C4895,Меню!A:E,5,0)</f>
        <v>200</v>
      </c>
    </row>
    <row r="4896" spans="1:6" ht="15.75" hidden="1" customHeight="1" x14ac:dyDescent="0.35">
      <c r="A4896" s="1">
        <v>4895</v>
      </c>
      <c r="B4896" s="1">
        <v>952</v>
      </c>
      <c r="C4896" s="1">
        <v>2</v>
      </c>
      <c r="D4896" t="str">
        <f>VLOOKUP(B4896,Заказы!A:C,3,0)</f>
        <v>2023-10-21 16:12:00</v>
      </c>
      <c r="E4896" t="str">
        <f>VLOOKUP(C4896,Меню!A:E,4,0)</f>
        <v>Завтрак</v>
      </c>
      <c r="F4896">
        <f>VLOOKUP(C4896,Меню!A:E,5,0)</f>
        <v>250</v>
      </c>
    </row>
    <row r="4897" spans="1:6" ht="15.75" hidden="1" customHeight="1" x14ac:dyDescent="0.35">
      <c r="A4897" s="1">
        <v>4896</v>
      </c>
      <c r="B4897" s="1">
        <v>952</v>
      </c>
      <c r="C4897" s="1">
        <v>42</v>
      </c>
      <c r="D4897" t="str">
        <f>VLOOKUP(B4897,Заказы!A:C,3,0)</f>
        <v>2023-10-21 16:12:00</v>
      </c>
      <c r="E4897" t="str">
        <f>VLOOKUP(C4897,Меню!A:E,4,0)</f>
        <v>Суши</v>
      </c>
      <c r="F4897">
        <f>VLOOKUP(C4897,Меню!A:E,5,0)</f>
        <v>250</v>
      </c>
    </row>
    <row r="4898" spans="1:6" ht="15.75" hidden="1" customHeight="1" x14ac:dyDescent="0.35">
      <c r="A4898" s="1">
        <v>4897</v>
      </c>
      <c r="B4898" s="1">
        <v>953</v>
      </c>
      <c r="C4898" s="1">
        <v>24</v>
      </c>
      <c r="D4898" t="str">
        <f>VLOOKUP(B4898,Заказы!A:C,3,0)</f>
        <v>2023-10-21 16:24:00</v>
      </c>
      <c r="E4898" t="str">
        <f>VLOOKUP(C4898,Меню!A:E,4,0)</f>
        <v>Салат</v>
      </c>
      <c r="F4898">
        <f>VLOOKUP(C4898,Меню!A:E,5,0)</f>
        <v>250</v>
      </c>
    </row>
    <row r="4899" spans="1:6" ht="15.75" hidden="1" customHeight="1" x14ac:dyDescent="0.35">
      <c r="A4899" s="1">
        <v>4898</v>
      </c>
      <c r="B4899" s="1">
        <v>953</v>
      </c>
      <c r="C4899" s="1">
        <v>7</v>
      </c>
      <c r="D4899" t="str">
        <f>VLOOKUP(B4899,Заказы!A:C,3,0)</f>
        <v>2023-10-21 16:24:00</v>
      </c>
      <c r="E4899" t="str">
        <f>VLOOKUP(C4899,Меню!A:E,4,0)</f>
        <v>Завтрак</v>
      </c>
      <c r="F4899">
        <f>VLOOKUP(C4899,Меню!A:E,5,0)</f>
        <v>200</v>
      </c>
    </row>
    <row r="4900" spans="1:6" ht="15.75" hidden="1" customHeight="1" x14ac:dyDescent="0.35">
      <c r="A4900" s="1">
        <v>4899</v>
      </c>
      <c r="B4900" s="1">
        <v>953</v>
      </c>
      <c r="C4900" s="1">
        <v>24</v>
      </c>
      <c r="D4900" t="str">
        <f>VLOOKUP(B4900,Заказы!A:C,3,0)</f>
        <v>2023-10-21 16:24:00</v>
      </c>
      <c r="E4900" t="str">
        <f>VLOOKUP(C4900,Меню!A:E,4,0)</f>
        <v>Салат</v>
      </c>
      <c r="F4900">
        <f>VLOOKUP(C4900,Меню!A:E,5,0)</f>
        <v>250</v>
      </c>
    </row>
    <row r="4901" spans="1:6" ht="15.75" hidden="1" customHeight="1" x14ac:dyDescent="0.35">
      <c r="A4901" s="1">
        <v>4900</v>
      </c>
      <c r="B4901" s="1">
        <v>953</v>
      </c>
      <c r="C4901" s="1">
        <v>59</v>
      </c>
      <c r="D4901" t="str">
        <f>VLOOKUP(B4901,Заказы!A:C,3,0)</f>
        <v>2023-10-21 16:24:00</v>
      </c>
      <c r="E4901" t="str">
        <f>VLOOKUP(C4901,Меню!A:E,4,0)</f>
        <v>Суши</v>
      </c>
      <c r="F4901">
        <f>VLOOKUP(C4901,Меню!A:E,5,0)</f>
        <v>300</v>
      </c>
    </row>
    <row r="4902" spans="1:6" ht="15.75" hidden="1" customHeight="1" x14ac:dyDescent="0.35">
      <c r="A4902" s="1">
        <v>4901</v>
      </c>
      <c r="B4902" s="1">
        <v>954</v>
      </c>
      <c r="C4902" s="1">
        <v>14</v>
      </c>
      <c r="D4902" t="str">
        <f>VLOOKUP(B4902,Заказы!A:C,3,0)</f>
        <v>2023-10-21 18:17:00</v>
      </c>
      <c r="E4902" t="str">
        <f>VLOOKUP(C4902,Меню!A:E,4,0)</f>
        <v>Первое</v>
      </c>
      <c r="F4902">
        <f>VLOOKUP(C4902,Меню!A:E,5,0)</f>
        <v>350</v>
      </c>
    </row>
    <row r="4903" spans="1:6" ht="15.75" hidden="1" customHeight="1" x14ac:dyDescent="0.35">
      <c r="A4903" s="1">
        <v>4902</v>
      </c>
      <c r="B4903" s="1">
        <v>954</v>
      </c>
      <c r="C4903" s="1">
        <v>50</v>
      </c>
      <c r="D4903" t="str">
        <f>VLOOKUP(B4903,Заказы!A:C,3,0)</f>
        <v>2023-10-21 18:17:00</v>
      </c>
      <c r="E4903" t="str">
        <f>VLOOKUP(C4903,Меню!A:E,4,0)</f>
        <v>Суши</v>
      </c>
      <c r="F4903">
        <f>VLOOKUP(C4903,Меню!A:E,5,0)</f>
        <v>200</v>
      </c>
    </row>
    <row r="4904" spans="1:6" ht="15.75" hidden="1" customHeight="1" x14ac:dyDescent="0.35">
      <c r="A4904" s="1">
        <v>4903</v>
      </c>
      <c r="B4904" s="1">
        <v>955</v>
      </c>
      <c r="C4904" s="1">
        <v>60</v>
      </c>
      <c r="D4904" t="str">
        <f>VLOOKUP(B4904,Заказы!A:C,3,0)</f>
        <v>2023-10-22 16:13:00</v>
      </c>
      <c r="E4904" t="str">
        <f>VLOOKUP(C4904,Меню!A:E,4,0)</f>
        <v>Суши</v>
      </c>
      <c r="F4904">
        <f>VLOOKUP(C4904,Меню!A:E,5,0)</f>
        <v>250</v>
      </c>
    </row>
    <row r="4905" spans="1:6" ht="15.75" hidden="1" customHeight="1" x14ac:dyDescent="0.35">
      <c r="A4905" s="1">
        <v>4904</v>
      </c>
      <c r="B4905" s="1">
        <v>955</v>
      </c>
      <c r="C4905" s="1">
        <v>33</v>
      </c>
      <c r="D4905" t="str">
        <f>VLOOKUP(B4905,Заказы!A:C,3,0)</f>
        <v>2023-10-22 16:13:00</v>
      </c>
      <c r="E4905" t="str">
        <f>VLOOKUP(C4905,Меню!A:E,4,0)</f>
        <v>Десерт</v>
      </c>
      <c r="F4905">
        <f>VLOOKUP(C4905,Меню!A:E,5,0)</f>
        <v>150</v>
      </c>
    </row>
    <row r="4906" spans="1:6" ht="15.75" hidden="1" customHeight="1" x14ac:dyDescent="0.35">
      <c r="A4906" s="1">
        <v>4905</v>
      </c>
      <c r="B4906" s="1">
        <v>955</v>
      </c>
      <c r="C4906" s="1">
        <v>21</v>
      </c>
      <c r="D4906" t="str">
        <f>VLOOKUP(B4906,Заказы!A:C,3,0)</f>
        <v>2023-10-22 16:13:00</v>
      </c>
      <c r="E4906" t="str">
        <f>VLOOKUP(C4906,Меню!A:E,4,0)</f>
        <v>Салат</v>
      </c>
      <c r="F4906">
        <f>VLOOKUP(C4906,Меню!A:E,5,0)</f>
        <v>250</v>
      </c>
    </row>
    <row r="4907" spans="1:6" ht="15.75" hidden="1" customHeight="1" x14ac:dyDescent="0.35">
      <c r="A4907" s="1">
        <v>4906</v>
      </c>
      <c r="B4907" s="1">
        <v>955</v>
      </c>
      <c r="C4907" s="1">
        <v>27</v>
      </c>
      <c r="D4907" t="str">
        <f>VLOOKUP(B4907,Заказы!A:C,3,0)</f>
        <v>2023-10-22 16:13:00</v>
      </c>
      <c r="E4907" t="str">
        <f>VLOOKUP(C4907,Меню!A:E,4,0)</f>
        <v>Салат</v>
      </c>
      <c r="F4907">
        <f>VLOOKUP(C4907,Меню!A:E,5,0)</f>
        <v>250</v>
      </c>
    </row>
    <row r="4908" spans="1:6" ht="15.75" hidden="1" customHeight="1" x14ac:dyDescent="0.35">
      <c r="A4908" s="1">
        <v>4907</v>
      </c>
      <c r="B4908" s="1">
        <v>955</v>
      </c>
      <c r="C4908" s="1">
        <v>20</v>
      </c>
      <c r="D4908" t="str">
        <f>VLOOKUP(B4908,Заказы!A:C,3,0)</f>
        <v>2023-10-22 16:13:00</v>
      </c>
      <c r="E4908" t="str">
        <f>VLOOKUP(C4908,Меню!A:E,4,0)</f>
        <v>Первое</v>
      </c>
      <c r="F4908">
        <f>VLOOKUP(C4908,Меню!A:E,5,0)</f>
        <v>250</v>
      </c>
    </row>
    <row r="4909" spans="1:6" ht="15.75" hidden="1" customHeight="1" x14ac:dyDescent="0.35">
      <c r="A4909" s="1">
        <v>4908</v>
      </c>
      <c r="B4909" s="1">
        <v>956</v>
      </c>
      <c r="C4909" s="1">
        <v>5</v>
      </c>
      <c r="D4909" t="str">
        <f>VLOOKUP(B4909,Заказы!A:C,3,0)</f>
        <v>2023-10-22 16:54:00</v>
      </c>
      <c r="E4909" t="str">
        <f>VLOOKUP(C4909,Меню!A:E,4,0)</f>
        <v>Завтрак</v>
      </c>
      <c r="F4909">
        <f>VLOOKUP(C4909,Меню!A:E,5,0)</f>
        <v>220</v>
      </c>
    </row>
    <row r="4910" spans="1:6" ht="15.75" hidden="1" customHeight="1" x14ac:dyDescent="0.35">
      <c r="A4910" s="1">
        <v>4909</v>
      </c>
      <c r="B4910" s="1">
        <v>956</v>
      </c>
      <c r="C4910" s="1">
        <v>36</v>
      </c>
      <c r="D4910" t="str">
        <f>VLOOKUP(B4910,Заказы!A:C,3,0)</f>
        <v>2023-10-22 16:54:00</v>
      </c>
      <c r="E4910" t="str">
        <f>VLOOKUP(C4910,Меню!A:E,4,0)</f>
        <v>Десерт</v>
      </c>
      <c r="F4910">
        <f>VLOOKUP(C4910,Меню!A:E,5,0)</f>
        <v>150</v>
      </c>
    </row>
    <row r="4911" spans="1:6" ht="15.75" hidden="1" customHeight="1" x14ac:dyDescent="0.35">
      <c r="A4911" s="1">
        <v>4910</v>
      </c>
      <c r="B4911" s="1">
        <v>956</v>
      </c>
      <c r="C4911" s="1">
        <v>58</v>
      </c>
      <c r="D4911" t="str">
        <f>VLOOKUP(B4911,Заказы!A:C,3,0)</f>
        <v>2023-10-22 16:54:00</v>
      </c>
      <c r="E4911" t="str">
        <f>VLOOKUP(C4911,Меню!A:E,4,0)</f>
        <v>Суши</v>
      </c>
      <c r="F4911">
        <f>VLOOKUP(C4911,Меню!A:E,5,0)</f>
        <v>200</v>
      </c>
    </row>
    <row r="4912" spans="1:6" ht="15.75" hidden="1" customHeight="1" x14ac:dyDescent="0.35">
      <c r="A4912" s="1">
        <v>4911</v>
      </c>
      <c r="B4912" s="1">
        <v>956</v>
      </c>
      <c r="C4912" s="1">
        <v>50</v>
      </c>
      <c r="D4912" t="str">
        <f>VLOOKUP(B4912,Заказы!A:C,3,0)</f>
        <v>2023-10-22 16:54:00</v>
      </c>
      <c r="E4912" t="str">
        <f>VLOOKUP(C4912,Меню!A:E,4,0)</f>
        <v>Суши</v>
      </c>
      <c r="F4912">
        <f>VLOOKUP(C4912,Меню!A:E,5,0)</f>
        <v>200</v>
      </c>
    </row>
    <row r="4913" spans="1:6" ht="15.75" hidden="1" customHeight="1" x14ac:dyDescent="0.35">
      <c r="A4913" s="1">
        <v>4912</v>
      </c>
      <c r="B4913" s="1">
        <v>956</v>
      </c>
      <c r="C4913" s="1">
        <v>2</v>
      </c>
      <c r="D4913" t="str">
        <f>VLOOKUP(B4913,Заказы!A:C,3,0)</f>
        <v>2023-10-22 16:54:00</v>
      </c>
      <c r="E4913" t="str">
        <f>VLOOKUP(C4913,Меню!A:E,4,0)</f>
        <v>Завтрак</v>
      </c>
      <c r="F4913">
        <f>VLOOKUP(C4913,Меню!A:E,5,0)</f>
        <v>250</v>
      </c>
    </row>
    <row r="4914" spans="1:6" ht="15.75" hidden="1" customHeight="1" x14ac:dyDescent="0.35">
      <c r="A4914" s="1">
        <v>4913</v>
      </c>
      <c r="B4914" s="1">
        <v>956</v>
      </c>
      <c r="C4914" s="1">
        <v>5</v>
      </c>
      <c r="D4914" t="str">
        <f>VLOOKUP(B4914,Заказы!A:C,3,0)</f>
        <v>2023-10-22 16:54:00</v>
      </c>
      <c r="E4914" t="str">
        <f>VLOOKUP(C4914,Меню!A:E,4,0)</f>
        <v>Завтрак</v>
      </c>
      <c r="F4914">
        <f>VLOOKUP(C4914,Меню!A:E,5,0)</f>
        <v>220</v>
      </c>
    </row>
    <row r="4915" spans="1:6" ht="15.75" hidden="1" customHeight="1" x14ac:dyDescent="0.35">
      <c r="A4915" s="1">
        <v>4914</v>
      </c>
      <c r="B4915" s="1">
        <v>956</v>
      </c>
      <c r="C4915" s="1">
        <v>60</v>
      </c>
      <c r="D4915" t="str">
        <f>VLOOKUP(B4915,Заказы!A:C,3,0)</f>
        <v>2023-10-22 16:54:00</v>
      </c>
      <c r="E4915" t="str">
        <f>VLOOKUP(C4915,Меню!A:E,4,0)</f>
        <v>Суши</v>
      </c>
      <c r="F4915">
        <f>VLOOKUP(C4915,Меню!A:E,5,0)</f>
        <v>250</v>
      </c>
    </row>
    <row r="4916" spans="1:6" ht="15.75" hidden="1" customHeight="1" x14ac:dyDescent="0.35">
      <c r="A4916" s="1">
        <v>4915</v>
      </c>
      <c r="B4916" s="1">
        <v>956</v>
      </c>
      <c r="C4916" s="1">
        <v>15</v>
      </c>
      <c r="D4916" t="str">
        <f>VLOOKUP(B4916,Заказы!A:C,3,0)</f>
        <v>2023-10-22 16:54:00</v>
      </c>
      <c r="E4916" t="str">
        <f>VLOOKUP(C4916,Меню!A:E,4,0)</f>
        <v>Первое</v>
      </c>
      <c r="F4916">
        <f>VLOOKUP(C4916,Меню!A:E,5,0)</f>
        <v>250</v>
      </c>
    </row>
    <row r="4917" spans="1:6" ht="15.75" hidden="1" customHeight="1" x14ac:dyDescent="0.35">
      <c r="A4917" s="1">
        <v>4916</v>
      </c>
      <c r="B4917" s="1">
        <v>956</v>
      </c>
      <c r="C4917" s="1">
        <v>9</v>
      </c>
      <c r="D4917" t="str">
        <f>VLOOKUP(B4917,Заказы!A:C,3,0)</f>
        <v>2023-10-22 16:54:00</v>
      </c>
      <c r="E4917" t="str">
        <f>VLOOKUP(C4917,Меню!A:E,4,0)</f>
        <v>Завтрак</v>
      </c>
      <c r="F4917">
        <f>VLOOKUP(C4917,Меню!A:E,5,0)</f>
        <v>220</v>
      </c>
    </row>
    <row r="4918" spans="1:6" ht="15.75" hidden="1" customHeight="1" x14ac:dyDescent="0.35">
      <c r="A4918" s="1">
        <v>4917</v>
      </c>
      <c r="B4918" s="1">
        <v>956</v>
      </c>
      <c r="C4918" s="1">
        <v>57</v>
      </c>
      <c r="D4918" t="str">
        <f>VLOOKUP(B4918,Заказы!A:C,3,0)</f>
        <v>2023-10-22 16:54:00</v>
      </c>
      <c r="E4918" t="str">
        <f>VLOOKUP(C4918,Меню!A:E,4,0)</f>
        <v>Суши</v>
      </c>
      <c r="F4918">
        <f>VLOOKUP(C4918,Меню!A:E,5,0)</f>
        <v>200</v>
      </c>
    </row>
    <row r="4919" spans="1:6" ht="15.75" hidden="1" customHeight="1" x14ac:dyDescent="0.35">
      <c r="A4919" s="1">
        <v>4918</v>
      </c>
      <c r="B4919" s="1">
        <v>956</v>
      </c>
      <c r="C4919" s="1">
        <v>25</v>
      </c>
      <c r="D4919" t="str">
        <f>VLOOKUP(B4919,Заказы!A:C,3,0)</f>
        <v>2023-10-22 16:54:00</v>
      </c>
      <c r="E4919" t="str">
        <f>VLOOKUP(C4919,Меню!A:E,4,0)</f>
        <v>Салат</v>
      </c>
      <c r="F4919">
        <f>VLOOKUP(C4919,Меню!A:E,5,0)</f>
        <v>250</v>
      </c>
    </row>
    <row r="4920" spans="1:6" ht="15.75" hidden="1" customHeight="1" x14ac:dyDescent="0.35">
      <c r="A4920" s="1">
        <v>4919</v>
      </c>
      <c r="B4920" s="1">
        <v>956</v>
      </c>
      <c r="C4920" s="1">
        <v>27</v>
      </c>
      <c r="D4920" t="str">
        <f>VLOOKUP(B4920,Заказы!A:C,3,0)</f>
        <v>2023-10-22 16:54:00</v>
      </c>
      <c r="E4920" t="str">
        <f>VLOOKUP(C4920,Меню!A:E,4,0)</f>
        <v>Салат</v>
      </c>
      <c r="F4920">
        <f>VLOOKUP(C4920,Меню!A:E,5,0)</f>
        <v>250</v>
      </c>
    </row>
    <row r="4921" spans="1:6" ht="15.75" hidden="1" customHeight="1" x14ac:dyDescent="0.35">
      <c r="A4921" s="1">
        <v>4920</v>
      </c>
      <c r="B4921" s="1">
        <v>957</v>
      </c>
      <c r="C4921" s="1">
        <v>40</v>
      </c>
      <c r="D4921" t="str">
        <f>VLOOKUP(B4921,Заказы!A:C,3,0)</f>
        <v>2023-10-22 20:26:00</v>
      </c>
      <c r="E4921" t="str">
        <f>VLOOKUP(C4921,Меню!A:E,4,0)</f>
        <v>Десерт</v>
      </c>
      <c r="F4921">
        <f>VLOOKUP(C4921,Меню!A:E,5,0)</f>
        <v>150</v>
      </c>
    </row>
    <row r="4922" spans="1:6" ht="15.75" hidden="1" customHeight="1" x14ac:dyDescent="0.35">
      <c r="A4922" s="1">
        <v>4921</v>
      </c>
      <c r="B4922" s="1">
        <v>957</v>
      </c>
      <c r="C4922" s="1">
        <v>29</v>
      </c>
      <c r="D4922" t="str">
        <f>VLOOKUP(B4922,Заказы!A:C,3,0)</f>
        <v>2023-10-22 20:26:00</v>
      </c>
      <c r="E4922" t="str">
        <f>VLOOKUP(C4922,Меню!A:E,4,0)</f>
        <v>Салат</v>
      </c>
      <c r="F4922">
        <f>VLOOKUP(C4922,Меню!A:E,5,0)</f>
        <v>250</v>
      </c>
    </row>
    <row r="4923" spans="1:6" ht="15.75" hidden="1" customHeight="1" x14ac:dyDescent="0.35">
      <c r="A4923" s="1">
        <v>4922</v>
      </c>
      <c r="B4923" s="1">
        <v>957</v>
      </c>
      <c r="C4923" s="1">
        <v>30</v>
      </c>
      <c r="D4923" t="str">
        <f>VLOOKUP(B4923,Заказы!A:C,3,0)</f>
        <v>2023-10-22 20:26:00</v>
      </c>
      <c r="E4923" t="str">
        <f>VLOOKUP(C4923,Меню!A:E,4,0)</f>
        <v>Салат</v>
      </c>
      <c r="F4923">
        <f>VLOOKUP(C4923,Меню!A:E,5,0)</f>
        <v>250</v>
      </c>
    </row>
    <row r="4924" spans="1:6" ht="15.75" hidden="1" customHeight="1" x14ac:dyDescent="0.35">
      <c r="A4924" s="1">
        <v>4923</v>
      </c>
      <c r="B4924" s="1">
        <v>957</v>
      </c>
      <c r="C4924" s="1">
        <v>58</v>
      </c>
      <c r="D4924" t="str">
        <f>VLOOKUP(B4924,Заказы!A:C,3,0)</f>
        <v>2023-10-22 20:26:00</v>
      </c>
      <c r="E4924" t="str">
        <f>VLOOKUP(C4924,Меню!A:E,4,0)</f>
        <v>Суши</v>
      </c>
      <c r="F4924">
        <f>VLOOKUP(C4924,Меню!A:E,5,0)</f>
        <v>200</v>
      </c>
    </row>
    <row r="4925" spans="1:6" ht="15.75" hidden="1" customHeight="1" x14ac:dyDescent="0.35">
      <c r="A4925" s="1">
        <v>4924</v>
      </c>
      <c r="B4925" s="1">
        <v>957</v>
      </c>
      <c r="C4925" s="1">
        <v>46</v>
      </c>
      <c r="D4925" t="str">
        <f>VLOOKUP(B4925,Заказы!A:C,3,0)</f>
        <v>2023-10-22 20:26:00</v>
      </c>
      <c r="E4925" t="str">
        <f>VLOOKUP(C4925,Меню!A:E,4,0)</f>
        <v>Суши</v>
      </c>
      <c r="F4925">
        <f>VLOOKUP(C4925,Меню!A:E,5,0)</f>
        <v>200</v>
      </c>
    </row>
    <row r="4926" spans="1:6" ht="15.75" hidden="1" customHeight="1" x14ac:dyDescent="0.35">
      <c r="A4926" s="1">
        <v>4925</v>
      </c>
      <c r="B4926" s="1">
        <v>957</v>
      </c>
      <c r="C4926" s="1">
        <v>58</v>
      </c>
      <c r="D4926" t="str">
        <f>VLOOKUP(B4926,Заказы!A:C,3,0)</f>
        <v>2023-10-22 20:26:00</v>
      </c>
      <c r="E4926" t="str">
        <f>VLOOKUP(C4926,Меню!A:E,4,0)</f>
        <v>Суши</v>
      </c>
      <c r="F4926">
        <f>VLOOKUP(C4926,Меню!A:E,5,0)</f>
        <v>200</v>
      </c>
    </row>
    <row r="4927" spans="1:6" ht="15.75" hidden="1" customHeight="1" x14ac:dyDescent="0.35">
      <c r="A4927" s="1">
        <v>4926</v>
      </c>
      <c r="B4927" s="1">
        <v>958</v>
      </c>
      <c r="C4927" s="1">
        <v>40</v>
      </c>
      <c r="D4927" t="str">
        <f>VLOOKUP(B4927,Заказы!A:C,3,0)</f>
        <v>2023-10-22 20:42:00</v>
      </c>
      <c r="E4927" t="str">
        <f>VLOOKUP(C4927,Меню!A:E,4,0)</f>
        <v>Десерт</v>
      </c>
      <c r="F4927">
        <f>VLOOKUP(C4927,Меню!A:E,5,0)</f>
        <v>150</v>
      </c>
    </row>
    <row r="4928" spans="1:6" ht="15.75" hidden="1" customHeight="1" x14ac:dyDescent="0.35">
      <c r="A4928" s="1">
        <v>4927</v>
      </c>
      <c r="B4928" s="1">
        <v>958</v>
      </c>
      <c r="C4928" s="1">
        <v>57</v>
      </c>
      <c r="D4928" t="str">
        <f>VLOOKUP(B4928,Заказы!A:C,3,0)</f>
        <v>2023-10-22 20:42:00</v>
      </c>
      <c r="E4928" t="str">
        <f>VLOOKUP(C4928,Меню!A:E,4,0)</f>
        <v>Суши</v>
      </c>
      <c r="F4928">
        <f>VLOOKUP(C4928,Меню!A:E,5,0)</f>
        <v>200</v>
      </c>
    </row>
    <row r="4929" spans="1:6" ht="15.75" hidden="1" customHeight="1" x14ac:dyDescent="0.35">
      <c r="A4929" s="1">
        <v>4928</v>
      </c>
      <c r="B4929" s="1">
        <v>958</v>
      </c>
      <c r="C4929" s="1">
        <v>20</v>
      </c>
      <c r="D4929" t="str">
        <f>VLOOKUP(B4929,Заказы!A:C,3,0)</f>
        <v>2023-10-22 20:42:00</v>
      </c>
      <c r="E4929" t="str">
        <f>VLOOKUP(C4929,Меню!A:E,4,0)</f>
        <v>Первое</v>
      </c>
      <c r="F4929">
        <f>VLOOKUP(C4929,Меню!A:E,5,0)</f>
        <v>250</v>
      </c>
    </row>
    <row r="4930" spans="1:6" ht="15.75" hidden="1" customHeight="1" x14ac:dyDescent="0.35">
      <c r="A4930" s="1">
        <v>4929</v>
      </c>
      <c r="B4930" s="1">
        <v>959</v>
      </c>
      <c r="C4930" s="1">
        <v>18</v>
      </c>
      <c r="D4930" t="str">
        <f>VLOOKUP(B4930,Заказы!A:C,3,0)</f>
        <v>2023-10-23 20:43:00</v>
      </c>
      <c r="E4930" t="str">
        <f>VLOOKUP(C4930,Меню!A:E,4,0)</f>
        <v>Первое</v>
      </c>
      <c r="F4930">
        <f>VLOOKUP(C4930,Меню!A:E,5,0)</f>
        <v>300</v>
      </c>
    </row>
    <row r="4931" spans="1:6" ht="15.75" hidden="1" customHeight="1" x14ac:dyDescent="0.35">
      <c r="A4931" s="1">
        <v>4930</v>
      </c>
      <c r="B4931" s="1">
        <v>959</v>
      </c>
      <c r="C4931" s="1">
        <v>8</v>
      </c>
      <c r="D4931" t="str">
        <f>VLOOKUP(B4931,Заказы!A:C,3,0)</f>
        <v>2023-10-23 20:43:00</v>
      </c>
      <c r="E4931" t="str">
        <f>VLOOKUP(C4931,Меню!A:E,4,0)</f>
        <v>Завтрак</v>
      </c>
      <c r="F4931">
        <f>VLOOKUP(C4931,Меню!A:E,5,0)</f>
        <v>180</v>
      </c>
    </row>
    <row r="4932" spans="1:6" ht="15.75" hidden="1" customHeight="1" x14ac:dyDescent="0.35">
      <c r="A4932" s="1">
        <v>4931</v>
      </c>
      <c r="B4932" s="1">
        <v>959</v>
      </c>
      <c r="C4932" s="1">
        <v>33</v>
      </c>
      <c r="D4932" t="str">
        <f>VLOOKUP(B4932,Заказы!A:C,3,0)</f>
        <v>2023-10-23 20:43:00</v>
      </c>
      <c r="E4932" t="str">
        <f>VLOOKUP(C4932,Меню!A:E,4,0)</f>
        <v>Десерт</v>
      </c>
      <c r="F4932">
        <f>VLOOKUP(C4932,Меню!A:E,5,0)</f>
        <v>150</v>
      </c>
    </row>
    <row r="4933" spans="1:6" ht="15.75" hidden="1" customHeight="1" x14ac:dyDescent="0.35">
      <c r="A4933" s="1">
        <v>4932</v>
      </c>
      <c r="B4933" s="1">
        <v>959</v>
      </c>
      <c r="C4933" s="1">
        <v>15</v>
      </c>
      <c r="D4933" t="str">
        <f>VLOOKUP(B4933,Заказы!A:C,3,0)</f>
        <v>2023-10-23 20:43:00</v>
      </c>
      <c r="E4933" t="str">
        <f>VLOOKUP(C4933,Меню!A:E,4,0)</f>
        <v>Первое</v>
      </c>
      <c r="F4933">
        <f>VLOOKUP(C4933,Меню!A:E,5,0)</f>
        <v>250</v>
      </c>
    </row>
    <row r="4934" spans="1:6" ht="15.75" hidden="1" customHeight="1" x14ac:dyDescent="0.35">
      <c r="A4934" s="1">
        <v>4933</v>
      </c>
      <c r="B4934" s="1">
        <v>959</v>
      </c>
      <c r="C4934" s="1">
        <v>50</v>
      </c>
      <c r="D4934" t="str">
        <f>VLOOKUP(B4934,Заказы!A:C,3,0)</f>
        <v>2023-10-23 20:43:00</v>
      </c>
      <c r="E4934" t="str">
        <f>VLOOKUP(C4934,Меню!A:E,4,0)</f>
        <v>Суши</v>
      </c>
      <c r="F4934">
        <f>VLOOKUP(C4934,Меню!A:E,5,0)</f>
        <v>200</v>
      </c>
    </row>
    <row r="4935" spans="1:6" ht="15.75" hidden="1" customHeight="1" x14ac:dyDescent="0.35">
      <c r="A4935" s="1">
        <v>4934</v>
      </c>
      <c r="B4935" s="1">
        <v>959</v>
      </c>
      <c r="C4935" s="1">
        <v>33</v>
      </c>
      <c r="D4935" t="str">
        <f>VLOOKUP(B4935,Заказы!A:C,3,0)</f>
        <v>2023-10-23 20:43:00</v>
      </c>
      <c r="E4935" t="str">
        <f>VLOOKUP(C4935,Меню!A:E,4,0)</f>
        <v>Десерт</v>
      </c>
      <c r="F4935">
        <f>VLOOKUP(C4935,Меню!A:E,5,0)</f>
        <v>150</v>
      </c>
    </row>
    <row r="4936" spans="1:6" ht="15.75" hidden="1" customHeight="1" x14ac:dyDescent="0.35">
      <c r="A4936" s="1">
        <v>4935</v>
      </c>
      <c r="B4936" s="1">
        <v>960</v>
      </c>
      <c r="C4936" s="1">
        <v>35</v>
      </c>
      <c r="D4936" t="str">
        <f>VLOOKUP(B4936,Заказы!A:C,3,0)</f>
        <v>2023-10-23 21:22:00</v>
      </c>
      <c r="E4936" t="str">
        <f>VLOOKUP(C4936,Меню!A:E,4,0)</f>
        <v>Десерт</v>
      </c>
      <c r="F4936">
        <f>VLOOKUP(C4936,Меню!A:E,5,0)</f>
        <v>150</v>
      </c>
    </row>
    <row r="4937" spans="1:6" ht="15.75" hidden="1" customHeight="1" x14ac:dyDescent="0.35">
      <c r="A4937" s="1">
        <v>4936</v>
      </c>
      <c r="B4937" s="1">
        <v>960</v>
      </c>
      <c r="C4937" s="1">
        <v>45</v>
      </c>
      <c r="D4937" t="str">
        <f>VLOOKUP(B4937,Заказы!A:C,3,0)</f>
        <v>2023-10-23 21:22:00</v>
      </c>
      <c r="E4937" t="str">
        <f>VLOOKUP(C4937,Меню!A:E,4,0)</f>
        <v>Суши</v>
      </c>
      <c r="F4937">
        <f>VLOOKUP(C4937,Меню!A:E,5,0)</f>
        <v>200</v>
      </c>
    </row>
    <row r="4938" spans="1:6" ht="15.75" hidden="1" customHeight="1" x14ac:dyDescent="0.35">
      <c r="A4938" s="1">
        <v>4937</v>
      </c>
      <c r="B4938" s="1">
        <v>960</v>
      </c>
      <c r="C4938" s="1">
        <v>19</v>
      </c>
      <c r="D4938" t="str">
        <f>VLOOKUP(B4938,Заказы!A:C,3,0)</f>
        <v>2023-10-23 21:22:00</v>
      </c>
      <c r="E4938" t="str">
        <f>VLOOKUP(C4938,Меню!A:E,4,0)</f>
        <v>Первое</v>
      </c>
      <c r="F4938">
        <f>VLOOKUP(C4938,Меню!A:E,5,0)</f>
        <v>300</v>
      </c>
    </row>
    <row r="4939" spans="1:6" ht="15.75" hidden="1" customHeight="1" x14ac:dyDescent="0.35">
      <c r="A4939" s="1">
        <v>4938</v>
      </c>
      <c r="B4939" s="1">
        <v>960</v>
      </c>
      <c r="C4939" s="1">
        <v>29</v>
      </c>
      <c r="D4939" t="str">
        <f>VLOOKUP(B4939,Заказы!A:C,3,0)</f>
        <v>2023-10-23 21:22:00</v>
      </c>
      <c r="E4939" t="str">
        <f>VLOOKUP(C4939,Меню!A:E,4,0)</f>
        <v>Салат</v>
      </c>
      <c r="F4939">
        <f>VLOOKUP(C4939,Меню!A:E,5,0)</f>
        <v>250</v>
      </c>
    </row>
    <row r="4940" spans="1:6" ht="15.75" hidden="1" customHeight="1" x14ac:dyDescent="0.35">
      <c r="A4940" s="1">
        <v>4939</v>
      </c>
      <c r="B4940" s="1">
        <v>960</v>
      </c>
      <c r="C4940" s="1">
        <v>7</v>
      </c>
      <c r="D4940" t="str">
        <f>VLOOKUP(B4940,Заказы!A:C,3,0)</f>
        <v>2023-10-23 21:22:00</v>
      </c>
      <c r="E4940" t="str">
        <f>VLOOKUP(C4940,Меню!A:E,4,0)</f>
        <v>Завтрак</v>
      </c>
      <c r="F4940">
        <f>VLOOKUP(C4940,Меню!A:E,5,0)</f>
        <v>200</v>
      </c>
    </row>
    <row r="4941" spans="1:6" ht="15.75" hidden="1" customHeight="1" x14ac:dyDescent="0.35">
      <c r="A4941" s="1">
        <v>4940</v>
      </c>
      <c r="B4941" s="1">
        <v>960</v>
      </c>
      <c r="C4941" s="1">
        <v>5</v>
      </c>
      <c r="D4941" t="str">
        <f>VLOOKUP(B4941,Заказы!A:C,3,0)</f>
        <v>2023-10-23 21:22:00</v>
      </c>
      <c r="E4941" t="str">
        <f>VLOOKUP(C4941,Меню!A:E,4,0)</f>
        <v>Завтрак</v>
      </c>
      <c r="F4941">
        <f>VLOOKUP(C4941,Меню!A:E,5,0)</f>
        <v>220</v>
      </c>
    </row>
    <row r="4942" spans="1:6" ht="15.75" hidden="1" customHeight="1" x14ac:dyDescent="0.35">
      <c r="A4942" s="1">
        <v>4941</v>
      </c>
      <c r="B4942" s="1">
        <v>960</v>
      </c>
      <c r="C4942" s="1">
        <v>5</v>
      </c>
      <c r="D4942" t="str">
        <f>VLOOKUP(B4942,Заказы!A:C,3,0)</f>
        <v>2023-10-23 21:22:00</v>
      </c>
      <c r="E4942" t="str">
        <f>VLOOKUP(C4942,Меню!A:E,4,0)</f>
        <v>Завтрак</v>
      </c>
      <c r="F4942">
        <f>VLOOKUP(C4942,Меню!A:E,5,0)</f>
        <v>220</v>
      </c>
    </row>
    <row r="4943" spans="1:6" ht="15.75" hidden="1" customHeight="1" x14ac:dyDescent="0.35">
      <c r="A4943" s="1">
        <v>4942</v>
      </c>
      <c r="B4943" s="1">
        <v>960</v>
      </c>
      <c r="C4943" s="1">
        <v>58</v>
      </c>
      <c r="D4943" t="str">
        <f>VLOOKUP(B4943,Заказы!A:C,3,0)</f>
        <v>2023-10-23 21:22:00</v>
      </c>
      <c r="E4943" t="str">
        <f>VLOOKUP(C4943,Меню!A:E,4,0)</f>
        <v>Суши</v>
      </c>
      <c r="F4943">
        <f>VLOOKUP(C4943,Меню!A:E,5,0)</f>
        <v>200</v>
      </c>
    </row>
    <row r="4944" spans="1:6" ht="15.75" hidden="1" customHeight="1" x14ac:dyDescent="0.35">
      <c r="A4944" s="1">
        <v>4943</v>
      </c>
      <c r="B4944" s="1">
        <v>961</v>
      </c>
      <c r="C4944" s="1">
        <v>2</v>
      </c>
      <c r="D4944" t="str">
        <f>VLOOKUP(B4944,Заказы!A:C,3,0)</f>
        <v>2023-10-23 22:53:00</v>
      </c>
      <c r="E4944" t="str">
        <f>VLOOKUP(C4944,Меню!A:E,4,0)</f>
        <v>Завтрак</v>
      </c>
      <c r="F4944">
        <f>VLOOKUP(C4944,Меню!A:E,5,0)</f>
        <v>250</v>
      </c>
    </row>
    <row r="4945" spans="1:6" ht="15.75" hidden="1" customHeight="1" x14ac:dyDescent="0.35">
      <c r="A4945" s="1">
        <v>4944</v>
      </c>
      <c r="B4945" s="1">
        <v>961</v>
      </c>
      <c r="C4945" s="1">
        <v>53</v>
      </c>
      <c r="D4945" t="str">
        <f>VLOOKUP(B4945,Заказы!A:C,3,0)</f>
        <v>2023-10-23 22:53:00</v>
      </c>
      <c r="E4945" t="str">
        <f>VLOOKUP(C4945,Меню!A:E,4,0)</f>
        <v>Суши</v>
      </c>
      <c r="F4945">
        <f>VLOOKUP(C4945,Меню!A:E,5,0)</f>
        <v>100</v>
      </c>
    </row>
    <row r="4946" spans="1:6" ht="15.75" hidden="1" customHeight="1" x14ac:dyDescent="0.35">
      <c r="A4946" s="1">
        <v>4945</v>
      </c>
      <c r="B4946" s="1">
        <v>961</v>
      </c>
      <c r="C4946" s="1">
        <v>42</v>
      </c>
      <c r="D4946" t="str">
        <f>VLOOKUP(B4946,Заказы!A:C,3,0)</f>
        <v>2023-10-23 22:53:00</v>
      </c>
      <c r="E4946" t="str">
        <f>VLOOKUP(C4946,Меню!A:E,4,0)</f>
        <v>Суши</v>
      </c>
      <c r="F4946">
        <f>VLOOKUP(C4946,Меню!A:E,5,0)</f>
        <v>250</v>
      </c>
    </row>
    <row r="4947" spans="1:6" ht="15.75" hidden="1" customHeight="1" x14ac:dyDescent="0.35">
      <c r="A4947" s="1">
        <v>4946</v>
      </c>
      <c r="B4947" s="1">
        <v>961</v>
      </c>
      <c r="C4947" s="1">
        <v>40</v>
      </c>
      <c r="D4947" t="str">
        <f>VLOOKUP(B4947,Заказы!A:C,3,0)</f>
        <v>2023-10-23 22:53:00</v>
      </c>
      <c r="E4947" t="str">
        <f>VLOOKUP(C4947,Меню!A:E,4,0)</f>
        <v>Десерт</v>
      </c>
      <c r="F4947">
        <f>VLOOKUP(C4947,Меню!A:E,5,0)</f>
        <v>150</v>
      </c>
    </row>
    <row r="4948" spans="1:6" ht="15.75" hidden="1" customHeight="1" x14ac:dyDescent="0.35">
      <c r="A4948" s="1">
        <v>4947</v>
      </c>
      <c r="B4948" s="1">
        <v>962</v>
      </c>
      <c r="C4948" s="1">
        <v>37</v>
      </c>
      <c r="D4948" t="str">
        <f>VLOOKUP(B4948,Заказы!A:C,3,0)</f>
        <v>2023-10-24 15:40:00</v>
      </c>
      <c r="E4948" t="str">
        <f>VLOOKUP(C4948,Меню!A:E,4,0)</f>
        <v>Десерт</v>
      </c>
      <c r="F4948">
        <f>VLOOKUP(C4948,Меню!A:E,5,0)</f>
        <v>100</v>
      </c>
    </row>
    <row r="4949" spans="1:6" ht="15.75" hidden="1" customHeight="1" x14ac:dyDescent="0.35">
      <c r="A4949" s="1">
        <v>4948</v>
      </c>
      <c r="B4949" s="1">
        <v>962</v>
      </c>
      <c r="C4949" s="1">
        <v>57</v>
      </c>
      <c r="D4949" t="str">
        <f>VLOOKUP(B4949,Заказы!A:C,3,0)</f>
        <v>2023-10-24 15:40:00</v>
      </c>
      <c r="E4949" t="str">
        <f>VLOOKUP(C4949,Меню!A:E,4,0)</f>
        <v>Суши</v>
      </c>
      <c r="F4949">
        <f>VLOOKUP(C4949,Меню!A:E,5,0)</f>
        <v>200</v>
      </c>
    </row>
    <row r="4950" spans="1:6" ht="15.75" hidden="1" customHeight="1" x14ac:dyDescent="0.35">
      <c r="A4950" s="1">
        <v>4949</v>
      </c>
      <c r="B4950" s="1">
        <v>963</v>
      </c>
      <c r="C4950" s="1">
        <v>44</v>
      </c>
      <c r="D4950" t="str">
        <f>VLOOKUP(B4950,Заказы!A:C,3,0)</f>
        <v>2023-10-24 16:54:00</v>
      </c>
      <c r="E4950" t="str">
        <f>VLOOKUP(C4950,Меню!A:E,4,0)</f>
        <v>Суши</v>
      </c>
      <c r="F4950">
        <f>VLOOKUP(C4950,Меню!A:E,5,0)</f>
        <v>250</v>
      </c>
    </row>
    <row r="4951" spans="1:6" ht="15.75" hidden="1" customHeight="1" x14ac:dyDescent="0.35">
      <c r="A4951" s="1">
        <v>4950</v>
      </c>
      <c r="B4951" s="1">
        <v>963</v>
      </c>
      <c r="C4951" s="1">
        <v>45</v>
      </c>
      <c r="D4951" t="str">
        <f>VLOOKUP(B4951,Заказы!A:C,3,0)</f>
        <v>2023-10-24 16:54:00</v>
      </c>
      <c r="E4951" t="str">
        <f>VLOOKUP(C4951,Меню!A:E,4,0)</f>
        <v>Суши</v>
      </c>
      <c r="F4951">
        <f>VLOOKUP(C4951,Меню!A:E,5,0)</f>
        <v>200</v>
      </c>
    </row>
    <row r="4952" spans="1:6" ht="15.75" hidden="1" customHeight="1" x14ac:dyDescent="0.35">
      <c r="A4952" s="1">
        <v>4951</v>
      </c>
      <c r="B4952" s="1">
        <v>963</v>
      </c>
      <c r="C4952" s="1">
        <v>26</v>
      </c>
      <c r="D4952" t="str">
        <f>VLOOKUP(B4952,Заказы!A:C,3,0)</f>
        <v>2023-10-24 16:54:00</v>
      </c>
      <c r="E4952" t="str">
        <f>VLOOKUP(C4952,Меню!A:E,4,0)</f>
        <v>Салат</v>
      </c>
      <c r="F4952">
        <f>VLOOKUP(C4952,Меню!A:E,5,0)</f>
        <v>250</v>
      </c>
    </row>
    <row r="4953" spans="1:6" ht="15.75" hidden="1" customHeight="1" x14ac:dyDescent="0.35">
      <c r="A4953" s="1">
        <v>4952</v>
      </c>
      <c r="B4953" s="1">
        <v>963</v>
      </c>
      <c r="C4953" s="1">
        <v>33</v>
      </c>
      <c r="D4953" t="str">
        <f>VLOOKUP(B4953,Заказы!A:C,3,0)</f>
        <v>2023-10-24 16:54:00</v>
      </c>
      <c r="E4953" t="str">
        <f>VLOOKUP(C4953,Меню!A:E,4,0)</f>
        <v>Десерт</v>
      </c>
      <c r="F4953">
        <f>VLOOKUP(C4953,Меню!A:E,5,0)</f>
        <v>150</v>
      </c>
    </row>
    <row r="4954" spans="1:6" ht="15.75" hidden="1" customHeight="1" x14ac:dyDescent="0.35">
      <c r="A4954" s="1">
        <v>4953</v>
      </c>
      <c r="B4954" s="1">
        <v>963</v>
      </c>
      <c r="C4954" s="1">
        <v>49</v>
      </c>
      <c r="D4954" t="str">
        <f>VLOOKUP(B4954,Заказы!A:C,3,0)</f>
        <v>2023-10-24 16:54:00</v>
      </c>
      <c r="E4954" t="str">
        <f>VLOOKUP(C4954,Меню!A:E,4,0)</f>
        <v>Суши</v>
      </c>
      <c r="F4954">
        <f>VLOOKUP(C4954,Меню!A:E,5,0)</f>
        <v>200</v>
      </c>
    </row>
    <row r="4955" spans="1:6" ht="15.75" hidden="1" customHeight="1" x14ac:dyDescent="0.35">
      <c r="A4955" s="1">
        <v>4954</v>
      </c>
      <c r="B4955" s="1">
        <v>964</v>
      </c>
      <c r="C4955" s="1">
        <v>40</v>
      </c>
      <c r="D4955" t="str">
        <f>VLOOKUP(B4955,Заказы!A:C,3,0)</f>
        <v>2023-10-25 17:51:00</v>
      </c>
      <c r="E4955" t="str">
        <f>VLOOKUP(C4955,Меню!A:E,4,0)</f>
        <v>Десерт</v>
      </c>
      <c r="F4955">
        <f>VLOOKUP(C4955,Меню!A:E,5,0)</f>
        <v>150</v>
      </c>
    </row>
    <row r="4956" spans="1:6" ht="15.75" hidden="1" customHeight="1" x14ac:dyDescent="0.35">
      <c r="A4956" s="1">
        <v>4955</v>
      </c>
      <c r="B4956" s="1">
        <v>965</v>
      </c>
      <c r="C4956" s="1">
        <v>9</v>
      </c>
      <c r="D4956" t="str">
        <f>VLOOKUP(B4956,Заказы!A:C,3,0)</f>
        <v>2023-10-25 19:27:00</v>
      </c>
      <c r="E4956" t="str">
        <f>VLOOKUP(C4956,Меню!A:E,4,0)</f>
        <v>Завтрак</v>
      </c>
      <c r="F4956">
        <f>VLOOKUP(C4956,Меню!A:E,5,0)</f>
        <v>220</v>
      </c>
    </row>
    <row r="4957" spans="1:6" ht="15.75" hidden="1" customHeight="1" x14ac:dyDescent="0.35">
      <c r="A4957" s="1">
        <v>4956</v>
      </c>
      <c r="B4957" s="1">
        <v>965</v>
      </c>
      <c r="C4957" s="1">
        <v>33</v>
      </c>
      <c r="D4957" t="str">
        <f>VLOOKUP(B4957,Заказы!A:C,3,0)</f>
        <v>2023-10-25 19:27:00</v>
      </c>
      <c r="E4957" t="str">
        <f>VLOOKUP(C4957,Меню!A:E,4,0)</f>
        <v>Десерт</v>
      </c>
      <c r="F4957">
        <f>VLOOKUP(C4957,Меню!A:E,5,0)</f>
        <v>150</v>
      </c>
    </row>
    <row r="4958" spans="1:6" ht="15.75" hidden="1" customHeight="1" x14ac:dyDescent="0.35">
      <c r="A4958" s="1">
        <v>4957</v>
      </c>
      <c r="B4958" s="1">
        <v>965</v>
      </c>
      <c r="C4958" s="1">
        <v>42</v>
      </c>
      <c r="D4958" t="str">
        <f>VLOOKUP(B4958,Заказы!A:C,3,0)</f>
        <v>2023-10-25 19:27:00</v>
      </c>
      <c r="E4958" t="str">
        <f>VLOOKUP(C4958,Меню!A:E,4,0)</f>
        <v>Суши</v>
      </c>
      <c r="F4958">
        <f>VLOOKUP(C4958,Меню!A:E,5,0)</f>
        <v>250</v>
      </c>
    </row>
    <row r="4959" spans="1:6" ht="15.75" hidden="1" customHeight="1" x14ac:dyDescent="0.35">
      <c r="A4959" s="1">
        <v>4958</v>
      </c>
      <c r="B4959" s="1">
        <v>965</v>
      </c>
      <c r="C4959" s="1">
        <v>22</v>
      </c>
      <c r="D4959" t="str">
        <f>VLOOKUP(B4959,Заказы!A:C,3,0)</f>
        <v>2023-10-25 19:27:00</v>
      </c>
      <c r="E4959" t="str">
        <f>VLOOKUP(C4959,Меню!A:E,4,0)</f>
        <v>Салат</v>
      </c>
      <c r="F4959">
        <f>VLOOKUP(C4959,Меню!A:E,5,0)</f>
        <v>250</v>
      </c>
    </row>
    <row r="4960" spans="1:6" ht="15.75" hidden="1" customHeight="1" x14ac:dyDescent="0.35">
      <c r="A4960" s="1">
        <v>4959</v>
      </c>
      <c r="B4960" s="1">
        <v>966</v>
      </c>
      <c r="C4960" s="1">
        <v>51</v>
      </c>
      <c r="D4960" t="str">
        <f>VLOOKUP(B4960,Заказы!A:C,3,0)</f>
        <v>2023-10-25 21:48:00</v>
      </c>
      <c r="E4960" t="str">
        <f>VLOOKUP(C4960,Меню!A:E,4,0)</f>
        <v>Суши</v>
      </c>
      <c r="F4960">
        <f>VLOOKUP(C4960,Меню!A:E,5,0)</f>
        <v>100</v>
      </c>
    </row>
    <row r="4961" spans="1:6" ht="15.75" hidden="1" customHeight="1" x14ac:dyDescent="0.35">
      <c r="A4961" s="1">
        <v>4960</v>
      </c>
      <c r="B4961" s="1">
        <v>966</v>
      </c>
      <c r="C4961" s="1">
        <v>13</v>
      </c>
      <c r="D4961" t="str">
        <f>VLOOKUP(B4961,Заказы!A:C,3,0)</f>
        <v>2023-10-25 21:48:00</v>
      </c>
      <c r="E4961" t="str">
        <f>VLOOKUP(C4961,Меню!A:E,4,0)</f>
        <v>Первое</v>
      </c>
      <c r="F4961">
        <f>VLOOKUP(C4961,Меню!A:E,5,0)</f>
        <v>280</v>
      </c>
    </row>
    <row r="4962" spans="1:6" ht="15.75" hidden="1" customHeight="1" x14ac:dyDescent="0.35">
      <c r="A4962" s="1">
        <v>4961</v>
      </c>
      <c r="B4962" s="1">
        <v>966</v>
      </c>
      <c r="C4962" s="1">
        <v>49</v>
      </c>
      <c r="D4962" t="str">
        <f>VLOOKUP(B4962,Заказы!A:C,3,0)</f>
        <v>2023-10-25 21:48:00</v>
      </c>
      <c r="E4962" t="str">
        <f>VLOOKUP(C4962,Меню!A:E,4,0)</f>
        <v>Суши</v>
      </c>
      <c r="F4962">
        <f>VLOOKUP(C4962,Меню!A:E,5,0)</f>
        <v>200</v>
      </c>
    </row>
    <row r="4963" spans="1:6" ht="15.75" hidden="1" customHeight="1" x14ac:dyDescent="0.35">
      <c r="A4963" s="1">
        <v>4962</v>
      </c>
      <c r="B4963" s="1">
        <v>966</v>
      </c>
      <c r="C4963" s="1">
        <v>46</v>
      </c>
      <c r="D4963" t="str">
        <f>VLOOKUP(B4963,Заказы!A:C,3,0)</f>
        <v>2023-10-25 21:48:00</v>
      </c>
      <c r="E4963" t="str">
        <f>VLOOKUP(C4963,Меню!A:E,4,0)</f>
        <v>Суши</v>
      </c>
      <c r="F4963">
        <f>VLOOKUP(C4963,Меню!A:E,5,0)</f>
        <v>200</v>
      </c>
    </row>
    <row r="4964" spans="1:6" ht="15.75" hidden="1" customHeight="1" x14ac:dyDescent="0.35">
      <c r="A4964" s="1">
        <v>4963</v>
      </c>
      <c r="B4964" s="1">
        <v>966</v>
      </c>
      <c r="C4964" s="1">
        <v>35</v>
      </c>
      <c r="D4964" t="str">
        <f>VLOOKUP(B4964,Заказы!A:C,3,0)</f>
        <v>2023-10-25 21:48:00</v>
      </c>
      <c r="E4964" t="str">
        <f>VLOOKUP(C4964,Меню!A:E,4,0)</f>
        <v>Десерт</v>
      </c>
      <c r="F4964">
        <f>VLOOKUP(C4964,Меню!A:E,5,0)</f>
        <v>150</v>
      </c>
    </row>
    <row r="4965" spans="1:6" ht="15.75" hidden="1" customHeight="1" x14ac:dyDescent="0.35">
      <c r="A4965" s="1">
        <v>4964</v>
      </c>
      <c r="B4965" s="1">
        <v>966</v>
      </c>
      <c r="C4965" s="1">
        <v>48</v>
      </c>
      <c r="D4965" t="str">
        <f>VLOOKUP(B4965,Заказы!A:C,3,0)</f>
        <v>2023-10-25 21:48:00</v>
      </c>
      <c r="E4965" t="str">
        <f>VLOOKUP(C4965,Меню!A:E,4,0)</f>
        <v>Суши</v>
      </c>
      <c r="F4965">
        <f>VLOOKUP(C4965,Меню!A:E,5,0)</f>
        <v>200</v>
      </c>
    </row>
    <row r="4966" spans="1:6" ht="15.75" hidden="1" customHeight="1" x14ac:dyDescent="0.35">
      <c r="A4966" s="1">
        <v>4965</v>
      </c>
      <c r="B4966" s="1">
        <v>966</v>
      </c>
      <c r="C4966" s="1">
        <v>49</v>
      </c>
      <c r="D4966" t="str">
        <f>VLOOKUP(B4966,Заказы!A:C,3,0)</f>
        <v>2023-10-25 21:48:00</v>
      </c>
      <c r="E4966" t="str">
        <f>VLOOKUP(C4966,Меню!A:E,4,0)</f>
        <v>Суши</v>
      </c>
      <c r="F4966">
        <f>VLOOKUP(C4966,Меню!A:E,5,0)</f>
        <v>200</v>
      </c>
    </row>
    <row r="4967" spans="1:6" ht="15.75" hidden="1" customHeight="1" x14ac:dyDescent="0.35">
      <c r="A4967" s="1">
        <v>4966</v>
      </c>
      <c r="B4967" s="1">
        <v>966</v>
      </c>
      <c r="C4967" s="1">
        <v>16</v>
      </c>
      <c r="D4967" t="str">
        <f>VLOOKUP(B4967,Заказы!A:C,3,0)</f>
        <v>2023-10-25 21:48:00</v>
      </c>
      <c r="E4967" t="str">
        <f>VLOOKUP(C4967,Меню!A:E,4,0)</f>
        <v>Первое</v>
      </c>
      <c r="F4967">
        <f>VLOOKUP(C4967,Меню!A:E,5,0)</f>
        <v>250</v>
      </c>
    </row>
    <row r="4968" spans="1:6" ht="15.75" hidden="1" customHeight="1" x14ac:dyDescent="0.35">
      <c r="A4968" s="1">
        <v>4967</v>
      </c>
      <c r="B4968" s="1">
        <v>967</v>
      </c>
      <c r="C4968" s="1">
        <v>43</v>
      </c>
      <c r="D4968" t="str">
        <f>VLOOKUP(B4968,Заказы!A:C,3,0)</f>
        <v>2023-10-25 22:02:00</v>
      </c>
      <c r="E4968" t="str">
        <f>VLOOKUP(C4968,Меню!A:E,4,0)</f>
        <v>Суши</v>
      </c>
      <c r="F4968">
        <f>VLOOKUP(C4968,Меню!A:E,5,0)</f>
        <v>250</v>
      </c>
    </row>
    <row r="4969" spans="1:6" ht="15.75" hidden="1" customHeight="1" x14ac:dyDescent="0.35">
      <c r="A4969" s="1">
        <v>4968</v>
      </c>
      <c r="B4969" s="1">
        <v>968</v>
      </c>
      <c r="C4969" s="1">
        <v>17</v>
      </c>
      <c r="D4969" t="str">
        <f>VLOOKUP(B4969,Заказы!A:C,3,0)</f>
        <v>2023-10-26 15:16:00</v>
      </c>
      <c r="E4969" t="str">
        <f>VLOOKUP(C4969,Меню!A:E,4,0)</f>
        <v>Первое</v>
      </c>
      <c r="F4969">
        <f>VLOOKUP(C4969,Меню!A:E,5,0)</f>
        <v>250</v>
      </c>
    </row>
    <row r="4970" spans="1:6" ht="15.75" hidden="1" customHeight="1" x14ac:dyDescent="0.35">
      <c r="A4970" s="1">
        <v>4969</v>
      </c>
      <c r="B4970" s="1">
        <v>968</v>
      </c>
      <c r="C4970" s="1">
        <v>59</v>
      </c>
      <c r="D4970" t="str">
        <f>VLOOKUP(B4970,Заказы!A:C,3,0)</f>
        <v>2023-10-26 15:16:00</v>
      </c>
      <c r="E4970" t="str">
        <f>VLOOKUP(C4970,Меню!A:E,4,0)</f>
        <v>Суши</v>
      </c>
      <c r="F4970">
        <f>VLOOKUP(C4970,Меню!A:E,5,0)</f>
        <v>300</v>
      </c>
    </row>
    <row r="4971" spans="1:6" ht="15.75" hidden="1" customHeight="1" x14ac:dyDescent="0.35">
      <c r="A4971" s="1">
        <v>4970</v>
      </c>
      <c r="B4971" s="1">
        <v>968</v>
      </c>
      <c r="C4971" s="1">
        <v>2</v>
      </c>
      <c r="D4971" t="str">
        <f>VLOOKUP(B4971,Заказы!A:C,3,0)</f>
        <v>2023-10-26 15:16:00</v>
      </c>
      <c r="E4971" t="str">
        <f>VLOOKUP(C4971,Меню!A:E,4,0)</f>
        <v>Завтрак</v>
      </c>
      <c r="F4971">
        <f>VLOOKUP(C4971,Меню!A:E,5,0)</f>
        <v>250</v>
      </c>
    </row>
    <row r="4972" spans="1:6" ht="15.75" hidden="1" customHeight="1" x14ac:dyDescent="0.35">
      <c r="A4972" s="1">
        <v>4971</v>
      </c>
      <c r="B4972" s="1">
        <v>968</v>
      </c>
      <c r="C4972" s="1">
        <v>28</v>
      </c>
      <c r="D4972" t="str">
        <f>VLOOKUP(B4972,Заказы!A:C,3,0)</f>
        <v>2023-10-26 15:16:00</v>
      </c>
      <c r="E4972" t="str">
        <f>VLOOKUP(C4972,Меню!A:E,4,0)</f>
        <v>Салат</v>
      </c>
      <c r="F4972">
        <f>VLOOKUP(C4972,Меню!A:E,5,0)</f>
        <v>250</v>
      </c>
    </row>
    <row r="4973" spans="1:6" ht="15.75" hidden="1" customHeight="1" x14ac:dyDescent="0.35">
      <c r="A4973" s="1">
        <v>4972</v>
      </c>
      <c r="B4973" s="1">
        <v>968</v>
      </c>
      <c r="C4973" s="1">
        <v>28</v>
      </c>
      <c r="D4973" t="str">
        <f>VLOOKUP(B4973,Заказы!A:C,3,0)</f>
        <v>2023-10-26 15:16:00</v>
      </c>
      <c r="E4973" t="str">
        <f>VLOOKUP(C4973,Меню!A:E,4,0)</f>
        <v>Салат</v>
      </c>
      <c r="F4973">
        <f>VLOOKUP(C4973,Меню!A:E,5,0)</f>
        <v>250</v>
      </c>
    </row>
    <row r="4974" spans="1:6" ht="15.75" hidden="1" customHeight="1" x14ac:dyDescent="0.35">
      <c r="A4974" s="1">
        <v>4973</v>
      </c>
      <c r="B4974" s="1">
        <v>968</v>
      </c>
      <c r="C4974" s="1">
        <v>25</v>
      </c>
      <c r="D4974" t="str">
        <f>VLOOKUP(B4974,Заказы!A:C,3,0)</f>
        <v>2023-10-26 15:16:00</v>
      </c>
      <c r="E4974" t="str">
        <f>VLOOKUP(C4974,Меню!A:E,4,0)</f>
        <v>Салат</v>
      </c>
      <c r="F4974">
        <f>VLOOKUP(C4974,Меню!A:E,5,0)</f>
        <v>250</v>
      </c>
    </row>
    <row r="4975" spans="1:6" ht="15.75" hidden="1" customHeight="1" x14ac:dyDescent="0.35">
      <c r="A4975" s="1">
        <v>4974</v>
      </c>
      <c r="B4975" s="1">
        <v>968</v>
      </c>
      <c r="C4975" s="1">
        <v>57</v>
      </c>
      <c r="D4975" t="str">
        <f>VLOOKUP(B4975,Заказы!A:C,3,0)</f>
        <v>2023-10-26 15:16:00</v>
      </c>
      <c r="E4975" t="str">
        <f>VLOOKUP(C4975,Меню!A:E,4,0)</f>
        <v>Суши</v>
      </c>
      <c r="F4975">
        <f>VLOOKUP(C4975,Меню!A:E,5,0)</f>
        <v>200</v>
      </c>
    </row>
    <row r="4976" spans="1:6" ht="15.75" hidden="1" customHeight="1" x14ac:dyDescent="0.35">
      <c r="A4976" s="1">
        <v>4975</v>
      </c>
      <c r="B4976" s="1">
        <v>968</v>
      </c>
      <c r="C4976" s="1">
        <v>32</v>
      </c>
      <c r="D4976" t="str">
        <f>VLOOKUP(B4976,Заказы!A:C,3,0)</f>
        <v>2023-10-26 15:16:00</v>
      </c>
      <c r="E4976" t="str">
        <f>VLOOKUP(C4976,Меню!A:E,4,0)</f>
        <v>Десерт</v>
      </c>
      <c r="F4976">
        <f>VLOOKUP(C4976,Меню!A:E,5,0)</f>
        <v>150</v>
      </c>
    </row>
    <row r="4977" spans="1:6" ht="15.75" hidden="1" customHeight="1" x14ac:dyDescent="0.35">
      <c r="A4977" s="1">
        <v>4976</v>
      </c>
      <c r="B4977" s="1">
        <v>968</v>
      </c>
      <c r="C4977" s="1">
        <v>3</v>
      </c>
      <c r="D4977" t="str">
        <f>VLOOKUP(B4977,Заказы!A:C,3,0)</f>
        <v>2023-10-26 15:16:00</v>
      </c>
      <c r="E4977" t="str">
        <f>VLOOKUP(C4977,Меню!A:E,4,0)</f>
        <v>Завтрак</v>
      </c>
      <c r="F4977">
        <f>VLOOKUP(C4977,Меню!A:E,5,0)</f>
        <v>150</v>
      </c>
    </row>
    <row r="4978" spans="1:6" ht="15.75" hidden="1" customHeight="1" x14ac:dyDescent="0.35">
      <c r="A4978" s="1">
        <v>4977</v>
      </c>
      <c r="B4978" s="1">
        <v>969</v>
      </c>
      <c r="C4978" s="1">
        <v>35</v>
      </c>
      <c r="D4978" t="str">
        <f>VLOOKUP(B4978,Заказы!A:C,3,0)</f>
        <v>2023-10-26 16:47:00</v>
      </c>
      <c r="E4978" t="str">
        <f>VLOOKUP(C4978,Меню!A:E,4,0)</f>
        <v>Десерт</v>
      </c>
      <c r="F4978">
        <f>VLOOKUP(C4978,Меню!A:E,5,0)</f>
        <v>150</v>
      </c>
    </row>
    <row r="4979" spans="1:6" ht="15.75" hidden="1" customHeight="1" x14ac:dyDescent="0.35">
      <c r="A4979" s="1">
        <v>4978</v>
      </c>
      <c r="B4979" s="1">
        <v>969</v>
      </c>
      <c r="C4979" s="1">
        <v>46</v>
      </c>
      <c r="D4979" t="str">
        <f>VLOOKUP(B4979,Заказы!A:C,3,0)</f>
        <v>2023-10-26 16:47:00</v>
      </c>
      <c r="E4979" t="str">
        <f>VLOOKUP(C4979,Меню!A:E,4,0)</f>
        <v>Суши</v>
      </c>
      <c r="F4979">
        <f>VLOOKUP(C4979,Меню!A:E,5,0)</f>
        <v>200</v>
      </c>
    </row>
    <row r="4980" spans="1:6" ht="15.75" hidden="1" customHeight="1" x14ac:dyDescent="0.35">
      <c r="A4980" s="1">
        <v>4979</v>
      </c>
      <c r="B4980" s="1">
        <v>969</v>
      </c>
      <c r="C4980" s="1">
        <v>10</v>
      </c>
      <c r="D4980" t="str">
        <f>VLOOKUP(B4980,Заказы!A:C,3,0)</f>
        <v>2023-10-26 16:47:00</v>
      </c>
      <c r="E4980" t="str">
        <f>VLOOKUP(C4980,Меню!A:E,4,0)</f>
        <v>Завтрак</v>
      </c>
      <c r="F4980">
        <f>VLOOKUP(C4980,Меню!A:E,5,0)</f>
        <v>200</v>
      </c>
    </row>
    <row r="4981" spans="1:6" ht="15.75" hidden="1" customHeight="1" x14ac:dyDescent="0.35">
      <c r="A4981" s="1">
        <v>4980</v>
      </c>
      <c r="B4981" s="1">
        <v>969</v>
      </c>
      <c r="C4981" s="1">
        <v>2</v>
      </c>
      <c r="D4981" t="str">
        <f>VLOOKUP(B4981,Заказы!A:C,3,0)</f>
        <v>2023-10-26 16:47:00</v>
      </c>
      <c r="E4981" t="str">
        <f>VLOOKUP(C4981,Меню!A:E,4,0)</f>
        <v>Завтрак</v>
      </c>
      <c r="F4981">
        <f>VLOOKUP(C4981,Меню!A:E,5,0)</f>
        <v>250</v>
      </c>
    </row>
    <row r="4982" spans="1:6" ht="15.75" hidden="1" customHeight="1" x14ac:dyDescent="0.35">
      <c r="A4982" s="1">
        <v>4981</v>
      </c>
      <c r="B4982" s="1">
        <v>969</v>
      </c>
      <c r="C4982" s="1">
        <v>28</v>
      </c>
      <c r="D4982" t="str">
        <f>VLOOKUP(B4982,Заказы!A:C,3,0)</f>
        <v>2023-10-26 16:47:00</v>
      </c>
      <c r="E4982" t="str">
        <f>VLOOKUP(C4982,Меню!A:E,4,0)</f>
        <v>Салат</v>
      </c>
      <c r="F4982">
        <f>VLOOKUP(C4982,Меню!A:E,5,0)</f>
        <v>250</v>
      </c>
    </row>
    <row r="4983" spans="1:6" ht="15.75" hidden="1" customHeight="1" x14ac:dyDescent="0.35">
      <c r="A4983" s="1">
        <v>4982</v>
      </c>
      <c r="B4983" s="1">
        <v>970</v>
      </c>
      <c r="C4983" s="1">
        <v>24</v>
      </c>
      <c r="D4983" t="str">
        <f>VLOOKUP(B4983,Заказы!A:C,3,0)</f>
        <v>2023-10-26 18:03:00</v>
      </c>
      <c r="E4983" t="str">
        <f>VLOOKUP(C4983,Меню!A:E,4,0)</f>
        <v>Салат</v>
      </c>
      <c r="F4983">
        <f>VLOOKUP(C4983,Меню!A:E,5,0)</f>
        <v>250</v>
      </c>
    </row>
    <row r="4984" spans="1:6" ht="15.75" hidden="1" customHeight="1" x14ac:dyDescent="0.35">
      <c r="A4984" s="1">
        <v>4983</v>
      </c>
      <c r="B4984" s="1">
        <v>970</v>
      </c>
      <c r="C4984" s="1">
        <v>2</v>
      </c>
      <c r="D4984" t="str">
        <f>VLOOKUP(B4984,Заказы!A:C,3,0)</f>
        <v>2023-10-26 18:03:00</v>
      </c>
      <c r="E4984" t="str">
        <f>VLOOKUP(C4984,Меню!A:E,4,0)</f>
        <v>Завтрак</v>
      </c>
      <c r="F4984">
        <f>VLOOKUP(C4984,Меню!A:E,5,0)</f>
        <v>250</v>
      </c>
    </row>
    <row r="4985" spans="1:6" ht="15.75" hidden="1" customHeight="1" x14ac:dyDescent="0.35">
      <c r="A4985" s="1">
        <v>4984</v>
      </c>
      <c r="B4985" s="1">
        <v>970</v>
      </c>
      <c r="C4985" s="1">
        <v>8</v>
      </c>
      <c r="D4985" t="str">
        <f>VLOOKUP(B4985,Заказы!A:C,3,0)</f>
        <v>2023-10-26 18:03:00</v>
      </c>
      <c r="E4985" t="str">
        <f>VLOOKUP(C4985,Меню!A:E,4,0)</f>
        <v>Завтрак</v>
      </c>
      <c r="F4985">
        <f>VLOOKUP(C4985,Меню!A:E,5,0)</f>
        <v>180</v>
      </c>
    </row>
    <row r="4986" spans="1:6" ht="15.75" hidden="1" customHeight="1" x14ac:dyDescent="0.35">
      <c r="A4986" s="1">
        <v>4985</v>
      </c>
      <c r="B4986" s="1">
        <v>970</v>
      </c>
      <c r="C4986" s="1">
        <v>26</v>
      </c>
      <c r="D4986" t="str">
        <f>VLOOKUP(B4986,Заказы!A:C,3,0)</f>
        <v>2023-10-26 18:03:00</v>
      </c>
      <c r="E4986" t="str">
        <f>VLOOKUP(C4986,Меню!A:E,4,0)</f>
        <v>Салат</v>
      </c>
      <c r="F4986">
        <f>VLOOKUP(C4986,Меню!A:E,5,0)</f>
        <v>250</v>
      </c>
    </row>
    <row r="4987" spans="1:6" ht="15.75" hidden="1" customHeight="1" x14ac:dyDescent="0.35">
      <c r="A4987" s="1">
        <v>4986</v>
      </c>
      <c r="B4987" s="1">
        <v>970</v>
      </c>
      <c r="C4987" s="1">
        <v>43</v>
      </c>
      <c r="D4987" t="str">
        <f>VLOOKUP(B4987,Заказы!A:C,3,0)</f>
        <v>2023-10-26 18:03:00</v>
      </c>
      <c r="E4987" t="str">
        <f>VLOOKUP(C4987,Меню!A:E,4,0)</f>
        <v>Суши</v>
      </c>
      <c r="F4987">
        <f>VLOOKUP(C4987,Меню!A:E,5,0)</f>
        <v>250</v>
      </c>
    </row>
    <row r="4988" spans="1:6" ht="15.75" hidden="1" customHeight="1" x14ac:dyDescent="0.35">
      <c r="A4988" s="1">
        <v>4987</v>
      </c>
      <c r="B4988" s="1">
        <v>970</v>
      </c>
      <c r="C4988" s="1">
        <v>9</v>
      </c>
      <c r="D4988" t="str">
        <f>VLOOKUP(B4988,Заказы!A:C,3,0)</f>
        <v>2023-10-26 18:03:00</v>
      </c>
      <c r="E4988" t="str">
        <f>VLOOKUP(C4988,Меню!A:E,4,0)</f>
        <v>Завтрак</v>
      </c>
      <c r="F4988">
        <f>VLOOKUP(C4988,Меню!A:E,5,0)</f>
        <v>220</v>
      </c>
    </row>
    <row r="4989" spans="1:6" ht="15.75" hidden="1" customHeight="1" x14ac:dyDescent="0.35">
      <c r="A4989" s="1">
        <v>4988</v>
      </c>
      <c r="B4989" s="1">
        <v>970</v>
      </c>
      <c r="C4989" s="1">
        <v>26</v>
      </c>
      <c r="D4989" t="str">
        <f>VLOOKUP(B4989,Заказы!A:C,3,0)</f>
        <v>2023-10-26 18:03:00</v>
      </c>
      <c r="E4989" t="str">
        <f>VLOOKUP(C4989,Меню!A:E,4,0)</f>
        <v>Салат</v>
      </c>
      <c r="F4989">
        <f>VLOOKUP(C4989,Меню!A:E,5,0)</f>
        <v>250</v>
      </c>
    </row>
    <row r="4990" spans="1:6" ht="15.75" hidden="1" customHeight="1" x14ac:dyDescent="0.35">
      <c r="A4990" s="1">
        <v>4989</v>
      </c>
      <c r="B4990" s="1">
        <v>970</v>
      </c>
      <c r="C4990" s="1">
        <v>1</v>
      </c>
      <c r="D4990" t="str">
        <f>VLOOKUP(B4990,Заказы!A:C,3,0)</f>
        <v>2023-10-26 18:03:00</v>
      </c>
      <c r="E4990" t="str">
        <f>VLOOKUP(C4990,Меню!A:E,4,0)</f>
        <v>Завтрак</v>
      </c>
      <c r="F4990">
        <f>VLOOKUP(C4990,Меню!A:E,5,0)</f>
        <v>200</v>
      </c>
    </row>
    <row r="4991" spans="1:6" ht="15.75" hidden="1" customHeight="1" x14ac:dyDescent="0.35">
      <c r="A4991" s="1">
        <v>4990</v>
      </c>
      <c r="B4991" s="1">
        <v>971</v>
      </c>
      <c r="C4991" s="1">
        <v>34</v>
      </c>
      <c r="D4991" t="str">
        <f>VLOOKUP(B4991,Заказы!A:C,3,0)</f>
        <v>2023-10-26 20:31:00</v>
      </c>
      <c r="E4991" t="str">
        <f>VLOOKUP(C4991,Меню!A:E,4,0)</f>
        <v>Десерт</v>
      </c>
      <c r="F4991">
        <f>VLOOKUP(C4991,Меню!A:E,5,0)</f>
        <v>150</v>
      </c>
    </row>
    <row r="4992" spans="1:6" ht="15.75" hidden="1" customHeight="1" x14ac:dyDescent="0.35">
      <c r="A4992" s="1">
        <v>4991</v>
      </c>
      <c r="B4992" s="1">
        <v>972</v>
      </c>
      <c r="C4992" s="1">
        <v>7</v>
      </c>
      <c r="D4992" t="str">
        <f>VLOOKUP(B4992,Заказы!A:C,3,0)</f>
        <v>2023-10-26 20:43:00</v>
      </c>
      <c r="E4992" t="str">
        <f>VLOOKUP(C4992,Меню!A:E,4,0)</f>
        <v>Завтрак</v>
      </c>
      <c r="F4992">
        <f>VLOOKUP(C4992,Меню!A:E,5,0)</f>
        <v>200</v>
      </c>
    </row>
    <row r="4993" spans="1:6" ht="15.75" hidden="1" customHeight="1" x14ac:dyDescent="0.35">
      <c r="A4993" s="1">
        <v>4992</v>
      </c>
      <c r="B4993" s="1">
        <v>972</v>
      </c>
      <c r="C4993" s="1">
        <v>17</v>
      </c>
      <c r="D4993" t="str">
        <f>VLOOKUP(B4993,Заказы!A:C,3,0)</f>
        <v>2023-10-26 20:43:00</v>
      </c>
      <c r="E4993" t="str">
        <f>VLOOKUP(C4993,Меню!A:E,4,0)</f>
        <v>Первое</v>
      </c>
      <c r="F4993">
        <f>VLOOKUP(C4993,Меню!A:E,5,0)</f>
        <v>250</v>
      </c>
    </row>
    <row r="4994" spans="1:6" ht="15.75" hidden="1" customHeight="1" x14ac:dyDescent="0.35">
      <c r="A4994" s="1">
        <v>4993</v>
      </c>
      <c r="B4994" s="1">
        <v>972</v>
      </c>
      <c r="C4994" s="1">
        <v>2</v>
      </c>
      <c r="D4994" t="str">
        <f>VLOOKUP(B4994,Заказы!A:C,3,0)</f>
        <v>2023-10-26 20:43:00</v>
      </c>
      <c r="E4994" t="str">
        <f>VLOOKUP(C4994,Меню!A:E,4,0)</f>
        <v>Завтрак</v>
      </c>
      <c r="F4994">
        <f>VLOOKUP(C4994,Меню!A:E,5,0)</f>
        <v>250</v>
      </c>
    </row>
    <row r="4995" spans="1:6" ht="15.75" hidden="1" customHeight="1" x14ac:dyDescent="0.35">
      <c r="A4995" s="1">
        <v>4994</v>
      </c>
      <c r="B4995" s="1">
        <v>972</v>
      </c>
      <c r="C4995" s="1">
        <v>59</v>
      </c>
      <c r="D4995" t="str">
        <f>VLOOKUP(B4995,Заказы!A:C,3,0)</f>
        <v>2023-10-26 20:43:00</v>
      </c>
      <c r="E4995" t="str">
        <f>VLOOKUP(C4995,Меню!A:E,4,0)</f>
        <v>Суши</v>
      </c>
      <c r="F4995">
        <f>VLOOKUP(C4995,Меню!A:E,5,0)</f>
        <v>300</v>
      </c>
    </row>
    <row r="4996" spans="1:6" ht="15.75" hidden="1" customHeight="1" x14ac:dyDescent="0.35">
      <c r="A4996" s="1">
        <v>4995</v>
      </c>
      <c r="B4996" s="1">
        <v>972</v>
      </c>
      <c r="C4996" s="1">
        <v>31</v>
      </c>
      <c r="D4996" t="str">
        <f>VLOOKUP(B4996,Заказы!A:C,3,0)</f>
        <v>2023-10-26 20:43:00</v>
      </c>
      <c r="E4996" t="str">
        <f>VLOOKUP(C4996,Меню!A:E,4,0)</f>
        <v>Десерт</v>
      </c>
      <c r="F4996">
        <f>VLOOKUP(C4996,Меню!A:E,5,0)</f>
        <v>150</v>
      </c>
    </row>
    <row r="4997" spans="1:6" ht="15.75" hidden="1" customHeight="1" x14ac:dyDescent="0.35">
      <c r="A4997" s="1">
        <v>4996</v>
      </c>
      <c r="B4997" s="1">
        <v>973</v>
      </c>
      <c r="C4997" s="1">
        <v>11</v>
      </c>
      <c r="D4997" t="str">
        <f>VLOOKUP(B4997,Заказы!A:C,3,0)</f>
        <v>2023-10-26 21:50:00</v>
      </c>
      <c r="E4997" t="str">
        <f>VLOOKUP(C4997,Меню!A:E,4,0)</f>
        <v>Первое</v>
      </c>
      <c r="F4997">
        <f>VLOOKUP(C4997,Меню!A:E,5,0)</f>
        <v>300</v>
      </c>
    </row>
    <row r="4998" spans="1:6" ht="15.75" hidden="1" customHeight="1" x14ac:dyDescent="0.35">
      <c r="A4998" s="1">
        <v>4997</v>
      </c>
      <c r="B4998" s="1">
        <v>973</v>
      </c>
      <c r="C4998" s="1">
        <v>9</v>
      </c>
      <c r="D4998" t="str">
        <f>VLOOKUP(B4998,Заказы!A:C,3,0)</f>
        <v>2023-10-26 21:50:00</v>
      </c>
      <c r="E4998" t="str">
        <f>VLOOKUP(C4998,Меню!A:E,4,0)</f>
        <v>Завтрак</v>
      </c>
      <c r="F4998">
        <f>VLOOKUP(C4998,Меню!A:E,5,0)</f>
        <v>220</v>
      </c>
    </row>
    <row r="4999" spans="1:6" ht="15.75" hidden="1" customHeight="1" x14ac:dyDescent="0.35">
      <c r="A4999" s="1">
        <v>4998</v>
      </c>
      <c r="B4999" s="1">
        <v>973</v>
      </c>
      <c r="C4999" s="1">
        <v>52</v>
      </c>
      <c r="D4999" t="str">
        <f>VLOOKUP(B4999,Заказы!A:C,3,0)</f>
        <v>2023-10-26 21:50:00</v>
      </c>
      <c r="E4999" t="str">
        <f>VLOOKUP(C4999,Меню!A:E,4,0)</f>
        <v>Суши</v>
      </c>
      <c r="F4999">
        <f>VLOOKUP(C4999,Меню!A:E,5,0)</f>
        <v>100</v>
      </c>
    </row>
    <row r="5000" spans="1:6" ht="15.75" hidden="1" customHeight="1" x14ac:dyDescent="0.35">
      <c r="A5000" s="1">
        <v>4999</v>
      </c>
      <c r="B5000" s="1">
        <v>973</v>
      </c>
      <c r="C5000" s="1">
        <v>32</v>
      </c>
      <c r="D5000" t="str">
        <f>VLOOKUP(B5000,Заказы!A:C,3,0)</f>
        <v>2023-10-26 21:50:00</v>
      </c>
      <c r="E5000" t="str">
        <f>VLOOKUP(C5000,Меню!A:E,4,0)</f>
        <v>Десерт</v>
      </c>
      <c r="F5000">
        <f>VLOOKUP(C5000,Меню!A:E,5,0)</f>
        <v>150</v>
      </c>
    </row>
    <row r="5001" spans="1:6" ht="15.75" hidden="1" customHeight="1" x14ac:dyDescent="0.35">
      <c r="A5001" s="1">
        <v>5000</v>
      </c>
      <c r="B5001" s="1">
        <v>973</v>
      </c>
      <c r="C5001" s="1">
        <v>6</v>
      </c>
      <c r="D5001" t="str">
        <f>VLOOKUP(B5001,Заказы!A:C,3,0)</f>
        <v>2023-10-26 21:50:00</v>
      </c>
      <c r="E5001" t="str">
        <f>VLOOKUP(C5001,Меню!A:E,4,0)</f>
        <v>Завтрак</v>
      </c>
      <c r="F5001">
        <f>VLOOKUP(C5001,Меню!A:E,5,0)</f>
        <v>300</v>
      </c>
    </row>
    <row r="5002" spans="1:6" ht="15.75" hidden="1" customHeight="1" x14ac:dyDescent="0.35">
      <c r="A5002" s="1">
        <v>5001</v>
      </c>
      <c r="B5002" s="1">
        <v>974</v>
      </c>
      <c r="C5002" s="1">
        <v>2</v>
      </c>
      <c r="D5002" t="str">
        <f>VLOOKUP(B5002,Заказы!A:C,3,0)</f>
        <v>2023-10-27 21:44:00</v>
      </c>
      <c r="E5002" t="str">
        <f>VLOOKUP(C5002,Меню!A:E,4,0)</f>
        <v>Завтрак</v>
      </c>
      <c r="F5002">
        <f>VLOOKUP(C5002,Меню!A:E,5,0)</f>
        <v>250</v>
      </c>
    </row>
    <row r="5003" spans="1:6" ht="15.75" hidden="1" customHeight="1" x14ac:dyDescent="0.35">
      <c r="A5003" s="1">
        <v>5002</v>
      </c>
      <c r="B5003" s="1">
        <v>974</v>
      </c>
      <c r="C5003" s="1">
        <v>6</v>
      </c>
      <c r="D5003" t="str">
        <f>VLOOKUP(B5003,Заказы!A:C,3,0)</f>
        <v>2023-10-27 21:44:00</v>
      </c>
      <c r="E5003" t="str">
        <f>VLOOKUP(C5003,Меню!A:E,4,0)</f>
        <v>Завтрак</v>
      </c>
      <c r="F5003">
        <f>VLOOKUP(C5003,Меню!A:E,5,0)</f>
        <v>300</v>
      </c>
    </row>
    <row r="5004" spans="1:6" ht="15.75" hidden="1" customHeight="1" x14ac:dyDescent="0.35">
      <c r="A5004" s="1">
        <v>5003</v>
      </c>
      <c r="B5004" s="1">
        <v>974</v>
      </c>
      <c r="C5004" s="1">
        <v>19</v>
      </c>
      <c r="D5004" t="str">
        <f>VLOOKUP(B5004,Заказы!A:C,3,0)</f>
        <v>2023-10-27 21:44:00</v>
      </c>
      <c r="E5004" t="str">
        <f>VLOOKUP(C5004,Меню!A:E,4,0)</f>
        <v>Первое</v>
      </c>
      <c r="F5004">
        <f>VLOOKUP(C5004,Меню!A:E,5,0)</f>
        <v>300</v>
      </c>
    </row>
    <row r="5005" spans="1:6" ht="15.75" hidden="1" customHeight="1" x14ac:dyDescent="0.35">
      <c r="A5005" s="1">
        <v>5004</v>
      </c>
      <c r="B5005" s="1">
        <v>974</v>
      </c>
      <c r="C5005" s="1">
        <v>37</v>
      </c>
      <c r="D5005" t="str">
        <f>VLOOKUP(B5005,Заказы!A:C,3,0)</f>
        <v>2023-10-27 21:44:00</v>
      </c>
      <c r="E5005" t="str">
        <f>VLOOKUP(C5005,Меню!A:E,4,0)</f>
        <v>Десерт</v>
      </c>
      <c r="F5005">
        <f>VLOOKUP(C5005,Меню!A:E,5,0)</f>
        <v>100</v>
      </c>
    </row>
    <row r="5006" spans="1:6" ht="15.75" hidden="1" customHeight="1" x14ac:dyDescent="0.35">
      <c r="A5006" s="1">
        <v>5005</v>
      </c>
      <c r="B5006" s="1">
        <v>974</v>
      </c>
      <c r="C5006" s="1">
        <v>56</v>
      </c>
      <c r="D5006" t="str">
        <f>VLOOKUP(B5006,Заказы!A:C,3,0)</f>
        <v>2023-10-27 21:44:00</v>
      </c>
      <c r="E5006" t="str">
        <f>VLOOKUP(C5006,Меню!A:E,4,0)</f>
        <v>Суши</v>
      </c>
      <c r="F5006">
        <f>VLOOKUP(C5006,Меню!A:E,5,0)</f>
        <v>200</v>
      </c>
    </row>
    <row r="5007" spans="1:6" ht="15.75" hidden="1" customHeight="1" x14ac:dyDescent="0.35">
      <c r="A5007" s="1">
        <v>5006</v>
      </c>
      <c r="B5007" s="1">
        <v>974</v>
      </c>
      <c r="C5007" s="1">
        <v>4</v>
      </c>
      <c r="D5007" t="str">
        <f>VLOOKUP(B5007,Заказы!A:C,3,0)</f>
        <v>2023-10-27 21:44:00</v>
      </c>
      <c r="E5007" t="str">
        <f>VLOOKUP(C5007,Меню!A:E,4,0)</f>
        <v>Завтрак</v>
      </c>
      <c r="F5007">
        <f>VLOOKUP(C5007,Меню!A:E,5,0)</f>
        <v>180</v>
      </c>
    </row>
    <row r="5008" spans="1:6" ht="15.75" hidden="1" customHeight="1" x14ac:dyDescent="0.35">
      <c r="A5008" s="1">
        <v>5007</v>
      </c>
      <c r="B5008" s="1">
        <v>974</v>
      </c>
      <c r="C5008" s="1">
        <v>58</v>
      </c>
      <c r="D5008" t="str">
        <f>VLOOKUP(B5008,Заказы!A:C,3,0)</f>
        <v>2023-10-27 21:44:00</v>
      </c>
      <c r="E5008" t="str">
        <f>VLOOKUP(C5008,Меню!A:E,4,0)</f>
        <v>Суши</v>
      </c>
      <c r="F5008">
        <f>VLOOKUP(C5008,Меню!A:E,5,0)</f>
        <v>200</v>
      </c>
    </row>
    <row r="5009" spans="1:6" ht="15.75" hidden="1" customHeight="1" x14ac:dyDescent="0.35">
      <c r="A5009" s="1">
        <v>5008</v>
      </c>
      <c r="B5009" s="1">
        <v>975</v>
      </c>
      <c r="C5009" s="1">
        <v>46</v>
      </c>
      <c r="D5009" t="str">
        <f>VLOOKUP(B5009,Заказы!A:C,3,0)</f>
        <v>2023-10-27 22:11:00</v>
      </c>
      <c r="E5009" t="str">
        <f>VLOOKUP(C5009,Меню!A:E,4,0)</f>
        <v>Суши</v>
      </c>
      <c r="F5009">
        <f>VLOOKUP(C5009,Меню!A:E,5,0)</f>
        <v>200</v>
      </c>
    </row>
    <row r="5010" spans="1:6" ht="15.75" hidden="1" customHeight="1" x14ac:dyDescent="0.35">
      <c r="A5010" s="1">
        <v>5009</v>
      </c>
      <c r="B5010" s="1">
        <v>975</v>
      </c>
      <c r="C5010" s="1">
        <v>60</v>
      </c>
      <c r="D5010" t="str">
        <f>VLOOKUP(B5010,Заказы!A:C,3,0)</f>
        <v>2023-10-27 22:11:00</v>
      </c>
      <c r="E5010" t="str">
        <f>VLOOKUP(C5010,Меню!A:E,4,0)</f>
        <v>Суши</v>
      </c>
      <c r="F5010">
        <f>VLOOKUP(C5010,Меню!A:E,5,0)</f>
        <v>250</v>
      </c>
    </row>
    <row r="5011" spans="1:6" ht="15.75" hidden="1" customHeight="1" x14ac:dyDescent="0.35">
      <c r="A5011" s="1">
        <v>5010</v>
      </c>
      <c r="B5011" s="1">
        <v>975</v>
      </c>
      <c r="C5011" s="1">
        <v>3</v>
      </c>
      <c r="D5011" t="str">
        <f>VLOOKUP(B5011,Заказы!A:C,3,0)</f>
        <v>2023-10-27 22:11:00</v>
      </c>
      <c r="E5011" t="str">
        <f>VLOOKUP(C5011,Меню!A:E,4,0)</f>
        <v>Завтрак</v>
      </c>
      <c r="F5011">
        <f>VLOOKUP(C5011,Меню!A:E,5,0)</f>
        <v>150</v>
      </c>
    </row>
    <row r="5012" spans="1:6" ht="15.75" hidden="1" customHeight="1" x14ac:dyDescent="0.35">
      <c r="A5012" s="1">
        <v>5011</v>
      </c>
      <c r="B5012" s="1">
        <v>975</v>
      </c>
      <c r="C5012" s="1">
        <v>29</v>
      </c>
      <c r="D5012" t="str">
        <f>VLOOKUP(B5012,Заказы!A:C,3,0)</f>
        <v>2023-10-27 22:11:00</v>
      </c>
      <c r="E5012" t="str">
        <f>VLOOKUP(C5012,Меню!A:E,4,0)</f>
        <v>Салат</v>
      </c>
      <c r="F5012">
        <f>VLOOKUP(C5012,Меню!A:E,5,0)</f>
        <v>250</v>
      </c>
    </row>
    <row r="5013" spans="1:6" ht="15.75" hidden="1" customHeight="1" x14ac:dyDescent="0.35">
      <c r="A5013" s="1">
        <v>5012</v>
      </c>
      <c r="B5013" s="1">
        <v>976</v>
      </c>
      <c r="C5013" s="1">
        <v>39</v>
      </c>
      <c r="D5013" t="str">
        <f>VLOOKUP(B5013,Заказы!A:C,3,0)</f>
        <v>2023-10-28 17:31:00</v>
      </c>
      <c r="E5013" t="str">
        <f>VLOOKUP(C5013,Меню!A:E,4,0)</f>
        <v>Десерт</v>
      </c>
      <c r="F5013">
        <f>VLOOKUP(C5013,Меню!A:E,5,0)</f>
        <v>150</v>
      </c>
    </row>
    <row r="5014" spans="1:6" ht="15.75" hidden="1" customHeight="1" x14ac:dyDescent="0.35">
      <c r="A5014" s="1">
        <v>5013</v>
      </c>
      <c r="B5014" s="1">
        <v>976</v>
      </c>
      <c r="C5014" s="1">
        <v>11</v>
      </c>
      <c r="D5014" t="str">
        <f>VLOOKUP(B5014,Заказы!A:C,3,0)</f>
        <v>2023-10-28 17:31:00</v>
      </c>
      <c r="E5014" t="str">
        <f>VLOOKUP(C5014,Меню!A:E,4,0)</f>
        <v>Первое</v>
      </c>
      <c r="F5014">
        <f>VLOOKUP(C5014,Меню!A:E,5,0)</f>
        <v>300</v>
      </c>
    </row>
    <row r="5015" spans="1:6" ht="15.75" hidden="1" customHeight="1" x14ac:dyDescent="0.35">
      <c r="A5015" s="1">
        <v>5014</v>
      </c>
      <c r="B5015" s="1">
        <v>976</v>
      </c>
      <c r="C5015" s="1">
        <v>45</v>
      </c>
      <c r="D5015" t="str">
        <f>VLOOKUP(B5015,Заказы!A:C,3,0)</f>
        <v>2023-10-28 17:31:00</v>
      </c>
      <c r="E5015" t="str">
        <f>VLOOKUP(C5015,Меню!A:E,4,0)</f>
        <v>Суши</v>
      </c>
      <c r="F5015">
        <f>VLOOKUP(C5015,Меню!A:E,5,0)</f>
        <v>200</v>
      </c>
    </row>
    <row r="5016" spans="1:6" ht="15.75" hidden="1" customHeight="1" x14ac:dyDescent="0.35">
      <c r="A5016" s="1">
        <v>5015</v>
      </c>
      <c r="B5016" s="1">
        <v>976</v>
      </c>
      <c r="C5016" s="1">
        <v>36</v>
      </c>
      <c r="D5016" t="str">
        <f>VLOOKUP(B5016,Заказы!A:C,3,0)</f>
        <v>2023-10-28 17:31:00</v>
      </c>
      <c r="E5016" t="str">
        <f>VLOOKUP(C5016,Меню!A:E,4,0)</f>
        <v>Десерт</v>
      </c>
      <c r="F5016">
        <f>VLOOKUP(C5016,Меню!A:E,5,0)</f>
        <v>150</v>
      </c>
    </row>
    <row r="5017" spans="1:6" ht="15.75" hidden="1" customHeight="1" x14ac:dyDescent="0.35">
      <c r="A5017" s="1">
        <v>5016</v>
      </c>
      <c r="B5017" s="1">
        <v>976</v>
      </c>
      <c r="C5017" s="1">
        <v>19</v>
      </c>
      <c r="D5017" t="str">
        <f>VLOOKUP(B5017,Заказы!A:C,3,0)</f>
        <v>2023-10-28 17:31:00</v>
      </c>
      <c r="E5017" t="str">
        <f>VLOOKUP(C5017,Меню!A:E,4,0)</f>
        <v>Первое</v>
      </c>
      <c r="F5017">
        <f>VLOOKUP(C5017,Меню!A:E,5,0)</f>
        <v>300</v>
      </c>
    </row>
    <row r="5018" spans="1:6" ht="15.75" hidden="1" customHeight="1" x14ac:dyDescent="0.35">
      <c r="A5018" s="1">
        <v>5017</v>
      </c>
      <c r="B5018" s="1">
        <v>977</v>
      </c>
      <c r="C5018" s="1">
        <v>2</v>
      </c>
      <c r="D5018" t="str">
        <f>VLOOKUP(B5018,Заказы!A:C,3,0)</f>
        <v>2023-10-28 17:50:00</v>
      </c>
      <c r="E5018" t="str">
        <f>VLOOKUP(C5018,Меню!A:E,4,0)</f>
        <v>Завтрак</v>
      </c>
      <c r="F5018">
        <f>VLOOKUP(C5018,Меню!A:E,5,0)</f>
        <v>250</v>
      </c>
    </row>
    <row r="5019" spans="1:6" ht="15.75" hidden="1" customHeight="1" x14ac:dyDescent="0.35">
      <c r="A5019" s="1">
        <v>5018</v>
      </c>
      <c r="B5019" s="1">
        <v>977</v>
      </c>
      <c r="C5019" s="1">
        <v>57</v>
      </c>
      <c r="D5019" t="str">
        <f>VLOOKUP(B5019,Заказы!A:C,3,0)</f>
        <v>2023-10-28 17:50:00</v>
      </c>
      <c r="E5019" t="str">
        <f>VLOOKUP(C5019,Меню!A:E,4,0)</f>
        <v>Суши</v>
      </c>
      <c r="F5019">
        <f>VLOOKUP(C5019,Меню!A:E,5,0)</f>
        <v>200</v>
      </c>
    </row>
    <row r="5020" spans="1:6" ht="15.75" hidden="1" customHeight="1" x14ac:dyDescent="0.35">
      <c r="A5020" s="1">
        <v>5019</v>
      </c>
      <c r="B5020" s="1">
        <v>977</v>
      </c>
      <c r="C5020" s="1">
        <v>26</v>
      </c>
      <c r="D5020" t="str">
        <f>VLOOKUP(B5020,Заказы!A:C,3,0)</f>
        <v>2023-10-28 17:50:00</v>
      </c>
      <c r="E5020" t="str">
        <f>VLOOKUP(C5020,Меню!A:E,4,0)</f>
        <v>Салат</v>
      </c>
      <c r="F5020">
        <f>VLOOKUP(C5020,Меню!A:E,5,0)</f>
        <v>250</v>
      </c>
    </row>
    <row r="5021" spans="1:6" ht="15.75" hidden="1" customHeight="1" x14ac:dyDescent="0.35">
      <c r="A5021" s="1">
        <v>5020</v>
      </c>
      <c r="B5021" s="1">
        <v>977</v>
      </c>
      <c r="C5021" s="1">
        <v>34</v>
      </c>
      <c r="D5021" t="str">
        <f>VLOOKUP(B5021,Заказы!A:C,3,0)</f>
        <v>2023-10-28 17:50:00</v>
      </c>
      <c r="E5021" t="str">
        <f>VLOOKUP(C5021,Меню!A:E,4,0)</f>
        <v>Десерт</v>
      </c>
      <c r="F5021">
        <f>VLOOKUP(C5021,Меню!A:E,5,0)</f>
        <v>150</v>
      </c>
    </row>
    <row r="5022" spans="1:6" ht="15.75" hidden="1" customHeight="1" x14ac:dyDescent="0.35">
      <c r="A5022" s="1">
        <v>5021</v>
      </c>
      <c r="B5022" s="1">
        <v>977</v>
      </c>
      <c r="C5022" s="1">
        <v>48</v>
      </c>
      <c r="D5022" t="str">
        <f>VLOOKUP(B5022,Заказы!A:C,3,0)</f>
        <v>2023-10-28 17:50:00</v>
      </c>
      <c r="E5022" t="str">
        <f>VLOOKUP(C5022,Меню!A:E,4,0)</f>
        <v>Суши</v>
      </c>
      <c r="F5022">
        <f>VLOOKUP(C5022,Меню!A:E,5,0)</f>
        <v>200</v>
      </c>
    </row>
    <row r="5023" spans="1:6" ht="15.75" hidden="1" customHeight="1" x14ac:dyDescent="0.35">
      <c r="A5023" s="1">
        <v>5022</v>
      </c>
      <c r="B5023" s="1">
        <v>977</v>
      </c>
      <c r="C5023" s="1">
        <v>45</v>
      </c>
      <c r="D5023" t="str">
        <f>VLOOKUP(B5023,Заказы!A:C,3,0)</f>
        <v>2023-10-28 17:50:00</v>
      </c>
      <c r="E5023" t="str">
        <f>VLOOKUP(C5023,Меню!A:E,4,0)</f>
        <v>Суши</v>
      </c>
      <c r="F5023">
        <f>VLOOKUP(C5023,Меню!A:E,5,0)</f>
        <v>200</v>
      </c>
    </row>
    <row r="5024" spans="1:6" ht="15.75" hidden="1" customHeight="1" x14ac:dyDescent="0.35">
      <c r="A5024" s="1">
        <v>5023</v>
      </c>
      <c r="B5024" s="1">
        <v>977</v>
      </c>
      <c r="C5024" s="1">
        <v>51</v>
      </c>
      <c r="D5024" t="str">
        <f>VLOOKUP(B5024,Заказы!A:C,3,0)</f>
        <v>2023-10-28 17:50:00</v>
      </c>
      <c r="E5024" t="str">
        <f>VLOOKUP(C5024,Меню!A:E,4,0)</f>
        <v>Суши</v>
      </c>
      <c r="F5024">
        <f>VLOOKUP(C5024,Меню!A:E,5,0)</f>
        <v>100</v>
      </c>
    </row>
    <row r="5025" spans="1:6" ht="15.75" hidden="1" customHeight="1" x14ac:dyDescent="0.35">
      <c r="A5025" s="1">
        <v>5024</v>
      </c>
      <c r="B5025" s="1">
        <v>977</v>
      </c>
      <c r="C5025" s="1">
        <v>27</v>
      </c>
      <c r="D5025" t="str">
        <f>VLOOKUP(B5025,Заказы!A:C,3,0)</f>
        <v>2023-10-28 17:50:00</v>
      </c>
      <c r="E5025" t="str">
        <f>VLOOKUP(C5025,Меню!A:E,4,0)</f>
        <v>Салат</v>
      </c>
      <c r="F5025">
        <f>VLOOKUP(C5025,Меню!A:E,5,0)</f>
        <v>250</v>
      </c>
    </row>
    <row r="5026" spans="1:6" ht="15.75" hidden="1" customHeight="1" x14ac:dyDescent="0.35">
      <c r="A5026" s="1">
        <v>5025</v>
      </c>
      <c r="B5026" s="1">
        <v>978</v>
      </c>
      <c r="C5026" s="1">
        <v>31</v>
      </c>
      <c r="D5026" t="str">
        <f>VLOOKUP(B5026,Заказы!A:C,3,0)</f>
        <v>2023-10-28 18:05:00</v>
      </c>
      <c r="E5026" t="str">
        <f>VLOOKUP(C5026,Меню!A:E,4,0)</f>
        <v>Десерт</v>
      </c>
      <c r="F5026">
        <f>VLOOKUP(C5026,Меню!A:E,5,0)</f>
        <v>150</v>
      </c>
    </row>
    <row r="5027" spans="1:6" ht="15.75" hidden="1" customHeight="1" x14ac:dyDescent="0.35">
      <c r="A5027" s="1">
        <v>5026</v>
      </c>
      <c r="B5027" s="1">
        <v>978</v>
      </c>
      <c r="C5027" s="1">
        <v>38</v>
      </c>
      <c r="D5027" t="str">
        <f>VLOOKUP(B5027,Заказы!A:C,3,0)</f>
        <v>2023-10-28 18:05:00</v>
      </c>
      <c r="E5027" t="str">
        <f>VLOOKUP(C5027,Меню!A:E,4,0)</f>
        <v>Десерт</v>
      </c>
      <c r="F5027">
        <f>VLOOKUP(C5027,Меню!A:E,5,0)</f>
        <v>150</v>
      </c>
    </row>
    <row r="5028" spans="1:6" ht="15.75" hidden="1" customHeight="1" x14ac:dyDescent="0.35">
      <c r="A5028" s="1">
        <v>5027</v>
      </c>
      <c r="B5028" s="1">
        <v>978</v>
      </c>
      <c r="C5028" s="1">
        <v>14</v>
      </c>
      <c r="D5028" t="str">
        <f>VLOOKUP(B5028,Заказы!A:C,3,0)</f>
        <v>2023-10-28 18:05:00</v>
      </c>
      <c r="E5028" t="str">
        <f>VLOOKUP(C5028,Меню!A:E,4,0)</f>
        <v>Первое</v>
      </c>
      <c r="F5028">
        <f>VLOOKUP(C5028,Меню!A:E,5,0)</f>
        <v>350</v>
      </c>
    </row>
    <row r="5029" spans="1:6" ht="15.75" hidden="1" customHeight="1" x14ac:dyDescent="0.35">
      <c r="A5029" s="1">
        <v>5028</v>
      </c>
      <c r="B5029" s="1">
        <v>978</v>
      </c>
      <c r="C5029" s="1">
        <v>2</v>
      </c>
      <c r="D5029" t="str">
        <f>VLOOKUP(B5029,Заказы!A:C,3,0)</f>
        <v>2023-10-28 18:05:00</v>
      </c>
      <c r="E5029" t="str">
        <f>VLOOKUP(C5029,Меню!A:E,4,0)</f>
        <v>Завтрак</v>
      </c>
      <c r="F5029">
        <f>VLOOKUP(C5029,Меню!A:E,5,0)</f>
        <v>250</v>
      </c>
    </row>
    <row r="5030" spans="1:6" ht="15.75" hidden="1" customHeight="1" x14ac:dyDescent="0.35">
      <c r="A5030" s="1">
        <v>5029</v>
      </c>
      <c r="B5030" s="1">
        <v>979</v>
      </c>
      <c r="C5030" s="1">
        <v>50</v>
      </c>
      <c r="D5030" t="str">
        <f>VLOOKUP(B5030,Заказы!A:C,3,0)</f>
        <v>2023-10-28 21:43:00</v>
      </c>
      <c r="E5030" t="str">
        <f>VLOOKUP(C5030,Меню!A:E,4,0)</f>
        <v>Суши</v>
      </c>
      <c r="F5030">
        <f>VLOOKUP(C5030,Меню!A:E,5,0)</f>
        <v>200</v>
      </c>
    </row>
    <row r="5031" spans="1:6" ht="15.75" hidden="1" customHeight="1" x14ac:dyDescent="0.35">
      <c r="A5031" s="1">
        <v>5030</v>
      </c>
      <c r="B5031" s="1">
        <v>979</v>
      </c>
      <c r="C5031" s="1">
        <v>28</v>
      </c>
      <c r="D5031" t="str">
        <f>VLOOKUP(B5031,Заказы!A:C,3,0)</f>
        <v>2023-10-28 21:43:00</v>
      </c>
      <c r="E5031" t="str">
        <f>VLOOKUP(C5031,Меню!A:E,4,0)</f>
        <v>Салат</v>
      </c>
      <c r="F5031">
        <f>VLOOKUP(C5031,Меню!A:E,5,0)</f>
        <v>250</v>
      </c>
    </row>
    <row r="5032" spans="1:6" ht="15.75" hidden="1" customHeight="1" x14ac:dyDescent="0.35">
      <c r="A5032" s="1">
        <v>5031</v>
      </c>
      <c r="B5032" s="1">
        <v>979</v>
      </c>
      <c r="C5032" s="1">
        <v>5</v>
      </c>
      <c r="D5032" t="str">
        <f>VLOOKUP(B5032,Заказы!A:C,3,0)</f>
        <v>2023-10-28 21:43:00</v>
      </c>
      <c r="E5032" t="str">
        <f>VLOOKUP(C5032,Меню!A:E,4,0)</f>
        <v>Завтрак</v>
      </c>
      <c r="F5032">
        <f>VLOOKUP(C5032,Меню!A:E,5,0)</f>
        <v>220</v>
      </c>
    </row>
    <row r="5033" spans="1:6" ht="15.75" hidden="1" customHeight="1" x14ac:dyDescent="0.35">
      <c r="A5033" s="1">
        <v>5032</v>
      </c>
      <c r="B5033" s="1">
        <v>979</v>
      </c>
      <c r="C5033" s="1">
        <v>46</v>
      </c>
      <c r="D5033" t="str">
        <f>VLOOKUP(B5033,Заказы!A:C,3,0)</f>
        <v>2023-10-28 21:43:00</v>
      </c>
      <c r="E5033" t="str">
        <f>VLOOKUP(C5033,Меню!A:E,4,0)</f>
        <v>Суши</v>
      </c>
      <c r="F5033">
        <f>VLOOKUP(C5033,Меню!A:E,5,0)</f>
        <v>200</v>
      </c>
    </row>
    <row r="5034" spans="1:6" ht="15.75" hidden="1" customHeight="1" x14ac:dyDescent="0.35">
      <c r="A5034" s="1">
        <v>5033</v>
      </c>
      <c r="B5034" s="1">
        <v>979</v>
      </c>
      <c r="C5034" s="1">
        <v>27</v>
      </c>
      <c r="D5034" t="str">
        <f>VLOOKUP(B5034,Заказы!A:C,3,0)</f>
        <v>2023-10-28 21:43:00</v>
      </c>
      <c r="E5034" t="str">
        <f>VLOOKUP(C5034,Меню!A:E,4,0)</f>
        <v>Салат</v>
      </c>
      <c r="F5034">
        <f>VLOOKUP(C5034,Меню!A:E,5,0)</f>
        <v>250</v>
      </c>
    </row>
    <row r="5035" spans="1:6" ht="15.75" hidden="1" customHeight="1" x14ac:dyDescent="0.35">
      <c r="A5035" s="1">
        <v>5034</v>
      </c>
      <c r="B5035" s="1">
        <v>979</v>
      </c>
      <c r="C5035" s="1">
        <v>48</v>
      </c>
      <c r="D5035" t="str">
        <f>VLOOKUP(B5035,Заказы!A:C,3,0)</f>
        <v>2023-10-28 21:43:00</v>
      </c>
      <c r="E5035" t="str">
        <f>VLOOKUP(C5035,Меню!A:E,4,0)</f>
        <v>Суши</v>
      </c>
      <c r="F5035">
        <f>VLOOKUP(C5035,Меню!A:E,5,0)</f>
        <v>200</v>
      </c>
    </row>
    <row r="5036" spans="1:6" ht="15.75" hidden="1" customHeight="1" x14ac:dyDescent="0.35">
      <c r="A5036" s="1">
        <v>5035</v>
      </c>
      <c r="B5036" s="1">
        <v>980</v>
      </c>
      <c r="C5036" s="1">
        <v>17</v>
      </c>
      <c r="D5036" t="str">
        <f>VLOOKUP(B5036,Заказы!A:C,3,0)</f>
        <v>2023-10-28 22:43:00</v>
      </c>
      <c r="E5036" t="str">
        <f>VLOOKUP(C5036,Меню!A:E,4,0)</f>
        <v>Первое</v>
      </c>
      <c r="F5036">
        <f>VLOOKUP(C5036,Меню!A:E,5,0)</f>
        <v>250</v>
      </c>
    </row>
    <row r="5037" spans="1:6" ht="15.75" hidden="1" customHeight="1" x14ac:dyDescent="0.35">
      <c r="A5037" s="1">
        <v>5036</v>
      </c>
      <c r="B5037" s="1">
        <v>980</v>
      </c>
      <c r="C5037" s="1">
        <v>58</v>
      </c>
      <c r="D5037" t="str">
        <f>VLOOKUP(B5037,Заказы!A:C,3,0)</f>
        <v>2023-10-28 22:43:00</v>
      </c>
      <c r="E5037" t="str">
        <f>VLOOKUP(C5037,Меню!A:E,4,0)</f>
        <v>Суши</v>
      </c>
      <c r="F5037">
        <f>VLOOKUP(C5037,Меню!A:E,5,0)</f>
        <v>200</v>
      </c>
    </row>
    <row r="5038" spans="1:6" ht="15.75" hidden="1" customHeight="1" x14ac:dyDescent="0.35">
      <c r="A5038" s="1">
        <v>5037</v>
      </c>
      <c r="B5038" s="1">
        <v>980</v>
      </c>
      <c r="C5038" s="1">
        <v>22</v>
      </c>
      <c r="D5038" t="str">
        <f>VLOOKUP(B5038,Заказы!A:C,3,0)</f>
        <v>2023-10-28 22:43:00</v>
      </c>
      <c r="E5038" t="str">
        <f>VLOOKUP(C5038,Меню!A:E,4,0)</f>
        <v>Салат</v>
      </c>
      <c r="F5038">
        <f>VLOOKUP(C5038,Меню!A:E,5,0)</f>
        <v>250</v>
      </c>
    </row>
    <row r="5039" spans="1:6" ht="15.75" hidden="1" customHeight="1" x14ac:dyDescent="0.35">
      <c r="A5039" s="1">
        <v>5038</v>
      </c>
      <c r="B5039" s="1">
        <v>980</v>
      </c>
      <c r="C5039" s="1">
        <v>26</v>
      </c>
      <c r="D5039" t="str">
        <f>VLOOKUP(B5039,Заказы!A:C,3,0)</f>
        <v>2023-10-28 22:43:00</v>
      </c>
      <c r="E5039" t="str">
        <f>VLOOKUP(C5039,Меню!A:E,4,0)</f>
        <v>Салат</v>
      </c>
      <c r="F5039">
        <f>VLOOKUP(C5039,Меню!A:E,5,0)</f>
        <v>250</v>
      </c>
    </row>
    <row r="5040" spans="1:6" ht="15.75" hidden="1" customHeight="1" x14ac:dyDescent="0.35">
      <c r="A5040" s="1">
        <v>5039</v>
      </c>
      <c r="B5040" s="1">
        <v>980</v>
      </c>
      <c r="C5040" s="1">
        <v>9</v>
      </c>
      <c r="D5040" t="str">
        <f>VLOOKUP(B5040,Заказы!A:C,3,0)</f>
        <v>2023-10-28 22:43:00</v>
      </c>
      <c r="E5040" t="str">
        <f>VLOOKUP(C5040,Меню!A:E,4,0)</f>
        <v>Завтрак</v>
      </c>
      <c r="F5040">
        <f>VLOOKUP(C5040,Меню!A:E,5,0)</f>
        <v>220</v>
      </c>
    </row>
    <row r="5041" spans="1:6" ht="15.75" hidden="1" customHeight="1" x14ac:dyDescent="0.35">
      <c r="A5041" s="1">
        <v>5040</v>
      </c>
      <c r="B5041" s="1">
        <v>980</v>
      </c>
      <c r="C5041" s="1">
        <v>48</v>
      </c>
      <c r="D5041" t="str">
        <f>VLOOKUP(B5041,Заказы!A:C,3,0)</f>
        <v>2023-10-28 22:43:00</v>
      </c>
      <c r="E5041" t="str">
        <f>VLOOKUP(C5041,Меню!A:E,4,0)</f>
        <v>Суши</v>
      </c>
      <c r="F5041">
        <f>VLOOKUP(C5041,Меню!A:E,5,0)</f>
        <v>200</v>
      </c>
    </row>
    <row r="5042" spans="1:6" ht="15.75" hidden="1" customHeight="1" x14ac:dyDescent="0.35">
      <c r="A5042" s="1">
        <v>5041</v>
      </c>
      <c r="B5042" s="1">
        <v>980</v>
      </c>
      <c r="C5042" s="1">
        <v>33</v>
      </c>
      <c r="D5042" t="str">
        <f>VLOOKUP(B5042,Заказы!A:C,3,0)</f>
        <v>2023-10-28 22:43:00</v>
      </c>
      <c r="E5042" t="str">
        <f>VLOOKUP(C5042,Меню!A:E,4,0)</f>
        <v>Десерт</v>
      </c>
      <c r="F5042">
        <f>VLOOKUP(C5042,Меню!A:E,5,0)</f>
        <v>150</v>
      </c>
    </row>
    <row r="5043" spans="1:6" ht="15.75" hidden="1" customHeight="1" x14ac:dyDescent="0.35">
      <c r="A5043" s="1">
        <v>5042</v>
      </c>
      <c r="B5043" s="1">
        <v>981</v>
      </c>
      <c r="C5043" s="1">
        <v>20</v>
      </c>
      <c r="D5043" t="str">
        <f>VLOOKUP(B5043,Заказы!A:C,3,0)</f>
        <v>2023-10-29 17:42:00</v>
      </c>
      <c r="E5043" t="str">
        <f>VLOOKUP(C5043,Меню!A:E,4,0)</f>
        <v>Первое</v>
      </c>
      <c r="F5043">
        <f>VLOOKUP(C5043,Меню!A:E,5,0)</f>
        <v>250</v>
      </c>
    </row>
    <row r="5044" spans="1:6" ht="15.75" hidden="1" customHeight="1" x14ac:dyDescent="0.35">
      <c r="A5044" s="1">
        <v>5043</v>
      </c>
      <c r="B5044" s="1">
        <v>981</v>
      </c>
      <c r="C5044" s="1">
        <v>57</v>
      </c>
      <c r="D5044" t="str">
        <f>VLOOKUP(B5044,Заказы!A:C,3,0)</f>
        <v>2023-10-29 17:42:00</v>
      </c>
      <c r="E5044" t="str">
        <f>VLOOKUP(C5044,Меню!A:E,4,0)</f>
        <v>Суши</v>
      </c>
      <c r="F5044">
        <f>VLOOKUP(C5044,Меню!A:E,5,0)</f>
        <v>200</v>
      </c>
    </row>
    <row r="5045" spans="1:6" ht="15.75" hidden="1" customHeight="1" x14ac:dyDescent="0.35">
      <c r="A5045" s="1">
        <v>5044</v>
      </c>
      <c r="B5045" s="1">
        <v>981</v>
      </c>
      <c r="C5045" s="1">
        <v>50</v>
      </c>
      <c r="D5045" t="str">
        <f>VLOOKUP(B5045,Заказы!A:C,3,0)</f>
        <v>2023-10-29 17:42:00</v>
      </c>
      <c r="E5045" t="str">
        <f>VLOOKUP(C5045,Меню!A:E,4,0)</f>
        <v>Суши</v>
      </c>
      <c r="F5045">
        <f>VLOOKUP(C5045,Меню!A:E,5,0)</f>
        <v>200</v>
      </c>
    </row>
    <row r="5046" spans="1:6" ht="15.75" hidden="1" customHeight="1" x14ac:dyDescent="0.35">
      <c r="A5046" s="1">
        <v>5045</v>
      </c>
      <c r="B5046" s="1">
        <v>981</v>
      </c>
      <c r="C5046" s="1">
        <v>15</v>
      </c>
      <c r="D5046" t="str">
        <f>VLOOKUP(B5046,Заказы!A:C,3,0)</f>
        <v>2023-10-29 17:42:00</v>
      </c>
      <c r="E5046" t="str">
        <f>VLOOKUP(C5046,Меню!A:E,4,0)</f>
        <v>Первое</v>
      </c>
      <c r="F5046">
        <f>VLOOKUP(C5046,Меню!A:E,5,0)</f>
        <v>250</v>
      </c>
    </row>
    <row r="5047" spans="1:6" ht="15.75" hidden="1" customHeight="1" x14ac:dyDescent="0.35">
      <c r="A5047" s="1">
        <v>5046</v>
      </c>
      <c r="B5047" s="1">
        <v>981</v>
      </c>
      <c r="C5047" s="1">
        <v>45</v>
      </c>
      <c r="D5047" t="str">
        <f>VLOOKUP(B5047,Заказы!A:C,3,0)</f>
        <v>2023-10-29 17:42:00</v>
      </c>
      <c r="E5047" t="str">
        <f>VLOOKUP(C5047,Меню!A:E,4,0)</f>
        <v>Суши</v>
      </c>
      <c r="F5047">
        <f>VLOOKUP(C5047,Меню!A:E,5,0)</f>
        <v>200</v>
      </c>
    </row>
    <row r="5048" spans="1:6" ht="15.75" hidden="1" customHeight="1" x14ac:dyDescent="0.35">
      <c r="A5048" s="1">
        <v>5047</v>
      </c>
      <c r="B5048" s="1">
        <v>981</v>
      </c>
      <c r="C5048" s="1">
        <v>32</v>
      </c>
      <c r="D5048" t="str">
        <f>VLOOKUP(B5048,Заказы!A:C,3,0)</f>
        <v>2023-10-29 17:42:00</v>
      </c>
      <c r="E5048" t="str">
        <f>VLOOKUP(C5048,Меню!A:E,4,0)</f>
        <v>Десерт</v>
      </c>
      <c r="F5048">
        <f>VLOOKUP(C5048,Меню!A:E,5,0)</f>
        <v>150</v>
      </c>
    </row>
    <row r="5049" spans="1:6" ht="15.75" hidden="1" customHeight="1" x14ac:dyDescent="0.35">
      <c r="A5049" s="1">
        <v>5048</v>
      </c>
      <c r="B5049" s="1">
        <v>982</v>
      </c>
      <c r="C5049" s="1">
        <v>46</v>
      </c>
      <c r="D5049" t="str">
        <f>VLOOKUP(B5049,Заказы!A:C,3,0)</f>
        <v>2023-10-29 21:37:00</v>
      </c>
      <c r="E5049" t="str">
        <f>VLOOKUP(C5049,Меню!A:E,4,0)</f>
        <v>Суши</v>
      </c>
      <c r="F5049">
        <f>VLOOKUP(C5049,Меню!A:E,5,0)</f>
        <v>200</v>
      </c>
    </row>
    <row r="5050" spans="1:6" ht="15.75" hidden="1" customHeight="1" x14ac:dyDescent="0.35">
      <c r="A5050" s="1">
        <v>5049</v>
      </c>
      <c r="B5050" s="1">
        <v>982</v>
      </c>
      <c r="C5050" s="1">
        <v>2</v>
      </c>
      <c r="D5050" t="str">
        <f>VLOOKUP(B5050,Заказы!A:C,3,0)</f>
        <v>2023-10-29 21:37:00</v>
      </c>
      <c r="E5050" t="str">
        <f>VLOOKUP(C5050,Меню!A:E,4,0)</f>
        <v>Завтрак</v>
      </c>
      <c r="F5050">
        <f>VLOOKUP(C5050,Меню!A:E,5,0)</f>
        <v>250</v>
      </c>
    </row>
    <row r="5051" spans="1:6" ht="15.75" hidden="1" customHeight="1" x14ac:dyDescent="0.35">
      <c r="A5051" s="1">
        <v>5050</v>
      </c>
      <c r="B5051" s="1">
        <v>982</v>
      </c>
      <c r="C5051" s="1">
        <v>16</v>
      </c>
      <c r="D5051" t="str">
        <f>VLOOKUP(B5051,Заказы!A:C,3,0)</f>
        <v>2023-10-29 21:37:00</v>
      </c>
      <c r="E5051" t="str">
        <f>VLOOKUP(C5051,Меню!A:E,4,0)</f>
        <v>Первое</v>
      </c>
      <c r="F5051">
        <f>VLOOKUP(C5051,Меню!A:E,5,0)</f>
        <v>250</v>
      </c>
    </row>
    <row r="5052" spans="1:6" ht="15.75" hidden="1" customHeight="1" x14ac:dyDescent="0.35">
      <c r="A5052" s="1">
        <v>5051</v>
      </c>
      <c r="B5052" s="1">
        <v>982</v>
      </c>
      <c r="C5052" s="1">
        <v>53</v>
      </c>
      <c r="D5052" t="str">
        <f>VLOOKUP(B5052,Заказы!A:C,3,0)</f>
        <v>2023-10-29 21:37:00</v>
      </c>
      <c r="E5052" t="str">
        <f>VLOOKUP(C5052,Меню!A:E,4,0)</f>
        <v>Суши</v>
      </c>
      <c r="F5052">
        <f>VLOOKUP(C5052,Меню!A:E,5,0)</f>
        <v>100</v>
      </c>
    </row>
    <row r="5053" spans="1:6" ht="15.75" hidden="1" customHeight="1" x14ac:dyDescent="0.35">
      <c r="A5053" s="1">
        <v>5052</v>
      </c>
      <c r="B5053" s="1">
        <v>982</v>
      </c>
      <c r="C5053" s="1">
        <v>1</v>
      </c>
      <c r="D5053" t="str">
        <f>VLOOKUP(B5053,Заказы!A:C,3,0)</f>
        <v>2023-10-29 21:37:00</v>
      </c>
      <c r="E5053" t="str">
        <f>VLOOKUP(C5053,Меню!A:E,4,0)</f>
        <v>Завтрак</v>
      </c>
      <c r="F5053">
        <f>VLOOKUP(C5053,Меню!A:E,5,0)</f>
        <v>200</v>
      </c>
    </row>
    <row r="5054" spans="1:6" ht="15.75" hidden="1" customHeight="1" x14ac:dyDescent="0.35">
      <c r="A5054" s="1">
        <v>5053</v>
      </c>
      <c r="B5054" s="1">
        <v>982</v>
      </c>
      <c r="C5054" s="1">
        <v>49</v>
      </c>
      <c r="D5054" t="str">
        <f>VLOOKUP(B5054,Заказы!A:C,3,0)</f>
        <v>2023-10-29 21:37:00</v>
      </c>
      <c r="E5054" t="str">
        <f>VLOOKUP(C5054,Меню!A:E,4,0)</f>
        <v>Суши</v>
      </c>
      <c r="F5054">
        <f>VLOOKUP(C5054,Меню!A:E,5,0)</f>
        <v>200</v>
      </c>
    </row>
    <row r="5055" spans="1:6" ht="15.75" hidden="1" customHeight="1" x14ac:dyDescent="0.35">
      <c r="A5055" s="1">
        <v>5054</v>
      </c>
      <c r="B5055" s="1">
        <v>982</v>
      </c>
      <c r="C5055" s="1">
        <v>7</v>
      </c>
      <c r="D5055" t="str">
        <f>VLOOKUP(B5055,Заказы!A:C,3,0)</f>
        <v>2023-10-29 21:37:00</v>
      </c>
      <c r="E5055" t="str">
        <f>VLOOKUP(C5055,Меню!A:E,4,0)</f>
        <v>Завтрак</v>
      </c>
      <c r="F5055">
        <f>VLOOKUP(C5055,Меню!A:E,5,0)</f>
        <v>200</v>
      </c>
    </row>
    <row r="5056" spans="1:6" ht="15.75" hidden="1" customHeight="1" x14ac:dyDescent="0.35">
      <c r="A5056" s="1">
        <v>5055</v>
      </c>
      <c r="B5056" s="1">
        <v>982</v>
      </c>
      <c r="C5056" s="1">
        <v>4</v>
      </c>
      <c r="D5056" t="str">
        <f>VLOOKUP(B5056,Заказы!A:C,3,0)</f>
        <v>2023-10-29 21:37:00</v>
      </c>
      <c r="E5056" t="str">
        <f>VLOOKUP(C5056,Меню!A:E,4,0)</f>
        <v>Завтрак</v>
      </c>
      <c r="F5056">
        <f>VLOOKUP(C5056,Меню!A:E,5,0)</f>
        <v>180</v>
      </c>
    </row>
    <row r="5057" spans="1:6" ht="15.75" hidden="1" customHeight="1" x14ac:dyDescent="0.35">
      <c r="A5057" s="1">
        <v>5056</v>
      </c>
      <c r="B5057" s="1">
        <v>982</v>
      </c>
      <c r="C5057" s="1">
        <v>23</v>
      </c>
      <c r="D5057" t="str">
        <f>VLOOKUP(B5057,Заказы!A:C,3,0)</f>
        <v>2023-10-29 21:37:00</v>
      </c>
      <c r="E5057" t="str">
        <f>VLOOKUP(C5057,Меню!A:E,4,0)</f>
        <v>Салат</v>
      </c>
      <c r="F5057">
        <f>VLOOKUP(C5057,Меню!A:E,5,0)</f>
        <v>250</v>
      </c>
    </row>
    <row r="5058" spans="1:6" ht="15.75" hidden="1" customHeight="1" x14ac:dyDescent="0.35">
      <c r="A5058" s="1">
        <v>5057</v>
      </c>
      <c r="B5058" s="1">
        <v>982</v>
      </c>
      <c r="C5058" s="1">
        <v>41</v>
      </c>
      <c r="D5058" t="str">
        <f>VLOOKUP(B5058,Заказы!A:C,3,0)</f>
        <v>2023-10-29 21:37:00</v>
      </c>
      <c r="E5058" t="str">
        <f>VLOOKUP(C5058,Меню!A:E,4,0)</f>
        <v>Суши</v>
      </c>
      <c r="F5058">
        <f>VLOOKUP(C5058,Меню!A:E,5,0)</f>
        <v>220</v>
      </c>
    </row>
    <row r="5059" spans="1:6" ht="15.75" hidden="1" customHeight="1" x14ac:dyDescent="0.35">
      <c r="A5059" s="1">
        <v>5058</v>
      </c>
      <c r="B5059" s="1">
        <v>983</v>
      </c>
      <c r="C5059" s="1">
        <v>29</v>
      </c>
      <c r="D5059" t="str">
        <f>VLOOKUP(B5059,Заказы!A:C,3,0)</f>
        <v>2023-10-29 21:48:00</v>
      </c>
      <c r="E5059" t="str">
        <f>VLOOKUP(C5059,Меню!A:E,4,0)</f>
        <v>Салат</v>
      </c>
      <c r="F5059">
        <f>VLOOKUP(C5059,Меню!A:E,5,0)</f>
        <v>250</v>
      </c>
    </row>
    <row r="5060" spans="1:6" ht="15.75" hidden="1" customHeight="1" x14ac:dyDescent="0.35">
      <c r="A5060" s="1">
        <v>5059</v>
      </c>
      <c r="B5060" s="1">
        <v>983</v>
      </c>
      <c r="C5060" s="1">
        <v>3</v>
      </c>
      <c r="D5060" t="str">
        <f>VLOOKUP(B5060,Заказы!A:C,3,0)</f>
        <v>2023-10-29 21:48:00</v>
      </c>
      <c r="E5060" t="str">
        <f>VLOOKUP(C5060,Меню!A:E,4,0)</f>
        <v>Завтрак</v>
      </c>
      <c r="F5060">
        <f>VLOOKUP(C5060,Меню!A:E,5,0)</f>
        <v>150</v>
      </c>
    </row>
    <row r="5061" spans="1:6" ht="15.75" hidden="1" customHeight="1" x14ac:dyDescent="0.35">
      <c r="A5061" s="1">
        <v>5060</v>
      </c>
      <c r="B5061" s="1">
        <v>983</v>
      </c>
      <c r="C5061" s="1">
        <v>48</v>
      </c>
      <c r="D5061" t="str">
        <f>VLOOKUP(B5061,Заказы!A:C,3,0)</f>
        <v>2023-10-29 21:48:00</v>
      </c>
      <c r="E5061" t="str">
        <f>VLOOKUP(C5061,Меню!A:E,4,0)</f>
        <v>Суши</v>
      </c>
      <c r="F5061">
        <f>VLOOKUP(C5061,Меню!A:E,5,0)</f>
        <v>200</v>
      </c>
    </row>
    <row r="5062" spans="1:6" ht="15.75" hidden="1" customHeight="1" x14ac:dyDescent="0.35">
      <c r="A5062" s="1">
        <v>5061</v>
      </c>
      <c r="B5062" s="1">
        <v>983</v>
      </c>
      <c r="C5062" s="1">
        <v>1</v>
      </c>
      <c r="D5062" t="str">
        <f>VLOOKUP(B5062,Заказы!A:C,3,0)</f>
        <v>2023-10-29 21:48:00</v>
      </c>
      <c r="E5062" t="str">
        <f>VLOOKUP(C5062,Меню!A:E,4,0)</f>
        <v>Завтрак</v>
      </c>
      <c r="F5062">
        <f>VLOOKUP(C5062,Меню!A:E,5,0)</f>
        <v>200</v>
      </c>
    </row>
    <row r="5063" spans="1:6" ht="15.75" hidden="1" customHeight="1" x14ac:dyDescent="0.35">
      <c r="A5063" s="1">
        <v>5062</v>
      </c>
      <c r="B5063" s="1">
        <v>983</v>
      </c>
      <c r="C5063" s="1">
        <v>16</v>
      </c>
      <c r="D5063" t="str">
        <f>VLOOKUP(B5063,Заказы!A:C,3,0)</f>
        <v>2023-10-29 21:48:00</v>
      </c>
      <c r="E5063" t="str">
        <f>VLOOKUP(C5063,Меню!A:E,4,0)</f>
        <v>Первое</v>
      </c>
      <c r="F5063">
        <f>VLOOKUP(C5063,Меню!A:E,5,0)</f>
        <v>250</v>
      </c>
    </row>
    <row r="5064" spans="1:6" ht="15.75" hidden="1" customHeight="1" x14ac:dyDescent="0.35">
      <c r="A5064" s="1">
        <v>5063</v>
      </c>
      <c r="B5064" s="1">
        <v>983</v>
      </c>
      <c r="C5064" s="1">
        <v>6</v>
      </c>
      <c r="D5064" t="str">
        <f>VLOOKUP(B5064,Заказы!A:C,3,0)</f>
        <v>2023-10-29 21:48:00</v>
      </c>
      <c r="E5064" t="str">
        <f>VLOOKUP(C5064,Меню!A:E,4,0)</f>
        <v>Завтрак</v>
      </c>
      <c r="F5064">
        <f>VLOOKUP(C5064,Меню!A:E,5,0)</f>
        <v>300</v>
      </c>
    </row>
    <row r="5065" spans="1:6" ht="15.75" hidden="1" customHeight="1" x14ac:dyDescent="0.35">
      <c r="A5065" s="1">
        <v>5064</v>
      </c>
      <c r="B5065" s="1">
        <v>984</v>
      </c>
      <c r="C5065" s="1">
        <v>18</v>
      </c>
      <c r="D5065" t="str">
        <f>VLOOKUP(B5065,Заказы!A:C,3,0)</f>
        <v>2023-10-29 22:10:00</v>
      </c>
      <c r="E5065" t="str">
        <f>VLOOKUP(C5065,Меню!A:E,4,0)</f>
        <v>Первое</v>
      </c>
      <c r="F5065">
        <f>VLOOKUP(C5065,Меню!A:E,5,0)</f>
        <v>300</v>
      </c>
    </row>
    <row r="5066" spans="1:6" ht="15.75" hidden="1" customHeight="1" x14ac:dyDescent="0.35">
      <c r="A5066" s="1">
        <v>5065</v>
      </c>
      <c r="B5066" s="1">
        <v>984</v>
      </c>
      <c r="C5066" s="1">
        <v>5</v>
      </c>
      <c r="D5066" t="str">
        <f>VLOOKUP(B5066,Заказы!A:C,3,0)</f>
        <v>2023-10-29 22:10:00</v>
      </c>
      <c r="E5066" t="str">
        <f>VLOOKUP(C5066,Меню!A:E,4,0)</f>
        <v>Завтрак</v>
      </c>
      <c r="F5066">
        <f>VLOOKUP(C5066,Меню!A:E,5,0)</f>
        <v>220</v>
      </c>
    </row>
    <row r="5067" spans="1:6" ht="15.75" hidden="1" customHeight="1" x14ac:dyDescent="0.35">
      <c r="A5067" s="1">
        <v>5066</v>
      </c>
      <c r="B5067" s="1">
        <v>984</v>
      </c>
      <c r="C5067" s="1">
        <v>56</v>
      </c>
      <c r="D5067" t="str">
        <f>VLOOKUP(B5067,Заказы!A:C,3,0)</f>
        <v>2023-10-29 22:10:00</v>
      </c>
      <c r="E5067" t="str">
        <f>VLOOKUP(C5067,Меню!A:E,4,0)</f>
        <v>Суши</v>
      </c>
      <c r="F5067">
        <f>VLOOKUP(C5067,Меню!A:E,5,0)</f>
        <v>200</v>
      </c>
    </row>
    <row r="5068" spans="1:6" ht="15.75" hidden="1" customHeight="1" x14ac:dyDescent="0.35">
      <c r="A5068" s="1">
        <v>5067</v>
      </c>
      <c r="B5068" s="1">
        <v>985</v>
      </c>
      <c r="C5068" s="1">
        <v>52</v>
      </c>
      <c r="D5068" t="str">
        <f>VLOOKUP(B5068,Заказы!A:C,3,0)</f>
        <v>2023-10-30 16:01:00</v>
      </c>
      <c r="E5068" t="str">
        <f>VLOOKUP(C5068,Меню!A:E,4,0)</f>
        <v>Суши</v>
      </c>
      <c r="F5068">
        <f>VLOOKUP(C5068,Меню!A:E,5,0)</f>
        <v>100</v>
      </c>
    </row>
    <row r="5069" spans="1:6" ht="15.75" hidden="1" customHeight="1" x14ac:dyDescent="0.35">
      <c r="A5069" s="1">
        <v>5068</v>
      </c>
      <c r="B5069" s="1">
        <v>985</v>
      </c>
      <c r="C5069" s="1">
        <v>50</v>
      </c>
      <c r="D5069" t="str">
        <f>VLOOKUP(B5069,Заказы!A:C,3,0)</f>
        <v>2023-10-30 16:01:00</v>
      </c>
      <c r="E5069" t="str">
        <f>VLOOKUP(C5069,Меню!A:E,4,0)</f>
        <v>Суши</v>
      </c>
      <c r="F5069">
        <f>VLOOKUP(C5069,Меню!A:E,5,0)</f>
        <v>200</v>
      </c>
    </row>
    <row r="5070" spans="1:6" ht="15.75" hidden="1" customHeight="1" x14ac:dyDescent="0.35">
      <c r="A5070" s="1">
        <v>5069</v>
      </c>
      <c r="B5070" s="1">
        <v>985</v>
      </c>
      <c r="C5070" s="1">
        <v>20</v>
      </c>
      <c r="D5070" t="str">
        <f>VLOOKUP(B5070,Заказы!A:C,3,0)</f>
        <v>2023-10-30 16:01:00</v>
      </c>
      <c r="E5070" t="str">
        <f>VLOOKUP(C5070,Меню!A:E,4,0)</f>
        <v>Первое</v>
      </c>
      <c r="F5070">
        <f>VLOOKUP(C5070,Меню!A:E,5,0)</f>
        <v>250</v>
      </c>
    </row>
    <row r="5071" spans="1:6" ht="15.75" hidden="1" customHeight="1" x14ac:dyDescent="0.35">
      <c r="A5071" s="1">
        <v>5070</v>
      </c>
      <c r="B5071" s="1">
        <v>985</v>
      </c>
      <c r="C5071" s="1">
        <v>34</v>
      </c>
      <c r="D5071" t="str">
        <f>VLOOKUP(B5071,Заказы!A:C,3,0)</f>
        <v>2023-10-30 16:01:00</v>
      </c>
      <c r="E5071" t="str">
        <f>VLOOKUP(C5071,Меню!A:E,4,0)</f>
        <v>Десерт</v>
      </c>
      <c r="F5071">
        <f>VLOOKUP(C5071,Меню!A:E,5,0)</f>
        <v>150</v>
      </c>
    </row>
    <row r="5072" spans="1:6" ht="15.75" hidden="1" customHeight="1" x14ac:dyDescent="0.35">
      <c r="A5072" s="1">
        <v>5071</v>
      </c>
      <c r="B5072" s="1">
        <v>985</v>
      </c>
      <c r="C5072" s="1">
        <v>11</v>
      </c>
      <c r="D5072" t="str">
        <f>VLOOKUP(B5072,Заказы!A:C,3,0)</f>
        <v>2023-10-30 16:01:00</v>
      </c>
      <c r="E5072" t="str">
        <f>VLOOKUP(C5072,Меню!A:E,4,0)</f>
        <v>Первое</v>
      </c>
      <c r="F5072">
        <f>VLOOKUP(C5072,Меню!A:E,5,0)</f>
        <v>300</v>
      </c>
    </row>
    <row r="5073" spans="1:6" ht="15.75" hidden="1" customHeight="1" x14ac:dyDescent="0.35">
      <c r="A5073" s="1">
        <v>5072</v>
      </c>
      <c r="B5073" s="1">
        <v>985</v>
      </c>
      <c r="C5073" s="1">
        <v>59</v>
      </c>
      <c r="D5073" t="str">
        <f>VLOOKUP(B5073,Заказы!A:C,3,0)</f>
        <v>2023-10-30 16:01:00</v>
      </c>
      <c r="E5073" t="str">
        <f>VLOOKUP(C5073,Меню!A:E,4,0)</f>
        <v>Суши</v>
      </c>
      <c r="F5073">
        <f>VLOOKUP(C5073,Меню!A:E,5,0)</f>
        <v>300</v>
      </c>
    </row>
    <row r="5074" spans="1:6" ht="15.75" hidden="1" customHeight="1" x14ac:dyDescent="0.35">
      <c r="A5074" s="1">
        <v>5073</v>
      </c>
      <c r="B5074" s="1">
        <v>986</v>
      </c>
      <c r="C5074" s="1">
        <v>42</v>
      </c>
      <c r="D5074" t="str">
        <f>VLOOKUP(B5074,Заказы!A:C,3,0)</f>
        <v>2023-10-30 18:18:00</v>
      </c>
      <c r="E5074" t="str">
        <f>VLOOKUP(C5074,Меню!A:E,4,0)</f>
        <v>Суши</v>
      </c>
      <c r="F5074">
        <f>VLOOKUP(C5074,Меню!A:E,5,0)</f>
        <v>250</v>
      </c>
    </row>
    <row r="5075" spans="1:6" ht="15.75" hidden="1" customHeight="1" x14ac:dyDescent="0.35">
      <c r="A5075" s="1">
        <v>5074</v>
      </c>
      <c r="B5075" s="1">
        <v>986</v>
      </c>
      <c r="C5075" s="1">
        <v>18</v>
      </c>
      <c r="D5075" t="str">
        <f>VLOOKUP(B5075,Заказы!A:C,3,0)</f>
        <v>2023-10-30 18:18:00</v>
      </c>
      <c r="E5075" t="str">
        <f>VLOOKUP(C5075,Меню!A:E,4,0)</f>
        <v>Первое</v>
      </c>
      <c r="F5075">
        <f>VLOOKUP(C5075,Меню!A:E,5,0)</f>
        <v>300</v>
      </c>
    </row>
    <row r="5076" spans="1:6" ht="15.75" hidden="1" customHeight="1" x14ac:dyDescent="0.35">
      <c r="A5076" s="1">
        <v>5075</v>
      </c>
      <c r="B5076" s="1">
        <v>986</v>
      </c>
      <c r="C5076" s="1">
        <v>6</v>
      </c>
      <c r="D5076" t="str">
        <f>VLOOKUP(B5076,Заказы!A:C,3,0)</f>
        <v>2023-10-30 18:18:00</v>
      </c>
      <c r="E5076" t="str">
        <f>VLOOKUP(C5076,Меню!A:E,4,0)</f>
        <v>Завтрак</v>
      </c>
      <c r="F5076">
        <f>VLOOKUP(C5076,Меню!A:E,5,0)</f>
        <v>300</v>
      </c>
    </row>
    <row r="5077" spans="1:6" ht="15.75" hidden="1" customHeight="1" x14ac:dyDescent="0.35">
      <c r="A5077" s="1">
        <v>5076</v>
      </c>
      <c r="B5077" s="1">
        <v>986</v>
      </c>
      <c r="C5077" s="1">
        <v>30</v>
      </c>
      <c r="D5077" t="str">
        <f>VLOOKUP(B5077,Заказы!A:C,3,0)</f>
        <v>2023-10-30 18:18:00</v>
      </c>
      <c r="E5077" t="str">
        <f>VLOOKUP(C5077,Меню!A:E,4,0)</f>
        <v>Салат</v>
      </c>
      <c r="F5077">
        <f>VLOOKUP(C5077,Меню!A:E,5,0)</f>
        <v>250</v>
      </c>
    </row>
    <row r="5078" spans="1:6" ht="15.75" hidden="1" customHeight="1" x14ac:dyDescent="0.35">
      <c r="A5078" s="1">
        <v>5077</v>
      </c>
      <c r="B5078" s="1">
        <v>986</v>
      </c>
      <c r="C5078" s="1">
        <v>38</v>
      </c>
      <c r="D5078" t="str">
        <f>VLOOKUP(B5078,Заказы!A:C,3,0)</f>
        <v>2023-10-30 18:18:00</v>
      </c>
      <c r="E5078" t="str">
        <f>VLOOKUP(C5078,Меню!A:E,4,0)</f>
        <v>Десерт</v>
      </c>
      <c r="F5078">
        <f>VLOOKUP(C5078,Меню!A:E,5,0)</f>
        <v>150</v>
      </c>
    </row>
    <row r="5079" spans="1:6" ht="15.75" hidden="1" customHeight="1" x14ac:dyDescent="0.35">
      <c r="A5079" s="1">
        <v>5078</v>
      </c>
      <c r="B5079" s="1">
        <v>986</v>
      </c>
      <c r="C5079" s="1">
        <v>54</v>
      </c>
      <c r="D5079" t="str">
        <f>VLOOKUP(B5079,Заказы!A:C,3,0)</f>
        <v>2023-10-30 18:18:00</v>
      </c>
      <c r="E5079" t="str">
        <f>VLOOKUP(C5079,Меню!A:E,4,0)</f>
        <v>Суши</v>
      </c>
      <c r="F5079">
        <f>VLOOKUP(C5079,Меню!A:E,5,0)</f>
        <v>100</v>
      </c>
    </row>
    <row r="5080" spans="1:6" ht="15.75" hidden="1" customHeight="1" x14ac:dyDescent="0.35">
      <c r="A5080" s="1">
        <v>5079</v>
      </c>
      <c r="B5080" s="1">
        <v>986</v>
      </c>
      <c r="C5080" s="1">
        <v>53</v>
      </c>
      <c r="D5080" t="str">
        <f>VLOOKUP(B5080,Заказы!A:C,3,0)</f>
        <v>2023-10-30 18:18:00</v>
      </c>
      <c r="E5080" t="str">
        <f>VLOOKUP(C5080,Меню!A:E,4,0)</f>
        <v>Суши</v>
      </c>
      <c r="F5080">
        <f>VLOOKUP(C5080,Меню!A:E,5,0)</f>
        <v>100</v>
      </c>
    </row>
    <row r="5081" spans="1:6" ht="15.75" hidden="1" customHeight="1" x14ac:dyDescent="0.35">
      <c r="A5081" s="1">
        <v>5080</v>
      </c>
      <c r="B5081" s="1">
        <v>987</v>
      </c>
      <c r="C5081" s="1">
        <v>19</v>
      </c>
      <c r="D5081" t="str">
        <f>VLOOKUP(B5081,Заказы!A:C,3,0)</f>
        <v>2023-10-30 19:40:00</v>
      </c>
      <c r="E5081" t="str">
        <f>VLOOKUP(C5081,Меню!A:E,4,0)</f>
        <v>Первое</v>
      </c>
      <c r="F5081">
        <f>VLOOKUP(C5081,Меню!A:E,5,0)</f>
        <v>300</v>
      </c>
    </row>
    <row r="5082" spans="1:6" ht="15.75" hidden="1" customHeight="1" x14ac:dyDescent="0.35">
      <c r="A5082" s="1">
        <v>5081</v>
      </c>
      <c r="B5082" s="1">
        <v>987</v>
      </c>
      <c r="C5082" s="1">
        <v>15</v>
      </c>
      <c r="D5082" t="str">
        <f>VLOOKUP(B5082,Заказы!A:C,3,0)</f>
        <v>2023-10-30 19:40:00</v>
      </c>
      <c r="E5082" t="str">
        <f>VLOOKUP(C5082,Меню!A:E,4,0)</f>
        <v>Первое</v>
      </c>
      <c r="F5082">
        <f>VLOOKUP(C5082,Меню!A:E,5,0)</f>
        <v>250</v>
      </c>
    </row>
    <row r="5083" spans="1:6" ht="15.75" hidden="1" customHeight="1" x14ac:dyDescent="0.35">
      <c r="A5083" s="1">
        <v>5082</v>
      </c>
      <c r="B5083" s="1">
        <v>987</v>
      </c>
      <c r="C5083" s="1">
        <v>3</v>
      </c>
      <c r="D5083" t="str">
        <f>VLOOKUP(B5083,Заказы!A:C,3,0)</f>
        <v>2023-10-30 19:40:00</v>
      </c>
      <c r="E5083" t="str">
        <f>VLOOKUP(C5083,Меню!A:E,4,0)</f>
        <v>Завтрак</v>
      </c>
      <c r="F5083">
        <f>VLOOKUP(C5083,Меню!A:E,5,0)</f>
        <v>150</v>
      </c>
    </row>
    <row r="5084" spans="1:6" ht="15.75" hidden="1" customHeight="1" x14ac:dyDescent="0.35">
      <c r="A5084" s="1">
        <v>5083</v>
      </c>
      <c r="B5084" s="1">
        <v>987</v>
      </c>
      <c r="C5084" s="1">
        <v>45</v>
      </c>
      <c r="D5084" t="str">
        <f>VLOOKUP(B5084,Заказы!A:C,3,0)</f>
        <v>2023-10-30 19:40:00</v>
      </c>
      <c r="E5084" t="str">
        <f>VLOOKUP(C5084,Меню!A:E,4,0)</f>
        <v>Суши</v>
      </c>
      <c r="F5084">
        <f>VLOOKUP(C5084,Меню!A:E,5,0)</f>
        <v>200</v>
      </c>
    </row>
    <row r="5085" spans="1:6" ht="15.75" hidden="1" customHeight="1" x14ac:dyDescent="0.35">
      <c r="A5085" s="1">
        <v>5084</v>
      </c>
      <c r="B5085" s="1">
        <v>987</v>
      </c>
      <c r="C5085" s="1">
        <v>5</v>
      </c>
      <c r="D5085" t="str">
        <f>VLOOKUP(B5085,Заказы!A:C,3,0)</f>
        <v>2023-10-30 19:40:00</v>
      </c>
      <c r="E5085" t="str">
        <f>VLOOKUP(C5085,Меню!A:E,4,0)</f>
        <v>Завтрак</v>
      </c>
      <c r="F5085">
        <f>VLOOKUP(C5085,Меню!A:E,5,0)</f>
        <v>220</v>
      </c>
    </row>
    <row r="5086" spans="1:6" ht="15.75" hidden="1" customHeight="1" x14ac:dyDescent="0.35">
      <c r="A5086" s="1">
        <v>5085</v>
      </c>
      <c r="B5086" s="1">
        <v>988</v>
      </c>
      <c r="C5086" s="1">
        <v>27</v>
      </c>
      <c r="D5086" t="str">
        <f>VLOOKUP(B5086,Заказы!A:C,3,0)</f>
        <v>2023-10-30 20:57:00</v>
      </c>
      <c r="E5086" t="str">
        <f>VLOOKUP(C5086,Меню!A:E,4,0)</f>
        <v>Салат</v>
      </c>
      <c r="F5086">
        <f>VLOOKUP(C5086,Меню!A:E,5,0)</f>
        <v>250</v>
      </c>
    </row>
    <row r="5087" spans="1:6" ht="15.75" hidden="1" customHeight="1" x14ac:dyDescent="0.35">
      <c r="A5087" s="1">
        <v>5086</v>
      </c>
      <c r="B5087" s="1">
        <v>988</v>
      </c>
      <c r="C5087" s="1">
        <v>12</v>
      </c>
      <c r="D5087" t="str">
        <f>VLOOKUP(B5087,Заказы!A:C,3,0)</f>
        <v>2023-10-30 20:57:00</v>
      </c>
      <c r="E5087" t="str">
        <f>VLOOKUP(C5087,Меню!A:E,4,0)</f>
        <v>Первое</v>
      </c>
      <c r="F5087">
        <f>VLOOKUP(C5087,Меню!A:E,5,0)</f>
        <v>300</v>
      </c>
    </row>
    <row r="5088" spans="1:6" ht="15.75" hidden="1" customHeight="1" x14ac:dyDescent="0.35">
      <c r="A5088" s="1">
        <v>5087</v>
      </c>
      <c r="B5088" s="1">
        <v>989</v>
      </c>
      <c r="C5088" s="1">
        <v>41</v>
      </c>
      <c r="D5088" t="str">
        <f>VLOOKUP(B5088,Заказы!A:C,3,0)</f>
        <v>2023-10-30 20:58:00</v>
      </c>
      <c r="E5088" t="str">
        <f>VLOOKUP(C5088,Меню!A:E,4,0)</f>
        <v>Суши</v>
      </c>
      <c r="F5088">
        <f>VLOOKUP(C5088,Меню!A:E,5,0)</f>
        <v>220</v>
      </c>
    </row>
    <row r="5089" spans="1:6" ht="15.75" hidden="1" customHeight="1" x14ac:dyDescent="0.35">
      <c r="A5089" s="1">
        <v>5088</v>
      </c>
      <c r="B5089" s="1">
        <v>989</v>
      </c>
      <c r="C5089" s="1">
        <v>15</v>
      </c>
      <c r="D5089" t="str">
        <f>VLOOKUP(B5089,Заказы!A:C,3,0)</f>
        <v>2023-10-30 20:58:00</v>
      </c>
      <c r="E5089" t="str">
        <f>VLOOKUP(C5089,Меню!A:E,4,0)</f>
        <v>Первое</v>
      </c>
      <c r="F5089">
        <f>VLOOKUP(C5089,Меню!A:E,5,0)</f>
        <v>250</v>
      </c>
    </row>
    <row r="5090" spans="1:6" ht="15.75" hidden="1" customHeight="1" x14ac:dyDescent="0.35">
      <c r="A5090" s="1">
        <v>5089</v>
      </c>
      <c r="B5090" s="1">
        <v>989</v>
      </c>
      <c r="C5090" s="1">
        <v>44</v>
      </c>
      <c r="D5090" t="str">
        <f>VLOOKUP(B5090,Заказы!A:C,3,0)</f>
        <v>2023-10-30 20:58:00</v>
      </c>
      <c r="E5090" t="str">
        <f>VLOOKUP(C5090,Меню!A:E,4,0)</f>
        <v>Суши</v>
      </c>
      <c r="F5090">
        <f>VLOOKUP(C5090,Меню!A:E,5,0)</f>
        <v>250</v>
      </c>
    </row>
    <row r="5091" spans="1:6" ht="15.75" hidden="1" customHeight="1" x14ac:dyDescent="0.35">
      <c r="A5091" s="1">
        <v>5090</v>
      </c>
      <c r="B5091" s="1">
        <v>989</v>
      </c>
      <c r="C5091" s="1">
        <v>25</v>
      </c>
      <c r="D5091" t="str">
        <f>VLOOKUP(B5091,Заказы!A:C,3,0)</f>
        <v>2023-10-30 20:58:00</v>
      </c>
      <c r="E5091" t="str">
        <f>VLOOKUP(C5091,Меню!A:E,4,0)</f>
        <v>Салат</v>
      </c>
      <c r="F5091">
        <f>VLOOKUP(C5091,Меню!A:E,5,0)</f>
        <v>250</v>
      </c>
    </row>
    <row r="5092" spans="1:6" ht="15.75" hidden="1" customHeight="1" x14ac:dyDescent="0.35">
      <c r="A5092" s="1">
        <v>5091</v>
      </c>
      <c r="B5092" s="1">
        <v>989</v>
      </c>
      <c r="C5092" s="1">
        <v>4</v>
      </c>
      <c r="D5092" t="str">
        <f>VLOOKUP(B5092,Заказы!A:C,3,0)</f>
        <v>2023-10-30 20:58:00</v>
      </c>
      <c r="E5092" t="str">
        <f>VLOOKUP(C5092,Меню!A:E,4,0)</f>
        <v>Завтрак</v>
      </c>
      <c r="F5092">
        <f>VLOOKUP(C5092,Меню!A:E,5,0)</f>
        <v>180</v>
      </c>
    </row>
    <row r="5093" spans="1:6" ht="15.75" hidden="1" customHeight="1" x14ac:dyDescent="0.35">
      <c r="A5093" s="1">
        <v>5092</v>
      </c>
      <c r="B5093" s="1">
        <v>989</v>
      </c>
      <c r="C5093" s="1">
        <v>50</v>
      </c>
      <c r="D5093" t="str">
        <f>VLOOKUP(B5093,Заказы!A:C,3,0)</f>
        <v>2023-10-30 20:58:00</v>
      </c>
      <c r="E5093" t="str">
        <f>VLOOKUP(C5093,Меню!A:E,4,0)</f>
        <v>Суши</v>
      </c>
      <c r="F5093">
        <f>VLOOKUP(C5093,Меню!A:E,5,0)</f>
        <v>200</v>
      </c>
    </row>
    <row r="5094" spans="1:6" ht="15.75" hidden="1" customHeight="1" x14ac:dyDescent="0.35">
      <c r="A5094" s="1">
        <v>5093</v>
      </c>
      <c r="B5094" s="1">
        <v>989</v>
      </c>
      <c r="C5094" s="1">
        <v>48</v>
      </c>
      <c r="D5094" t="str">
        <f>VLOOKUP(B5094,Заказы!A:C,3,0)</f>
        <v>2023-10-30 20:58:00</v>
      </c>
      <c r="E5094" t="str">
        <f>VLOOKUP(C5094,Меню!A:E,4,0)</f>
        <v>Суши</v>
      </c>
      <c r="F5094">
        <f>VLOOKUP(C5094,Меню!A:E,5,0)</f>
        <v>200</v>
      </c>
    </row>
    <row r="5095" spans="1:6" ht="15.75" hidden="1" customHeight="1" x14ac:dyDescent="0.35">
      <c r="A5095" s="1">
        <v>5094</v>
      </c>
      <c r="B5095" s="1">
        <v>990</v>
      </c>
      <c r="C5095" s="1">
        <v>4</v>
      </c>
      <c r="D5095" t="str">
        <f>VLOOKUP(B5095,Заказы!A:C,3,0)</f>
        <v>2023-10-30 21:16:00</v>
      </c>
      <c r="E5095" t="str">
        <f>VLOOKUP(C5095,Меню!A:E,4,0)</f>
        <v>Завтрак</v>
      </c>
      <c r="F5095">
        <f>VLOOKUP(C5095,Меню!A:E,5,0)</f>
        <v>180</v>
      </c>
    </row>
    <row r="5096" spans="1:6" ht="15.75" hidden="1" customHeight="1" x14ac:dyDescent="0.35">
      <c r="A5096" s="1">
        <v>5095</v>
      </c>
      <c r="B5096" s="1">
        <v>991</v>
      </c>
      <c r="C5096" s="1">
        <v>46</v>
      </c>
      <c r="D5096" t="str">
        <f>VLOOKUP(B5096,Заказы!A:C,3,0)</f>
        <v>2023-10-30 21:26:00</v>
      </c>
      <c r="E5096" t="str">
        <f>VLOOKUP(C5096,Меню!A:E,4,0)</f>
        <v>Суши</v>
      </c>
      <c r="F5096">
        <f>VLOOKUP(C5096,Меню!A:E,5,0)</f>
        <v>200</v>
      </c>
    </row>
    <row r="5097" spans="1:6" ht="15.75" hidden="1" customHeight="1" x14ac:dyDescent="0.35">
      <c r="A5097" s="1">
        <v>5096</v>
      </c>
      <c r="B5097" s="1">
        <v>991</v>
      </c>
      <c r="C5097" s="1">
        <v>57</v>
      </c>
      <c r="D5097" t="str">
        <f>VLOOKUP(B5097,Заказы!A:C,3,0)</f>
        <v>2023-10-30 21:26:00</v>
      </c>
      <c r="E5097" t="str">
        <f>VLOOKUP(C5097,Меню!A:E,4,0)</f>
        <v>Суши</v>
      </c>
      <c r="F5097">
        <f>VLOOKUP(C5097,Меню!A:E,5,0)</f>
        <v>200</v>
      </c>
    </row>
    <row r="5098" spans="1:6" ht="15.75" hidden="1" customHeight="1" x14ac:dyDescent="0.35">
      <c r="A5098" s="1">
        <v>5097</v>
      </c>
      <c r="B5098" s="1">
        <v>991</v>
      </c>
      <c r="C5098" s="1">
        <v>56</v>
      </c>
      <c r="D5098" t="str">
        <f>VLOOKUP(B5098,Заказы!A:C,3,0)</f>
        <v>2023-10-30 21:26:00</v>
      </c>
      <c r="E5098" t="str">
        <f>VLOOKUP(C5098,Меню!A:E,4,0)</f>
        <v>Суши</v>
      </c>
      <c r="F5098">
        <f>VLOOKUP(C5098,Меню!A:E,5,0)</f>
        <v>200</v>
      </c>
    </row>
    <row r="5099" spans="1:6" ht="15.75" hidden="1" customHeight="1" x14ac:dyDescent="0.35">
      <c r="A5099" s="1">
        <v>5098</v>
      </c>
      <c r="B5099" s="1">
        <v>991</v>
      </c>
      <c r="C5099" s="1">
        <v>9</v>
      </c>
      <c r="D5099" t="str">
        <f>VLOOKUP(B5099,Заказы!A:C,3,0)</f>
        <v>2023-10-30 21:26:00</v>
      </c>
      <c r="E5099" t="str">
        <f>VLOOKUP(C5099,Меню!A:E,4,0)</f>
        <v>Завтрак</v>
      </c>
      <c r="F5099">
        <f>VLOOKUP(C5099,Меню!A:E,5,0)</f>
        <v>220</v>
      </c>
    </row>
    <row r="5100" spans="1:6" ht="15.75" hidden="1" customHeight="1" x14ac:dyDescent="0.35">
      <c r="A5100" s="1">
        <v>5099</v>
      </c>
      <c r="B5100" s="1">
        <v>991</v>
      </c>
      <c r="C5100" s="1">
        <v>20</v>
      </c>
      <c r="D5100" t="str">
        <f>VLOOKUP(B5100,Заказы!A:C,3,0)</f>
        <v>2023-10-30 21:26:00</v>
      </c>
      <c r="E5100" t="str">
        <f>VLOOKUP(C5100,Меню!A:E,4,0)</f>
        <v>Первое</v>
      </c>
      <c r="F5100">
        <f>VLOOKUP(C5100,Меню!A:E,5,0)</f>
        <v>250</v>
      </c>
    </row>
    <row r="5101" spans="1:6" ht="15.75" hidden="1" customHeight="1" x14ac:dyDescent="0.35">
      <c r="A5101" s="1">
        <v>5100</v>
      </c>
      <c r="B5101" s="1">
        <v>991</v>
      </c>
      <c r="C5101" s="1">
        <v>26</v>
      </c>
      <c r="D5101" t="str">
        <f>VLOOKUP(B5101,Заказы!A:C,3,0)</f>
        <v>2023-10-30 21:26:00</v>
      </c>
      <c r="E5101" t="str">
        <f>VLOOKUP(C5101,Меню!A:E,4,0)</f>
        <v>Салат</v>
      </c>
      <c r="F5101">
        <f>VLOOKUP(C5101,Меню!A:E,5,0)</f>
        <v>250</v>
      </c>
    </row>
    <row r="5102" spans="1:6" ht="15.75" hidden="1" customHeight="1" x14ac:dyDescent="0.35">
      <c r="A5102" s="1">
        <v>5101</v>
      </c>
      <c r="B5102" s="1">
        <v>992</v>
      </c>
      <c r="C5102" s="1">
        <v>57</v>
      </c>
      <c r="D5102" t="str">
        <f>VLOOKUP(B5102,Заказы!A:C,3,0)</f>
        <v>2023-10-30 22:48:00</v>
      </c>
      <c r="E5102" t="str">
        <f>VLOOKUP(C5102,Меню!A:E,4,0)</f>
        <v>Суши</v>
      </c>
      <c r="F5102">
        <f>VLOOKUP(C5102,Меню!A:E,5,0)</f>
        <v>200</v>
      </c>
    </row>
    <row r="5103" spans="1:6" ht="15.75" hidden="1" customHeight="1" x14ac:dyDescent="0.35">
      <c r="A5103" s="1">
        <v>5102</v>
      </c>
      <c r="B5103" s="1">
        <v>992</v>
      </c>
      <c r="C5103" s="1">
        <v>32</v>
      </c>
      <c r="D5103" t="str">
        <f>VLOOKUP(B5103,Заказы!A:C,3,0)</f>
        <v>2023-10-30 22:48:00</v>
      </c>
      <c r="E5103" t="str">
        <f>VLOOKUP(C5103,Меню!A:E,4,0)</f>
        <v>Десерт</v>
      </c>
      <c r="F5103">
        <f>VLOOKUP(C5103,Меню!A:E,5,0)</f>
        <v>150</v>
      </c>
    </row>
    <row r="5104" spans="1:6" ht="15.75" hidden="1" customHeight="1" x14ac:dyDescent="0.35">
      <c r="A5104" s="1">
        <v>5103</v>
      </c>
      <c r="B5104" s="1">
        <v>992</v>
      </c>
      <c r="C5104" s="1">
        <v>28</v>
      </c>
      <c r="D5104" t="str">
        <f>VLOOKUP(B5104,Заказы!A:C,3,0)</f>
        <v>2023-10-30 22:48:00</v>
      </c>
      <c r="E5104" t="str">
        <f>VLOOKUP(C5104,Меню!A:E,4,0)</f>
        <v>Салат</v>
      </c>
      <c r="F5104">
        <f>VLOOKUP(C5104,Меню!A:E,5,0)</f>
        <v>250</v>
      </c>
    </row>
    <row r="5105" spans="1:6" ht="15.75" hidden="1" customHeight="1" x14ac:dyDescent="0.35">
      <c r="A5105" s="1">
        <v>5104</v>
      </c>
      <c r="B5105" s="1">
        <v>992</v>
      </c>
      <c r="C5105" s="1">
        <v>30</v>
      </c>
      <c r="D5105" t="str">
        <f>VLOOKUP(B5105,Заказы!A:C,3,0)</f>
        <v>2023-10-30 22:48:00</v>
      </c>
      <c r="E5105" t="str">
        <f>VLOOKUP(C5105,Меню!A:E,4,0)</f>
        <v>Салат</v>
      </c>
      <c r="F5105">
        <f>VLOOKUP(C5105,Меню!A:E,5,0)</f>
        <v>250</v>
      </c>
    </row>
    <row r="5106" spans="1:6" ht="15.75" hidden="1" customHeight="1" x14ac:dyDescent="0.35">
      <c r="A5106" s="1">
        <v>5105</v>
      </c>
      <c r="B5106" s="1">
        <v>992</v>
      </c>
      <c r="C5106" s="1">
        <v>45</v>
      </c>
      <c r="D5106" t="str">
        <f>VLOOKUP(B5106,Заказы!A:C,3,0)</f>
        <v>2023-10-30 22:48:00</v>
      </c>
      <c r="E5106" t="str">
        <f>VLOOKUP(C5106,Меню!A:E,4,0)</f>
        <v>Суши</v>
      </c>
      <c r="F5106">
        <f>VLOOKUP(C5106,Меню!A:E,5,0)</f>
        <v>200</v>
      </c>
    </row>
    <row r="5107" spans="1:6" ht="15.75" hidden="1" customHeight="1" x14ac:dyDescent="0.35">
      <c r="A5107" s="1">
        <v>5106</v>
      </c>
      <c r="B5107" s="1">
        <v>993</v>
      </c>
      <c r="C5107" s="1">
        <v>49</v>
      </c>
      <c r="D5107" t="str">
        <f>VLOOKUP(B5107,Заказы!A:C,3,0)</f>
        <v>2023-10-31 18:08:00</v>
      </c>
      <c r="E5107" t="str">
        <f>VLOOKUP(C5107,Меню!A:E,4,0)</f>
        <v>Суши</v>
      </c>
      <c r="F5107">
        <f>VLOOKUP(C5107,Меню!A:E,5,0)</f>
        <v>200</v>
      </c>
    </row>
    <row r="5108" spans="1:6" ht="15.75" hidden="1" customHeight="1" x14ac:dyDescent="0.35">
      <c r="A5108" s="1">
        <v>5107</v>
      </c>
      <c r="B5108" s="1">
        <v>993</v>
      </c>
      <c r="C5108" s="1">
        <v>37</v>
      </c>
      <c r="D5108" t="str">
        <f>VLOOKUP(B5108,Заказы!A:C,3,0)</f>
        <v>2023-10-31 18:08:00</v>
      </c>
      <c r="E5108" t="str">
        <f>VLOOKUP(C5108,Меню!A:E,4,0)</f>
        <v>Десерт</v>
      </c>
      <c r="F5108">
        <f>VLOOKUP(C5108,Меню!A:E,5,0)</f>
        <v>100</v>
      </c>
    </row>
    <row r="5109" spans="1:6" ht="15.75" hidden="1" customHeight="1" x14ac:dyDescent="0.35">
      <c r="A5109" s="1">
        <v>5108</v>
      </c>
      <c r="B5109" s="1">
        <v>993</v>
      </c>
      <c r="C5109" s="1">
        <v>53</v>
      </c>
      <c r="D5109" t="str">
        <f>VLOOKUP(B5109,Заказы!A:C,3,0)</f>
        <v>2023-10-31 18:08:00</v>
      </c>
      <c r="E5109" t="str">
        <f>VLOOKUP(C5109,Меню!A:E,4,0)</f>
        <v>Суши</v>
      </c>
      <c r="F5109">
        <f>VLOOKUP(C5109,Меню!A:E,5,0)</f>
        <v>100</v>
      </c>
    </row>
    <row r="5110" spans="1:6" ht="15.75" hidden="1" customHeight="1" x14ac:dyDescent="0.35">
      <c r="A5110" s="1">
        <v>5109</v>
      </c>
      <c r="B5110" s="1">
        <v>993</v>
      </c>
      <c r="C5110" s="1">
        <v>12</v>
      </c>
      <c r="D5110" t="str">
        <f>VLOOKUP(B5110,Заказы!A:C,3,0)</f>
        <v>2023-10-31 18:08:00</v>
      </c>
      <c r="E5110" t="str">
        <f>VLOOKUP(C5110,Меню!A:E,4,0)</f>
        <v>Первое</v>
      </c>
      <c r="F5110">
        <f>VLOOKUP(C5110,Меню!A:E,5,0)</f>
        <v>300</v>
      </c>
    </row>
    <row r="5111" spans="1:6" ht="15.75" hidden="1" customHeight="1" x14ac:dyDescent="0.35">
      <c r="A5111" s="1">
        <v>5110</v>
      </c>
      <c r="B5111" s="1">
        <v>993</v>
      </c>
      <c r="C5111" s="1">
        <v>49</v>
      </c>
      <c r="D5111" t="str">
        <f>VLOOKUP(B5111,Заказы!A:C,3,0)</f>
        <v>2023-10-31 18:08:00</v>
      </c>
      <c r="E5111" t="str">
        <f>VLOOKUP(C5111,Меню!A:E,4,0)</f>
        <v>Суши</v>
      </c>
      <c r="F5111">
        <f>VLOOKUP(C5111,Меню!A:E,5,0)</f>
        <v>200</v>
      </c>
    </row>
    <row r="5112" spans="1:6" ht="15.75" hidden="1" customHeight="1" x14ac:dyDescent="0.35">
      <c r="A5112" s="1">
        <v>5111</v>
      </c>
      <c r="B5112" s="1">
        <v>994</v>
      </c>
      <c r="C5112" s="1">
        <v>20</v>
      </c>
      <c r="D5112" t="str">
        <f>VLOOKUP(B5112,Заказы!A:C,3,0)</f>
        <v>2023-10-31 21:14:00</v>
      </c>
      <c r="E5112" t="str">
        <f>VLOOKUP(C5112,Меню!A:E,4,0)</f>
        <v>Первое</v>
      </c>
      <c r="F5112">
        <f>VLOOKUP(C5112,Меню!A:E,5,0)</f>
        <v>250</v>
      </c>
    </row>
    <row r="5113" spans="1:6" ht="15.75" hidden="1" customHeight="1" x14ac:dyDescent="0.35">
      <c r="A5113" s="1">
        <v>5112</v>
      </c>
      <c r="B5113" s="1">
        <v>995</v>
      </c>
      <c r="C5113" s="1">
        <v>2</v>
      </c>
      <c r="D5113" t="str">
        <f>VLOOKUP(B5113,Заказы!A:C,3,0)</f>
        <v>2023-11-01 16:31:00</v>
      </c>
      <c r="E5113" t="str">
        <f>VLOOKUP(C5113,Меню!A:E,4,0)</f>
        <v>Завтрак</v>
      </c>
      <c r="F5113">
        <f>VLOOKUP(C5113,Меню!A:E,5,0)</f>
        <v>250</v>
      </c>
    </row>
    <row r="5114" spans="1:6" ht="15.75" hidden="1" customHeight="1" x14ac:dyDescent="0.35">
      <c r="A5114" s="1">
        <v>5113</v>
      </c>
      <c r="B5114" s="1">
        <v>995</v>
      </c>
      <c r="C5114" s="1">
        <v>20</v>
      </c>
      <c r="D5114" t="str">
        <f>VLOOKUP(B5114,Заказы!A:C,3,0)</f>
        <v>2023-11-01 16:31:00</v>
      </c>
      <c r="E5114" t="str">
        <f>VLOOKUP(C5114,Меню!A:E,4,0)</f>
        <v>Первое</v>
      </c>
      <c r="F5114">
        <f>VLOOKUP(C5114,Меню!A:E,5,0)</f>
        <v>250</v>
      </c>
    </row>
    <row r="5115" spans="1:6" ht="15.75" hidden="1" customHeight="1" x14ac:dyDescent="0.35">
      <c r="A5115" s="1">
        <v>5114</v>
      </c>
      <c r="B5115" s="1">
        <v>995</v>
      </c>
      <c r="C5115" s="1">
        <v>13</v>
      </c>
      <c r="D5115" t="str">
        <f>VLOOKUP(B5115,Заказы!A:C,3,0)</f>
        <v>2023-11-01 16:31:00</v>
      </c>
      <c r="E5115" t="str">
        <f>VLOOKUP(C5115,Меню!A:E,4,0)</f>
        <v>Первое</v>
      </c>
      <c r="F5115">
        <f>VLOOKUP(C5115,Меню!A:E,5,0)</f>
        <v>280</v>
      </c>
    </row>
    <row r="5116" spans="1:6" ht="15.75" hidden="1" customHeight="1" x14ac:dyDescent="0.35">
      <c r="A5116" s="1">
        <v>5115</v>
      </c>
      <c r="B5116" s="1">
        <v>995</v>
      </c>
      <c r="C5116" s="1">
        <v>26</v>
      </c>
      <c r="D5116" t="str">
        <f>VLOOKUP(B5116,Заказы!A:C,3,0)</f>
        <v>2023-11-01 16:31:00</v>
      </c>
      <c r="E5116" t="str">
        <f>VLOOKUP(C5116,Меню!A:E,4,0)</f>
        <v>Салат</v>
      </c>
      <c r="F5116">
        <f>VLOOKUP(C5116,Меню!A:E,5,0)</f>
        <v>250</v>
      </c>
    </row>
    <row r="5117" spans="1:6" ht="15.75" hidden="1" customHeight="1" x14ac:dyDescent="0.35">
      <c r="A5117" s="1">
        <v>5116</v>
      </c>
      <c r="B5117" s="1">
        <v>996</v>
      </c>
      <c r="C5117" s="1">
        <v>6</v>
      </c>
      <c r="D5117" t="str">
        <f>VLOOKUP(B5117,Заказы!A:C,3,0)</f>
        <v>2023-11-01 17:29:00</v>
      </c>
      <c r="E5117" t="str">
        <f>VLOOKUP(C5117,Меню!A:E,4,0)</f>
        <v>Завтрак</v>
      </c>
      <c r="F5117">
        <f>VLOOKUP(C5117,Меню!A:E,5,0)</f>
        <v>300</v>
      </c>
    </row>
    <row r="5118" spans="1:6" ht="15.75" hidden="1" customHeight="1" x14ac:dyDescent="0.35">
      <c r="A5118" s="1">
        <v>5117</v>
      </c>
      <c r="B5118" s="1">
        <v>996</v>
      </c>
      <c r="C5118" s="1">
        <v>11</v>
      </c>
      <c r="D5118" t="str">
        <f>VLOOKUP(B5118,Заказы!A:C,3,0)</f>
        <v>2023-11-01 17:29:00</v>
      </c>
      <c r="E5118" t="str">
        <f>VLOOKUP(C5118,Меню!A:E,4,0)</f>
        <v>Первое</v>
      </c>
      <c r="F5118">
        <f>VLOOKUP(C5118,Меню!A:E,5,0)</f>
        <v>300</v>
      </c>
    </row>
    <row r="5119" spans="1:6" ht="15.75" hidden="1" customHeight="1" x14ac:dyDescent="0.35">
      <c r="A5119" s="1">
        <v>5118</v>
      </c>
      <c r="B5119" s="1">
        <v>997</v>
      </c>
      <c r="C5119" s="1">
        <v>8</v>
      </c>
      <c r="D5119" t="str">
        <f>VLOOKUP(B5119,Заказы!A:C,3,0)</f>
        <v>2023-11-01 20:44:00</v>
      </c>
      <c r="E5119" t="str">
        <f>VLOOKUP(C5119,Меню!A:E,4,0)</f>
        <v>Завтрак</v>
      </c>
      <c r="F5119">
        <f>VLOOKUP(C5119,Меню!A:E,5,0)</f>
        <v>180</v>
      </c>
    </row>
    <row r="5120" spans="1:6" ht="15.75" hidden="1" customHeight="1" x14ac:dyDescent="0.35">
      <c r="A5120" s="1">
        <v>5119</v>
      </c>
      <c r="B5120" s="1">
        <v>998</v>
      </c>
      <c r="C5120" s="1">
        <v>50</v>
      </c>
      <c r="D5120" t="str">
        <f>VLOOKUP(B5120,Заказы!A:C,3,0)</f>
        <v>2023-11-02 16:15:00</v>
      </c>
      <c r="E5120" t="str">
        <f>VLOOKUP(C5120,Меню!A:E,4,0)</f>
        <v>Суши</v>
      </c>
      <c r="F5120">
        <f>VLOOKUP(C5120,Меню!A:E,5,0)</f>
        <v>200</v>
      </c>
    </row>
    <row r="5121" spans="1:6" ht="15.75" hidden="1" customHeight="1" x14ac:dyDescent="0.35">
      <c r="A5121" s="1">
        <v>5120</v>
      </c>
      <c r="B5121" s="1">
        <v>998</v>
      </c>
      <c r="C5121" s="1">
        <v>16</v>
      </c>
      <c r="D5121" t="str">
        <f>VLOOKUP(B5121,Заказы!A:C,3,0)</f>
        <v>2023-11-02 16:15:00</v>
      </c>
      <c r="E5121" t="str">
        <f>VLOOKUP(C5121,Меню!A:E,4,0)</f>
        <v>Первое</v>
      </c>
      <c r="F5121">
        <f>VLOOKUP(C5121,Меню!A:E,5,0)</f>
        <v>250</v>
      </c>
    </row>
    <row r="5122" spans="1:6" ht="15.75" hidden="1" customHeight="1" x14ac:dyDescent="0.35">
      <c r="A5122" s="1">
        <v>5121</v>
      </c>
      <c r="B5122" s="1">
        <v>998</v>
      </c>
      <c r="C5122" s="1">
        <v>42</v>
      </c>
      <c r="D5122" t="str">
        <f>VLOOKUP(B5122,Заказы!A:C,3,0)</f>
        <v>2023-11-02 16:15:00</v>
      </c>
      <c r="E5122" t="str">
        <f>VLOOKUP(C5122,Меню!A:E,4,0)</f>
        <v>Суши</v>
      </c>
      <c r="F5122">
        <f>VLOOKUP(C5122,Меню!A:E,5,0)</f>
        <v>250</v>
      </c>
    </row>
    <row r="5123" spans="1:6" ht="15.75" hidden="1" customHeight="1" x14ac:dyDescent="0.35">
      <c r="A5123" s="1">
        <v>5122</v>
      </c>
      <c r="B5123" s="1">
        <v>998</v>
      </c>
      <c r="C5123" s="1">
        <v>38</v>
      </c>
      <c r="D5123" t="str">
        <f>VLOOKUP(B5123,Заказы!A:C,3,0)</f>
        <v>2023-11-02 16:15:00</v>
      </c>
      <c r="E5123" t="str">
        <f>VLOOKUP(C5123,Меню!A:E,4,0)</f>
        <v>Десерт</v>
      </c>
      <c r="F5123">
        <f>VLOOKUP(C5123,Меню!A:E,5,0)</f>
        <v>150</v>
      </c>
    </row>
    <row r="5124" spans="1:6" ht="15.75" hidden="1" customHeight="1" x14ac:dyDescent="0.35">
      <c r="A5124" s="1">
        <v>5123</v>
      </c>
      <c r="B5124" s="1">
        <v>998</v>
      </c>
      <c r="C5124" s="1">
        <v>48</v>
      </c>
      <c r="D5124" t="str">
        <f>VLOOKUP(B5124,Заказы!A:C,3,0)</f>
        <v>2023-11-02 16:15:00</v>
      </c>
      <c r="E5124" t="str">
        <f>VLOOKUP(C5124,Меню!A:E,4,0)</f>
        <v>Суши</v>
      </c>
      <c r="F5124">
        <f>VLOOKUP(C5124,Меню!A:E,5,0)</f>
        <v>200</v>
      </c>
    </row>
    <row r="5125" spans="1:6" ht="15.75" hidden="1" customHeight="1" x14ac:dyDescent="0.35">
      <c r="A5125" s="1">
        <v>5124</v>
      </c>
      <c r="B5125" s="1">
        <v>998</v>
      </c>
      <c r="C5125" s="1">
        <v>3</v>
      </c>
      <c r="D5125" t="str">
        <f>VLOOKUP(B5125,Заказы!A:C,3,0)</f>
        <v>2023-11-02 16:15:00</v>
      </c>
      <c r="E5125" t="str">
        <f>VLOOKUP(C5125,Меню!A:E,4,0)</f>
        <v>Завтрак</v>
      </c>
      <c r="F5125">
        <f>VLOOKUP(C5125,Меню!A:E,5,0)</f>
        <v>150</v>
      </c>
    </row>
    <row r="5126" spans="1:6" ht="15.75" hidden="1" customHeight="1" x14ac:dyDescent="0.35">
      <c r="A5126" s="1">
        <v>5125</v>
      </c>
      <c r="B5126" s="1">
        <v>999</v>
      </c>
      <c r="C5126" s="1">
        <v>53</v>
      </c>
      <c r="D5126" t="str">
        <f>VLOOKUP(B5126,Заказы!A:C,3,0)</f>
        <v>2023-11-02 17:40:00</v>
      </c>
      <c r="E5126" t="str">
        <f>VLOOKUP(C5126,Меню!A:E,4,0)</f>
        <v>Суши</v>
      </c>
      <c r="F5126">
        <f>VLOOKUP(C5126,Меню!A:E,5,0)</f>
        <v>100</v>
      </c>
    </row>
    <row r="5127" spans="1:6" ht="15.75" hidden="1" customHeight="1" x14ac:dyDescent="0.35">
      <c r="A5127" s="1">
        <v>5126</v>
      </c>
      <c r="B5127" s="1">
        <v>999</v>
      </c>
      <c r="C5127" s="1">
        <v>23</v>
      </c>
      <c r="D5127" t="str">
        <f>VLOOKUP(B5127,Заказы!A:C,3,0)</f>
        <v>2023-11-02 17:40:00</v>
      </c>
      <c r="E5127" t="str">
        <f>VLOOKUP(C5127,Меню!A:E,4,0)</f>
        <v>Салат</v>
      </c>
      <c r="F5127">
        <f>VLOOKUP(C5127,Меню!A:E,5,0)</f>
        <v>250</v>
      </c>
    </row>
    <row r="5128" spans="1:6" ht="15.75" hidden="1" customHeight="1" x14ac:dyDescent="0.35">
      <c r="A5128" s="1">
        <v>5127</v>
      </c>
      <c r="B5128" s="1">
        <v>999</v>
      </c>
      <c r="C5128" s="1">
        <v>5</v>
      </c>
      <c r="D5128" t="str">
        <f>VLOOKUP(B5128,Заказы!A:C,3,0)</f>
        <v>2023-11-02 17:40:00</v>
      </c>
      <c r="E5128" t="str">
        <f>VLOOKUP(C5128,Меню!A:E,4,0)</f>
        <v>Завтрак</v>
      </c>
      <c r="F5128">
        <f>VLOOKUP(C5128,Меню!A:E,5,0)</f>
        <v>220</v>
      </c>
    </row>
    <row r="5129" spans="1:6" ht="15.75" hidden="1" customHeight="1" x14ac:dyDescent="0.35">
      <c r="A5129" s="1">
        <v>5128</v>
      </c>
      <c r="B5129" s="1">
        <v>999</v>
      </c>
      <c r="C5129" s="1">
        <v>8</v>
      </c>
      <c r="D5129" t="str">
        <f>VLOOKUP(B5129,Заказы!A:C,3,0)</f>
        <v>2023-11-02 17:40:00</v>
      </c>
      <c r="E5129" t="str">
        <f>VLOOKUP(C5129,Меню!A:E,4,0)</f>
        <v>Завтрак</v>
      </c>
      <c r="F5129">
        <f>VLOOKUP(C5129,Меню!A:E,5,0)</f>
        <v>180</v>
      </c>
    </row>
    <row r="5130" spans="1:6" ht="15.75" hidden="1" customHeight="1" x14ac:dyDescent="0.35">
      <c r="A5130" s="1">
        <v>5129</v>
      </c>
      <c r="B5130" s="1">
        <v>999</v>
      </c>
      <c r="C5130" s="1">
        <v>44</v>
      </c>
      <c r="D5130" t="str">
        <f>VLOOKUP(B5130,Заказы!A:C,3,0)</f>
        <v>2023-11-02 17:40:00</v>
      </c>
      <c r="E5130" t="str">
        <f>VLOOKUP(C5130,Меню!A:E,4,0)</f>
        <v>Суши</v>
      </c>
      <c r="F5130">
        <f>VLOOKUP(C5130,Меню!A:E,5,0)</f>
        <v>250</v>
      </c>
    </row>
    <row r="5131" spans="1:6" ht="15.75" hidden="1" customHeight="1" x14ac:dyDescent="0.35">
      <c r="A5131" s="1">
        <v>5130</v>
      </c>
      <c r="B5131" s="1">
        <v>999</v>
      </c>
      <c r="C5131" s="1">
        <v>51</v>
      </c>
      <c r="D5131" t="str">
        <f>VLOOKUP(B5131,Заказы!A:C,3,0)</f>
        <v>2023-11-02 17:40:00</v>
      </c>
      <c r="E5131" t="str">
        <f>VLOOKUP(C5131,Меню!A:E,4,0)</f>
        <v>Суши</v>
      </c>
      <c r="F5131">
        <f>VLOOKUP(C5131,Меню!A:E,5,0)</f>
        <v>100</v>
      </c>
    </row>
    <row r="5132" spans="1:6" ht="15.75" hidden="1" customHeight="1" x14ac:dyDescent="0.35">
      <c r="A5132" s="1">
        <v>5131</v>
      </c>
      <c r="B5132" s="1">
        <v>999</v>
      </c>
      <c r="C5132" s="1">
        <v>44</v>
      </c>
      <c r="D5132" t="str">
        <f>VLOOKUP(B5132,Заказы!A:C,3,0)</f>
        <v>2023-11-02 17:40:00</v>
      </c>
      <c r="E5132" t="str">
        <f>VLOOKUP(C5132,Меню!A:E,4,0)</f>
        <v>Суши</v>
      </c>
      <c r="F5132">
        <f>VLOOKUP(C5132,Меню!A:E,5,0)</f>
        <v>250</v>
      </c>
    </row>
    <row r="5133" spans="1:6" ht="15.75" hidden="1" customHeight="1" x14ac:dyDescent="0.35">
      <c r="A5133" s="1">
        <v>5132</v>
      </c>
      <c r="B5133" s="1">
        <v>999</v>
      </c>
      <c r="C5133" s="1">
        <v>10</v>
      </c>
      <c r="D5133" t="str">
        <f>VLOOKUP(B5133,Заказы!A:C,3,0)</f>
        <v>2023-11-02 17:40:00</v>
      </c>
      <c r="E5133" t="str">
        <f>VLOOKUP(C5133,Меню!A:E,4,0)</f>
        <v>Завтрак</v>
      </c>
      <c r="F5133">
        <f>VLOOKUP(C5133,Меню!A:E,5,0)</f>
        <v>200</v>
      </c>
    </row>
    <row r="5134" spans="1:6" ht="15.75" hidden="1" customHeight="1" x14ac:dyDescent="0.35">
      <c r="A5134" s="1">
        <v>5133</v>
      </c>
      <c r="B5134" s="1">
        <v>999</v>
      </c>
      <c r="C5134" s="1">
        <v>39</v>
      </c>
      <c r="D5134" t="str">
        <f>VLOOKUP(B5134,Заказы!A:C,3,0)</f>
        <v>2023-11-02 17:40:00</v>
      </c>
      <c r="E5134" t="str">
        <f>VLOOKUP(C5134,Меню!A:E,4,0)</f>
        <v>Десерт</v>
      </c>
      <c r="F5134">
        <f>VLOOKUP(C5134,Меню!A:E,5,0)</f>
        <v>150</v>
      </c>
    </row>
    <row r="5135" spans="1:6" ht="15.75" hidden="1" customHeight="1" x14ac:dyDescent="0.35">
      <c r="A5135" s="1">
        <v>5134</v>
      </c>
      <c r="B5135" s="1">
        <v>999</v>
      </c>
      <c r="C5135" s="1">
        <v>4</v>
      </c>
      <c r="D5135" t="str">
        <f>VLOOKUP(B5135,Заказы!A:C,3,0)</f>
        <v>2023-11-02 17:40:00</v>
      </c>
      <c r="E5135" t="str">
        <f>VLOOKUP(C5135,Меню!A:E,4,0)</f>
        <v>Завтрак</v>
      </c>
      <c r="F5135">
        <f>VLOOKUP(C5135,Меню!A:E,5,0)</f>
        <v>180</v>
      </c>
    </row>
    <row r="5136" spans="1:6" ht="15.75" hidden="1" customHeight="1" x14ac:dyDescent="0.35">
      <c r="A5136" s="1">
        <v>5135</v>
      </c>
      <c r="B5136" s="1">
        <v>1000</v>
      </c>
      <c r="C5136" s="1">
        <v>27</v>
      </c>
      <c r="D5136" t="str">
        <f>VLOOKUP(B5136,Заказы!A:C,3,0)</f>
        <v>2023-11-02 18:34:00</v>
      </c>
      <c r="E5136" t="str">
        <f>VLOOKUP(C5136,Меню!A:E,4,0)</f>
        <v>Салат</v>
      </c>
      <c r="F5136">
        <f>VLOOKUP(C5136,Меню!A:E,5,0)</f>
        <v>250</v>
      </c>
    </row>
    <row r="5137" spans="1:6" ht="15.75" hidden="1" customHeight="1" x14ac:dyDescent="0.35">
      <c r="A5137" s="1">
        <v>5136</v>
      </c>
      <c r="B5137" s="1">
        <v>1001</v>
      </c>
      <c r="C5137" s="1">
        <v>28</v>
      </c>
      <c r="D5137" t="str">
        <f>VLOOKUP(B5137,Заказы!A:C,3,0)</f>
        <v>2023-11-02 20:46:00</v>
      </c>
      <c r="E5137" t="str">
        <f>VLOOKUP(C5137,Меню!A:E,4,0)</f>
        <v>Салат</v>
      </c>
      <c r="F5137">
        <f>VLOOKUP(C5137,Меню!A:E,5,0)</f>
        <v>250</v>
      </c>
    </row>
    <row r="5138" spans="1:6" ht="15.75" hidden="1" customHeight="1" x14ac:dyDescent="0.35">
      <c r="A5138" s="1">
        <v>5137</v>
      </c>
      <c r="B5138" s="1">
        <v>1001</v>
      </c>
      <c r="C5138" s="1">
        <v>16</v>
      </c>
      <c r="D5138" t="str">
        <f>VLOOKUP(B5138,Заказы!A:C,3,0)</f>
        <v>2023-11-02 20:46:00</v>
      </c>
      <c r="E5138" t="str">
        <f>VLOOKUP(C5138,Меню!A:E,4,0)</f>
        <v>Первое</v>
      </c>
      <c r="F5138">
        <f>VLOOKUP(C5138,Меню!A:E,5,0)</f>
        <v>250</v>
      </c>
    </row>
    <row r="5139" spans="1:6" ht="15.75" hidden="1" customHeight="1" x14ac:dyDescent="0.35">
      <c r="A5139" s="1">
        <v>5138</v>
      </c>
      <c r="B5139" s="1">
        <v>1001</v>
      </c>
      <c r="C5139" s="1">
        <v>49</v>
      </c>
      <c r="D5139" t="str">
        <f>VLOOKUP(B5139,Заказы!A:C,3,0)</f>
        <v>2023-11-02 20:46:00</v>
      </c>
      <c r="E5139" t="str">
        <f>VLOOKUP(C5139,Меню!A:E,4,0)</f>
        <v>Суши</v>
      </c>
      <c r="F5139">
        <f>VLOOKUP(C5139,Меню!A:E,5,0)</f>
        <v>200</v>
      </c>
    </row>
    <row r="5140" spans="1:6" ht="15.75" hidden="1" customHeight="1" x14ac:dyDescent="0.35">
      <c r="A5140" s="1">
        <v>5139</v>
      </c>
      <c r="B5140" s="1">
        <v>1001</v>
      </c>
      <c r="C5140" s="1">
        <v>24</v>
      </c>
      <c r="D5140" t="str">
        <f>VLOOKUP(B5140,Заказы!A:C,3,0)</f>
        <v>2023-11-02 20:46:00</v>
      </c>
      <c r="E5140" t="str">
        <f>VLOOKUP(C5140,Меню!A:E,4,0)</f>
        <v>Салат</v>
      </c>
      <c r="F5140">
        <f>VLOOKUP(C5140,Меню!A:E,5,0)</f>
        <v>250</v>
      </c>
    </row>
    <row r="5141" spans="1:6" ht="15.75" hidden="1" customHeight="1" x14ac:dyDescent="0.35">
      <c r="A5141" s="1">
        <v>5140</v>
      </c>
      <c r="B5141" s="1">
        <v>1001</v>
      </c>
      <c r="C5141" s="1">
        <v>40</v>
      </c>
      <c r="D5141" t="str">
        <f>VLOOKUP(B5141,Заказы!A:C,3,0)</f>
        <v>2023-11-02 20:46:00</v>
      </c>
      <c r="E5141" t="str">
        <f>VLOOKUP(C5141,Меню!A:E,4,0)</f>
        <v>Десерт</v>
      </c>
      <c r="F5141">
        <f>VLOOKUP(C5141,Меню!A:E,5,0)</f>
        <v>150</v>
      </c>
    </row>
    <row r="5142" spans="1:6" ht="15.75" hidden="1" customHeight="1" x14ac:dyDescent="0.35">
      <c r="A5142" s="1">
        <v>5141</v>
      </c>
      <c r="B5142" s="1">
        <v>1002</v>
      </c>
      <c r="C5142" s="1">
        <v>8</v>
      </c>
      <c r="D5142" t="str">
        <f>VLOOKUP(B5142,Заказы!A:C,3,0)</f>
        <v>2023-11-03 18:54:00</v>
      </c>
      <c r="E5142" t="str">
        <f>VLOOKUP(C5142,Меню!A:E,4,0)</f>
        <v>Завтрак</v>
      </c>
      <c r="F5142">
        <f>VLOOKUP(C5142,Меню!A:E,5,0)</f>
        <v>180</v>
      </c>
    </row>
    <row r="5143" spans="1:6" ht="15.75" hidden="1" customHeight="1" x14ac:dyDescent="0.35">
      <c r="A5143" s="1">
        <v>5142</v>
      </c>
      <c r="B5143" s="1">
        <v>1002</v>
      </c>
      <c r="C5143" s="1">
        <v>19</v>
      </c>
      <c r="D5143" t="str">
        <f>VLOOKUP(B5143,Заказы!A:C,3,0)</f>
        <v>2023-11-03 18:54:00</v>
      </c>
      <c r="E5143" t="str">
        <f>VLOOKUP(C5143,Меню!A:E,4,0)</f>
        <v>Первое</v>
      </c>
      <c r="F5143">
        <f>VLOOKUP(C5143,Меню!A:E,5,0)</f>
        <v>300</v>
      </c>
    </row>
    <row r="5144" spans="1:6" ht="15.75" hidden="1" customHeight="1" x14ac:dyDescent="0.35">
      <c r="A5144" s="1">
        <v>5143</v>
      </c>
      <c r="B5144" s="1">
        <v>1002</v>
      </c>
      <c r="C5144" s="1">
        <v>36</v>
      </c>
      <c r="D5144" t="str">
        <f>VLOOKUP(B5144,Заказы!A:C,3,0)</f>
        <v>2023-11-03 18:54:00</v>
      </c>
      <c r="E5144" t="str">
        <f>VLOOKUP(C5144,Меню!A:E,4,0)</f>
        <v>Десерт</v>
      </c>
      <c r="F5144">
        <f>VLOOKUP(C5144,Меню!A:E,5,0)</f>
        <v>150</v>
      </c>
    </row>
    <row r="5145" spans="1:6" ht="15.75" hidden="1" customHeight="1" x14ac:dyDescent="0.35">
      <c r="A5145" s="1">
        <v>5144</v>
      </c>
      <c r="B5145" s="1">
        <v>1002</v>
      </c>
      <c r="C5145" s="1">
        <v>3</v>
      </c>
      <c r="D5145" t="str">
        <f>VLOOKUP(B5145,Заказы!A:C,3,0)</f>
        <v>2023-11-03 18:54:00</v>
      </c>
      <c r="E5145" t="str">
        <f>VLOOKUP(C5145,Меню!A:E,4,0)</f>
        <v>Завтрак</v>
      </c>
      <c r="F5145">
        <f>VLOOKUP(C5145,Меню!A:E,5,0)</f>
        <v>150</v>
      </c>
    </row>
    <row r="5146" spans="1:6" ht="15.75" hidden="1" customHeight="1" x14ac:dyDescent="0.35">
      <c r="A5146" s="1">
        <v>5145</v>
      </c>
      <c r="B5146" s="1">
        <v>1002</v>
      </c>
      <c r="C5146" s="1">
        <v>38</v>
      </c>
      <c r="D5146" t="str">
        <f>VLOOKUP(B5146,Заказы!A:C,3,0)</f>
        <v>2023-11-03 18:54:00</v>
      </c>
      <c r="E5146" t="str">
        <f>VLOOKUP(C5146,Меню!A:E,4,0)</f>
        <v>Десерт</v>
      </c>
      <c r="F5146">
        <f>VLOOKUP(C5146,Меню!A:E,5,0)</f>
        <v>150</v>
      </c>
    </row>
    <row r="5147" spans="1:6" ht="15.75" hidden="1" customHeight="1" x14ac:dyDescent="0.35">
      <c r="A5147" s="1">
        <v>5146</v>
      </c>
      <c r="B5147" s="1">
        <v>1002</v>
      </c>
      <c r="C5147" s="1">
        <v>25</v>
      </c>
      <c r="D5147" t="str">
        <f>VLOOKUP(B5147,Заказы!A:C,3,0)</f>
        <v>2023-11-03 18:54:00</v>
      </c>
      <c r="E5147" t="str">
        <f>VLOOKUP(C5147,Меню!A:E,4,0)</f>
        <v>Салат</v>
      </c>
      <c r="F5147">
        <f>VLOOKUP(C5147,Меню!A:E,5,0)</f>
        <v>250</v>
      </c>
    </row>
    <row r="5148" spans="1:6" ht="15.75" hidden="1" customHeight="1" x14ac:dyDescent="0.35">
      <c r="A5148" s="1">
        <v>5147</v>
      </c>
      <c r="B5148" s="1">
        <v>1002</v>
      </c>
      <c r="C5148" s="1">
        <v>52</v>
      </c>
      <c r="D5148" t="str">
        <f>VLOOKUP(B5148,Заказы!A:C,3,0)</f>
        <v>2023-11-03 18:54:00</v>
      </c>
      <c r="E5148" t="str">
        <f>VLOOKUP(C5148,Меню!A:E,4,0)</f>
        <v>Суши</v>
      </c>
      <c r="F5148">
        <f>VLOOKUP(C5148,Меню!A:E,5,0)</f>
        <v>100</v>
      </c>
    </row>
    <row r="5149" spans="1:6" ht="15.75" hidden="1" customHeight="1" x14ac:dyDescent="0.35">
      <c r="A5149" s="1">
        <v>5148</v>
      </c>
      <c r="B5149" s="1">
        <v>1002</v>
      </c>
      <c r="C5149" s="1">
        <v>35</v>
      </c>
      <c r="D5149" t="str">
        <f>VLOOKUP(B5149,Заказы!A:C,3,0)</f>
        <v>2023-11-03 18:54:00</v>
      </c>
      <c r="E5149" t="str">
        <f>VLOOKUP(C5149,Меню!A:E,4,0)</f>
        <v>Десерт</v>
      </c>
      <c r="F5149">
        <f>VLOOKUP(C5149,Меню!A:E,5,0)</f>
        <v>150</v>
      </c>
    </row>
    <row r="5150" spans="1:6" ht="15.75" hidden="1" customHeight="1" x14ac:dyDescent="0.35">
      <c r="A5150" s="1">
        <v>5149</v>
      </c>
      <c r="B5150" s="1">
        <v>1002</v>
      </c>
      <c r="C5150" s="1">
        <v>29</v>
      </c>
      <c r="D5150" t="str">
        <f>VLOOKUP(B5150,Заказы!A:C,3,0)</f>
        <v>2023-11-03 18:54:00</v>
      </c>
      <c r="E5150" t="str">
        <f>VLOOKUP(C5150,Меню!A:E,4,0)</f>
        <v>Салат</v>
      </c>
      <c r="F5150">
        <f>VLOOKUP(C5150,Меню!A:E,5,0)</f>
        <v>250</v>
      </c>
    </row>
    <row r="5151" spans="1:6" ht="15.75" hidden="1" customHeight="1" x14ac:dyDescent="0.35">
      <c r="A5151" s="1">
        <v>5150</v>
      </c>
      <c r="B5151" s="1">
        <v>1003</v>
      </c>
      <c r="C5151" s="1">
        <v>11</v>
      </c>
      <c r="D5151" t="str">
        <f>VLOOKUP(B5151,Заказы!A:C,3,0)</f>
        <v>2023-11-03 19:11:00</v>
      </c>
      <c r="E5151" t="str">
        <f>VLOOKUP(C5151,Меню!A:E,4,0)</f>
        <v>Первое</v>
      </c>
      <c r="F5151">
        <f>VLOOKUP(C5151,Меню!A:E,5,0)</f>
        <v>300</v>
      </c>
    </row>
    <row r="5152" spans="1:6" ht="15.75" hidden="1" customHeight="1" x14ac:dyDescent="0.35">
      <c r="A5152" s="1">
        <v>5151</v>
      </c>
      <c r="B5152" s="1">
        <v>1003</v>
      </c>
      <c r="C5152" s="1">
        <v>42</v>
      </c>
      <c r="D5152" t="str">
        <f>VLOOKUP(B5152,Заказы!A:C,3,0)</f>
        <v>2023-11-03 19:11:00</v>
      </c>
      <c r="E5152" t="str">
        <f>VLOOKUP(C5152,Меню!A:E,4,0)</f>
        <v>Суши</v>
      </c>
      <c r="F5152">
        <f>VLOOKUP(C5152,Меню!A:E,5,0)</f>
        <v>250</v>
      </c>
    </row>
    <row r="5153" spans="1:6" ht="15.75" hidden="1" customHeight="1" x14ac:dyDescent="0.35">
      <c r="A5153" s="1">
        <v>5152</v>
      </c>
      <c r="B5153" s="1">
        <v>1003</v>
      </c>
      <c r="C5153" s="1">
        <v>17</v>
      </c>
      <c r="D5153" t="str">
        <f>VLOOKUP(B5153,Заказы!A:C,3,0)</f>
        <v>2023-11-03 19:11:00</v>
      </c>
      <c r="E5153" t="str">
        <f>VLOOKUP(C5153,Меню!A:E,4,0)</f>
        <v>Первое</v>
      </c>
      <c r="F5153">
        <f>VLOOKUP(C5153,Меню!A:E,5,0)</f>
        <v>250</v>
      </c>
    </row>
    <row r="5154" spans="1:6" ht="15.75" hidden="1" customHeight="1" x14ac:dyDescent="0.35">
      <c r="A5154" s="1">
        <v>5153</v>
      </c>
      <c r="B5154" s="1">
        <v>1003</v>
      </c>
      <c r="C5154" s="1">
        <v>34</v>
      </c>
      <c r="D5154" t="str">
        <f>VLOOKUP(B5154,Заказы!A:C,3,0)</f>
        <v>2023-11-03 19:11:00</v>
      </c>
      <c r="E5154" t="str">
        <f>VLOOKUP(C5154,Меню!A:E,4,0)</f>
        <v>Десерт</v>
      </c>
      <c r="F5154">
        <f>VLOOKUP(C5154,Меню!A:E,5,0)</f>
        <v>150</v>
      </c>
    </row>
    <row r="5155" spans="1:6" ht="15.75" hidden="1" customHeight="1" x14ac:dyDescent="0.35">
      <c r="A5155" s="1">
        <v>5154</v>
      </c>
      <c r="B5155" s="1">
        <v>1003</v>
      </c>
      <c r="C5155" s="1">
        <v>21</v>
      </c>
      <c r="D5155" t="str">
        <f>VLOOKUP(B5155,Заказы!A:C,3,0)</f>
        <v>2023-11-03 19:11:00</v>
      </c>
      <c r="E5155" t="str">
        <f>VLOOKUP(C5155,Меню!A:E,4,0)</f>
        <v>Салат</v>
      </c>
      <c r="F5155">
        <f>VLOOKUP(C5155,Меню!A:E,5,0)</f>
        <v>250</v>
      </c>
    </row>
    <row r="5156" spans="1:6" ht="15.75" hidden="1" customHeight="1" x14ac:dyDescent="0.35">
      <c r="A5156" s="1">
        <v>5155</v>
      </c>
      <c r="B5156" s="1">
        <v>1004</v>
      </c>
      <c r="C5156" s="1">
        <v>13</v>
      </c>
      <c r="D5156" t="str">
        <f>VLOOKUP(B5156,Заказы!A:C,3,0)</f>
        <v>2023-11-03 19:11:00</v>
      </c>
      <c r="E5156" t="str">
        <f>VLOOKUP(C5156,Меню!A:E,4,0)</f>
        <v>Первое</v>
      </c>
      <c r="F5156">
        <f>VLOOKUP(C5156,Меню!A:E,5,0)</f>
        <v>280</v>
      </c>
    </row>
    <row r="5157" spans="1:6" ht="15.75" hidden="1" customHeight="1" x14ac:dyDescent="0.35">
      <c r="A5157" s="1">
        <v>5156</v>
      </c>
      <c r="B5157" s="1">
        <v>1004</v>
      </c>
      <c r="C5157" s="1">
        <v>46</v>
      </c>
      <c r="D5157" t="str">
        <f>VLOOKUP(B5157,Заказы!A:C,3,0)</f>
        <v>2023-11-03 19:11:00</v>
      </c>
      <c r="E5157" t="str">
        <f>VLOOKUP(C5157,Меню!A:E,4,0)</f>
        <v>Суши</v>
      </c>
      <c r="F5157">
        <f>VLOOKUP(C5157,Меню!A:E,5,0)</f>
        <v>200</v>
      </c>
    </row>
    <row r="5158" spans="1:6" ht="15.75" hidden="1" customHeight="1" x14ac:dyDescent="0.35">
      <c r="A5158" s="1">
        <v>5157</v>
      </c>
      <c r="B5158" s="1">
        <v>1005</v>
      </c>
      <c r="C5158" s="1">
        <v>44</v>
      </c>
      <c r="D5158" t="str">
        <f>VLOOKUP(B5158,Заказы!A:C,3,0)</f>
        <v>2023-11-03 20:04:00</v>
      </c>
      <c r="E5158" t="str">
        <f>VLOOKUP(C5158,Меню!A:E,4,0)</f>
        <v>Суши</v>
      </c>
      <c r="F5158">
        <f>VLOOKUP(C5158,Меню!A:E,5,0)</f>
        <v>250</v>
      </c>
    </row>
    <row r="5159" spans="1:6" ht="15.75" hidden="1" customHeight="1" x14ac:dyDescent="0.35">
      <c r="A5159" s="1">
        <v>5158</v>
      </c>
      <c r="B5159" s="1">
        <v>1005</v>
      </c>
      <c r="C5159" s="1">
        <v>13</v>
      </c>
      <c r="D5159" t="str">
        <f>VLOOKUP(B5159,Заказы!A:C,3,0)</f>
        <v>2023-11-03 20:04:00</v>
      </c>
      <c r="E5159" t="str">
        <f>VLOOKUP(C5159,Меню!A:E,4,0)</f>
        <v>Первое</v>
      </c>
      <c r="F5159">
        <f>VLOOKUP(C5159,Меню!A:E,5,0)</f>
        <v>280</v>
      </c>
    </row>
    <row r="5160" spans="1:6" ht="15.75" hidden="1" customHeight="1" x14ac:dyDescent="0.35">
      <c r="A5160" s="1">
        <v>5159</v>
      </c>
      <c r="B5160" s="1">
        <v>1005</v>
      </c>
      <c r="C5160" s="1">
        <v>59</v>
      </c>
      <c r="D5160" t="str">
        <f>VLOOKUP(B5160,Заказы!A:C,3,0)</f>
        <v>2023-11-03 20:04:00</v>
      </c>
      <c r="E5160" t="str">
        <f>VLOOKUP(C5160,Меню!A:E,4,0)</f>
        <v>Суши</v>
      </c>
      <c r="F5160">
        <f>VLOOKUP(C5160,Меню!A:E,5,0)</f>
        <v>300</v>
      </c>
    </row>
    <row r="5161" spans="1:6" ht="15.75" hidden="1" customHeight="1" x14ac:dyDescent="0.35">
      <c r="A5161" s="1">
        <v>5160</v>
      </c>
      <c r="B5161" s="1">
        <v>1005</v>
      </c>
      <c r="C5161" s="1">
        <v>43</v>
      </c>
      <c r="D5161" t="str">
        <f>VLOOKUP(B5161,Заказы!A:C,3,0)</f>
        <v>2023-11-03 20:04:00</v>
      </c>
      <c r="E5161" t="str">
        <f>VLOOKUP(C5161,Меню!A:E,4,0)</f>
        <v>Суши</v>
      </c>
      <c r="F5161">
        <f>VLOOKUP(C5161,Меню!A:E,5,0)</f>
        <v>250</v>
      </c>
    </row>
    <row r="5162" spans="1:6" ht="15.75" hidden="1" customHeight="1" x14ac:dyDescent="0.35">
      <c r="A5162" s="1">
        <v>5161</v>
      </c>
      <c r="B5162" s="1">
        <v>1005</v>
      </c>
      <c r="C5162" s="1">
        <v>12</v>
      </c>
      <c r="D5162" t="str">
        <f>VLOOKUP(B5162,Заказы!A:C,3,0)</f>
        <v>2023-11-03 20:04:00</v>
      </c>
      <c r="E5162" t="str">
        <f>VLOOKUP(C5162,Меню!A:E,4,0)</f>
        <v>Первое</v>
      </c>
      <c r="F5162">
        <f>VLOOKUP(C5162,Меню!A:E,5,0)</f>
        <v>300</v>
      </c>
    </row>
    <row r="5163" spans="1:6" ht="15.75" hidden="1" customHeight="1" x14ac:dyDescent="0.35">
      <c r="A5163" s="1">
        <v>5162</v>
      </c>
      <c r="B5163" s="1">
        <v>1005</v>
      </c>
      <c r="C5163" s="1">
        <v>6</v>
      </c>
      <c r="D5163" t="str">
        <f>VLOOKUP(B5163,Заказы!A:C,3,0)</f>
        <v>2023-11-03 20:04:00</v>
      </c>
      <c r="E5163" t="str">
        <f>VLOOKUP(C5163,Меню!A:E,4,0)</f>
        <v>Завтрак</v>
      </c>
      <c r="F5163">
        <f>VLOOKUP(C5163,Меню!A:E,5,0)</f>
        <v>300</v>
      </c>
    </row>
    <row r="5164" spans="1:6" ht="15.75" hidden="1" customHeight="1" x14ac:dyDescent="0.35">
      <c r="A5164" s="1">
        <v>5163</v>
      </c>
      <c r="B5164" s="1">
        <v>1005</v>
      </c>
      <c r="C5164" s="1">
        <v>31</v>
      </c>
      <c r="D5164" t="str">
        <f>VLOOKUP(B5164,Заказы!A:C,3,0)</f>
        <v>2023-11-03 20:04:00</v>
      </c>
      <c r="E5164" t="str">
        <f>VLOOKUP(C5164,Меню!A:E,4,0)</f>
        <v>Десерт</v>
      </c>
      <c r="F5164">
        <f>VLOOKUP(C5164,Меню!A:E,5,0)</f>
        <v>150</v>
      </c>
    </row>
    <row r="5165" spans="1:6" ht="15.75" hidden="1" customHeight="1" x14ac:dyDescent="0.35">
      <c r="A5165" s="1">
        <v>5164</v>
      </c>
      <c r="B5165" s="1">
        <v>1006</v>
      </c>
      <c r="C5165" s="1">
        <v>43</v>
      </c>
      <c r="D5165" t="str">
        <f>VLOOKUP(B5165,Заказы!A:C,3,0)</f>
        <v>2023-11-03 20:19:00</v>
      </c>
      <c r="E5165" t="str">
        <f>VLOOKUP(C5165,Меню!A:E,4,0)</f>
        <v>Суши</v>
      </c>
      <c r="F5165">
        <f>VLOOKUP(C5165,Меню!A:E,5,0)</f>
        <v>250</v>
      </c>
    </row>
    <row r="5166" spans="1:6" ht="15.75" hidden="1" customHeight="1" x14ac:dyDescent="0.35">
      <c r="A5166" s="1">
        <v>5165</v>
      </c>
      <c r="B5166" s="1">
        <v>1006</v>
      </c>
      <c r="C5166" s="1">
        <v>10</v>
      </c>
      <c r="D5166" t="str">
        <f>VLOOKUP(B5166,Заказы!A:C,3,0)</f>
        <v>2023-11-03 20:19:00</v>
      </c>
      <c r="E5166" t="str">
        <f>VLOOKUP(C5166,Меню!A:E,4,0)</f>
        <v>Завтрак</v>
      </c>
      <c r="F5166">
        <f>VLOOKUP(C5166,Меню!A:E,5,0)</f>
        <v>200</v>
      </c>
    </row>
    <row r="5167" spans="1:6" ht="15.75" hidden="1" customHeight="1" x14ac:dyDescent="0.35">
      <c r="A5167" s="1">
        <v>5166</v>
      </c>
      <c r="B5167" s="1">
        <v>1006</v>
      </c>
      <c r="C5167" s="1">
        <v>30</v>
      </c>
      <c r="D5167" t="str">
        <f>VLOOKUP(B5167,Заказы!A:C,3,0)</f>
        <v>2023-11-03 20:19:00</v>
      </c>
      <c r="E5167" t="str">
        <f>VLOOKUP(C5167,Меню!A:E,4,0)</f>
        <v>Салат</v>
      </c>
      <c r="F5167">
        <f>VLOOKUP(C5167,Меню!A:E,5,0)</f>
        <v>250</v>
      </c>
    </row>
    <row r="5168" spans="1:6" ht="15.75" hidden="1" customHeight="1" x14ac:dyDescent="0.35">
      <c r="A5168" s="1">
        <v>5167</v>
      </c>
      <c r="B5168" s="1">
        <v>1006</v>
      </c>
      <c r="C5168" s="1">
        <v>22</v>
      </c>
      <c r="D5168" t="str">
        <f>VLOOKUP(B5168,Заказы!A:C,3,0)</f>
        <v>2023-11-03 20:19:00</v>
      </c>
      <c r="E5168" t="str">
        <f>VLOOKUP(C5168,Меню!A:E,4,0)</f>
        <v>Салат</v>
      </c>
      <c r="F5168">
        <f>VLOOKUP(C5168,Меню!A:E,5,0)</f>
        <v>250</v>
      </c>
    </row>
    <row r="5169" spans="1:6" ht="15.75" hidden="1" customHeight="1" x14ac:dyDescent="0.35">
      <c r="A5169" s="1">
        <v>5168</v>
      </c>
      <c r="B5169" s="1">
        <v>1006</v>
      </c>
      <c r="C5169" s="1">
        <v>53</v>
      </c>
      <c r="D5169" t="str">
        <f>VLOOKUP(B5169,Заказы!A:C,3,0)</f>
        <v>2023-11-03 20:19:00</v>
      </c>
      <c r="E5169" t="str">
        <f>VLOOKUP(C5169,Меню!A:E,4,0)</f>
        <v>Суши</v>
      </c>
      <c r="F5169">
        <f>VLOOKUP(C5169,Меню!A:E,5,0)</f>
        <v>100</v>
      </c>
    </row>
    <row r="5170" spans="1:6" ht="15.75" hidden="1" customHeight="1" x14ac:dyDescent="0.35">
      <c r="A5170" s="1">
        <v>5169</v>
      </c>
      <c r="B5170" s="1">
        <v>1006</v>
      </c>
      <c r="C5170" s="1">
        <v>37</v>
      </c>
      <c r="D5170" t="str">
        <f>VLOOKUP(B5170,Заказы!A:C,3,0)</f>
        <v>2023-11-03 20:19:00</v>
      </c>
      <c r="E5170" t="str">
        <f>VLOOKUP(C5170,Меню!A:E,4,0)</f>
        <v>Десерт</v>
      </c>
      <c r="F5170">
        <f>VLOOKUP(C5170,Меню!A:E,5,0)</f>
        <v>100</v>
      </c>
    </row>
    <row r="5171" spans="1:6" ht="15.75" hidden="1" customHeight="1" x14ac:dyDescent="0.35">
      <c r="A5171" s="1">
        <v>5170</v>
      </c>
      <c r="B5171" s="1">
        <v>1006</v>
      </c>
      <c r="C5171" s="1">
        <v>24</v>
      </c>
      <c r="D5171" t="str">
        <f>VLOOKUP(B5171,Заказы!A:C,3,0)</f>
        <v>2023-11-03 20:19:00</v>
      </c>
      <c r="E5171" t="str">
        <f>VLOOKUP(C5171,Меню!A:E,4,0)</f>
        <v>Салат</v>
      </c>
      <c r="F5171">
        <f>VLOOKUP(C5171,Меню!A:E,5,0)</f>
        <v>250</v>
      </c>
    </row>
    <row r="5172" spans="1:6" ht="15.75" hidden="1" customHeight="1" x14ac:dyDescent="0.35">
      <c r="A5172" s="1">
        <v>5171</v>
      </c>
      <c r="B5172" s="1">
        <v>1007</v>
      </c>
      <c r="C5172" s="1">
        <v>10</v>
      </c>
      <c r="D5172" t="str">
        <f>VLOOKUP(B5172,Заказы!A:C,3,0)</f>
        <v>2023-11-03 21:23:00</v>
      </c>
      <c r="E5172" t="str">
        <f>VLOOKUP(C5172,Меню!A:E,4,0)</f>
        <v>Завтрак</v>
      </c>
      <c r="F5172">
        <f>VLOOKUP(C5172,Меню!A:E,5,0)</f>
        <v>200</v>
      </c>
    </row>
    <row r="5173" spans="1:6" ht="15.75" hidden="1" customHeight="1" x14ac:dyDescent="0.35">
      <c r="A5173" s="1">
        <v>5172</v>
      </c>
      <c r="B5173" s="1">
        <v>1008</v>
      </c>
      <c r="C5173" s="1">
        <v>5</v>
      </c>
      <c r="D5173" t="str">
        <f>VLOOKUP(B5173,Заказы!A:C,3,0)</f>
        <v>2023-11-03 21:57:00</v>
      </c>
      <c r="E5173" t="str">
        <f>VLOOKUP(C5173,Меню!A:E,4,0)</f>
        <v>Завтрак</v>
      </c>
      <c r="F5173">
        <f>VLOOKUP(C5173,Меню!A:E,5,0)</f>
        <v>220</v>
      </c>
    </row>
    <row r="5174" spans="1:6" ht="15.75" hidden="1" customHeight="1" x14ac:dyDescent="0.35">
      <c r="A5174" s="1">
        <v>5173</v>
      </c>
      <c r="B5174" s="1">
        <v>1008</v>
      </c>
      <c r="C5174" s="1">
        <v>25</v>
      </c>
      <c r="D5174" t="str">
        <f>VLOOKUP(B5174,Заказы!A:C,3,0)</f>
        <v>2023-11-03 21:57:00</v>
      </c>
      <c r="E5174" t="str">
        <f>VLOOKUP(C5174,Меню!A:E,4,0)</f>
        <v>Салат</v>
      </c>
      <c r="F5174">
        <f>VLOOKUP(C5174,Меню!A:E,5,0)</f>
        <v>250</v>
      </c>
    </row>
    <row r="5175" spans="1:6" ht="15.75" hidden="1" customHeight="1" x14ac:dyDescent="0.35">
      <c r="A5175" s="1">
        <v>5174</v>
      </c>
      <c r="B5175" s="1">
        <v>1008</v>
      </c>
      <c r="C5175" s="1">
        <v>6</v>
      </c>
      <c r="D5175" t="str">
        <f>VLOOKUP(B5175,Заказы!A:C,3,0)</f>
        <v>2023-11-03 21:57:00</v>
      </c>
      <c r="E5175" t="str">
        <f>VLOOKUP(C5175,Меню!A:E,4,0)</f>
        <v>Завтрак</v>
      </c>
      <c r="F5175">
        <f>VLOOKUP(C5175,Меню!A:E,5,0)</f>
        <v>300</v>
      </c>
    </row>
    <row r="5176" spans="1:6" ht="15.75" hidden="1" customHeight="1" x14ac:dyDescent="0.35">
      <c r="A5176" s="1">
        <v>5175</v>
      </c>
      <c r="B5176" s="1">
        <v>1008</v>
      </c>
      <c r="C5176" s="1">
        <v>57</v>
      </c>
      <c r="D5176" t="str">
        <f>VLOOKUP(B5176,Заказы!A:C,3,0)</f>
        <v>2023-11-03 21:57:00</v>
      </c>
      <c r="E5176" t="str">
        <f>VLOOKUP(C5176,Меню!A:E,4,0)</f>
        <v>Суши</v>
      </c>
      <c r="F5176">
        <f>VLOOKUP(C5176,Меню!A:E,5,0)</f>
        <v>200</v>
      </c>
    </row>
    <row r="5177" spans="1:6" ht="15.75" hidden="1" customHeight="1" x14ac:dyDescent="0.35">
      <c r="A5177" s="1">
        <v>5176</v>
      </c>
      <c r="B5177" s="1">
        <v>1008</v>
      </c>
      <c r="C5177" s="1">
        <v>26</v>
      </c>
      <c r="D5177" t="str">
        <f>VLOOKUP(B5177,Заказы!A:C,3,0)</f>
        <v>2023-11-03 21:57:00</v>
      </c>
      <c r="E5177" t="str">
        <f>VLOOKUP(C5177,Меню!A:E,4,0)</f>
        <v>Салат</v>
      </c>
      <c r="F5177">
        <f>VLOOKUP(C5177,Меню!A:E,5,0)</f>
        <v>250</v>
      </c>
    </row>
    <row r="5178" spans="1:6" ht="15.75" hidden="1" customHeight="1" x14ac:dyDescent="0.35">
      <c r="A5178" s="1">
        <v>5177</v>
      </c>
      <c r="B5178" s="1">
        <v>1008</v>
      </c>
      <c r="C5178" s="1">
        <v>5</v>
      </c>
      <c r="D5178" t="str">
        <f>VLOOKUP(B5178,Заказы!A:C,3,0)</f>
        <v>2023-11-03 21:57:00</v>
      </c>
      <c r="E5178" t="str">
        <f>VLOOKUP(C5178,Меню!A:E,4,0)</f>
        <v>Завтрак</v>
      </c>
      <c r="F5178">
        <f>VLOOKUP(C5178,Меню!A:E,5,0)</f>
        <v>220</v>
      </c>
    </row>
    <row r="5179" spans="1:6" ht="15.75" hidden="1" customHeight="1" x14ac:dyDescent="0.35">
      <c r="A5179" s="1">
        <v>5178</v>
      </c>
      <c r="B5179" s="1">
        <v>1008</v>
      </c>
      <c r="C5179" s="1">
        <v>8</v>
      </c>
      <c r="D5179" t="str">
        <f>VLOOKUP(B5179,Заказы!A:C,3,0)</f>
        <v>2023-11-03 21:57:00</v>
      </c>
      <c r="E5179" t="str">
        <f>VLOOKUP(C5179,Меню!A:E,4,0)</f>
        <v>Завтрак</v>
      </c>
      <c r="F5179">
        <f>VLOOKUP(C5179,Меню!A:E,5,0)</f>
        <v>180</v>
      </c>
    </row>
    <row r="5180" spans="1:6" ht="15.75" hidden="1" customHeight="1" x14ac:dyDescent="0.35">
      <c r="A5180" s="1">
        <v>5179</v>
      </c>
      <c r="B5180" s="1">
        <v>1009</v>
      </c>
      <c r="C5180" s="1">
        <v>24</v>
      </c>
      <c r="D5180" t="str">
        <f>VLOOKUP(B5180,Заказы!A:C,3,0)</f>
        <v>2023-11-04 15:21:00</v>
      </c>
      <c r="E5180" t="str">
        <f>VLOOKUP(C5180,Меню!A:E,4,0)</f>
        <v>Салат</v>
      </c>
      <c r="F5180">
        <f>VLOOKUP(C5180,Меню!A:E,5,0)</f>
        <v>250</v>
      </c>
    </row>
    <row r="5181" spans="1:6" ht="15.75" hidden="1" customHeight="1" x14ac:dyDescent="0.35">
      <c r="A5181" s="1">
        <v>5180</v>
      </c>
      <c r="B5181" s="1">
        <v>1009</v>
      </c>
      <c r="C5181" s="1">
        <v>20</v>
      </c>
      <c r="D5181" t="str">
        <f>VLOOKUP(B5181,Заказы!A:C,3,0)</f>
        <v>2023-11-04 15:21:00</v>
      </c>
      <c r="E5181" t="str">
        <f>VLOOKUP(C5181,Меню!A:E,4,0)</f>
        <v>Первое</v>
      </c>
      <c r="F5181">
        <f>VLOOKUP(C5181,Меню!A:E,5,0)</f>
        <v>250</v>
      </c>
    </row>
    <row r="5182" spans="1:6" ht="15.75" hidden="1" customHeight="1" x14ac:dyDescent="0.35">
      <c r="A5182" s="1">
        <v>5181</v>
      </c>
      <c r="B5182" s="1">
        <v>1010</v>
      </c>
      <c r="C5182" s="1">
        <v>44</v>
      </c>
      <c r="D5182" t="str">
        <f>VLOOKUP(B5182,Заказы!A:C,3,0)</f>
        <v>2023-11-05 15:35:00</v>
      </c>
      <c r="E5182" t="str">
        <f>VLOOKUP(C5182,Меню!A:E,4,0)</f>
        <v>Суши</v>
      </c>
      <c r="F5182">
        <f>VLOOKUP(C5182,Меню!A:E,5,0)</f>
        <v>250</v>
      </c>
    </row>
    <row r="5183" spans="1:6" ht="15.75" hidden="1" customHeight="1" x14ac:dyDescent="0.35">
      <c r="A5183" s="1">
        <v>5182</v>
      </c>
      <c r="B5183" s="1">
        <v>1010</v>
      </c>
      <c r="C5183" s="1">
        <v>42</v>
      </c>
      <c r="D5183" t="str">
        <f>VLOOKUP(B5183,Заказы!A:C,3,0)</f>
        <v>2023-11-05 15:35:00</v>
      </c>
      <c r="E5183" t="str">
        <f>VLOOKUP(C5183,Меню!A:E,4,0)</f>
        <v>Суши</v>
      </c>
      <c r="F5183">
        <f>VLOOKUP(C5183,Меню!A:E,5,0)</f>
        <v>250</v>
      </c>
    </row>
    <row r="5184" spans="1:6" ht="15.75" hidden="1" customHeight="1" x14ac:dyDescent="0.35">
      <c r="A5184" s="1">
        <v>5183</v>
      </c>
      <c r="B5184" s="1">
        <v>1010</v>
      </c>
      <c r="C5184" s="1">
        <v>14</v>
      </c>
      <c r="D5184" t="str">
        <f>VLOOKUP(B5184,Заказы!A:C,3,0)</f>
        <v>2023-11-05 15:35:00</v>
      </c>
      <c r="E5184" t="str">
        <f>VLOOKUP(C5184,Меню!A:E,4,0)</f>
        <v>Первое</v>
      </c>
      <c r="F5184">
        <f>VLOOKUP(C5184,Меню!A:E,5,0)</f>
        <v>350</v>
      </c>
    </row>
    <row r="5185" spans="1:6" ht="15.75" hidden="1" customHeight="1" x14ac:dyDescent="0.35">
      <c r="A5185" s="1">
        <v>5184</v>
      </c>
      <c r="B5185" s="1">
        <v>1011</v>
      </c>
      <c r="C5185" s="1">
        <v>58</v>
      </c>
      <c r="D5185" t="str">
        <f>VLOOKUP(B5185,Заказы!A:C,3,0)</f>
        <v>2023-11-05 17:19:00</v>
      </c>
      <c r="E5185" t="str">
        <f>VLOOKUP(C5185,Меню!A:E,4,0)</f>
        <v>Суши</v>
      </c>
      <c r="F5185">
        <f>VLOOKUP(C5185,Меню!A:E,5,0)</f>
        <v>200</v>
      </c>
    </row>
    <row r="5186" spans="1:6" ht="15.75" hidden="1" customHeight="1" x14ac:dyDescent="0.35">
      <c r="A5186" s="1">
        <v>5185</v>
      </c>
      <c r="B5186" s="1">
        <v>1011</v>
      </c>
      <c r="C5186" s="1">
        <v>42</v>
      </c>
      <c r="D5186" t="str">
        <f>VLOOKUP(B5186,Заказы!A:C,3,0)</f>
        <v>2023-11-05 17:19:00</v>
      </c>
      <c r="E5186" t="str">
        <f>VLOOKUP(C5186,Меню!A:E,4,0)</f>
        <v>Суши</v>
      </c>
      <c r="F5186">
        <f>VLOOKUP(C5186,Меню!A:E,5,0)</f>
        <v>250</v>
      </c>
    </row>
    <row r="5187" spans="1:6" ht="15.75" hidden="1" customHeight="1" x14ac:dyDescent="0.35">
      <c r="A5187" s="1">
        <v>5186</v>
      </c>
      <c r="B5187" s="1">
        <v>1011</v>
      </c>
      <c r="C5187" s="1">
        <v>59</v>
      </c>
      <c r="D5187" t="str">
        <f>VLOOKUP(B5187,Заказы!A:C,3,0)</f>
        <v>2023-11-05 17:19:00</v>
      </c>
      <c r="E5187" t="str">
        <f>VLOOKUP(C5187,Меню!A:E,4,0)</f>
        <v>Суши</v>
      </c>
      <c r="F5187">
        <f>VLOOKUP(C5187,Меню!A:E,5,0)</f>
        <v>300</v>
      </c>
    </row>
    <row r="5188" spans="1:6" ht="15.75" hidden="1" customHeight="1" x14ac:dyDescent="0.35">
      <c r="A5188" s="1">
        <v>5187</v>
      </c>
      <c r="B5188" s="1">
        <v>1011</v>
      </c>
      <c r="C5188" s="1">
        <v>55</v>
      </c>
      <c r="D5188" t="str">
        <f>VLOOKUP(B5188,Заказы!A:C,3,0)</f>
        <v>2023-11-05 17:19:00</v>
      </c>
      <c r="E5188" t="str">
        <f>VLOOKUP(C5188,Меню!A:E,4,0)</f>
        <v>Суши</v>
      </c>
      <c r="F5188">
        <f>VLOOKUP(C5188,Меню!A:E,5,0)</f>
        <v>100</v>
      </c>
    </row>
    <row r="5189" spans="1:6" ht="15.75" hidden="1" customHeight="1" x14ac:dyDescent="0.35">
      <c r="A5189" s="1">
        <v>5188</v>
      </c>
      <c r="B5189" s="1">
        <v>1012</v>
      </c>
      <c r="C5189" s="1">
        <v>37</v>
      </c>
      <c r="D5189" t="str">
        <f>VLOOKUP(B5189,Заказы!A:C,3,0)</f>
        <v>2023-11-05 17:58:00</v>
      </c>
      <c r="E5189" t="str">
        <f>VLOOKUP(C5189,Меню!A:E,4,0)</f>
        <v>Десерт</v>
      </c>
      <c r="F5189">
        <f>VLOOKUP(C5189,Меню!A:E,5,0)</f>
        <v>100</v>
      </c>
    </row>
    <row r="5190" spans="1:6" ht="15.75" hidden="1" customHeight="1" x14ac:dyDescent="0.35">
      <c r="A5190" s="1">
        <v>5189</v>
      </c>
      <c r="B5190" s="1">
        <v>1012</v>
      </c>
      <c r="C5190" s="1">
        <v>48</v>
      </c>
      <c r="D5190" t="str">
        <f>VLOOKUP(B5190,Заказы!A:C,3,0)</f>
        <v>2023-11-05 17:58:00</v>
      </c>
      <c r="E5190" t="str">
        <f>VLOOKUP(C5190,Меню!A:E,4,0)</f>
        <v>Суши</v>
      </c>
      <c r="F5190">
        <f>VLOOKUP(C5190,Меню!A:E,5,0)</f>
        <v>200</v>
      </c>
    </row>
    <row r="5191" spans="1:6" ht="15.75" hidden="1" customHeight="1" x14ac:dyDescent="0.35">
      <c r="A5191" s="1">
        <v>5190</v>
      </c>
      <c r="B5191" s="1">
        <v>1012</v>
      </c>
      <c r="C5191" s="1">
        <v>30</v>
      </c>
      <c r="D5191" t="str">
        <f>VLOOKUP(B5191,Заказы!A:C,3,0)</f>
        <v>2023-11-05 17:58:00</v>
      </c>
      <c r="E5191" t="str">
        <f>VLOOKUP(C5191,Меню!A:E,4,0)</f>
        <v>Салат</v>
      </c>
      <c r="F5191">
        <f>VLOOKUP(C5191,Меню!A:E,5,0)</f>
        <v>250</v>
      </c>
    </row>
    <row r="5192" spans="1:6" ht="15.75" hidden="1" customHeight="1" x14ac:dyDescent="0.35">
      <c r="A5192" s="1">
        <v>5191</v>
      </c>
      <c r="B5192" s="1">
        <v>1013</v>
      </c>
      <c r="C5192" s="1">
        <v>54</v>
      </c>
      <c r="D5192" t="str">
        <f>VLOOKUP(B5192,Заказы!A:C,3,0)</f>
        <v>2023-11-05 18:28:00</v>
      </c>
      <c r="E5192" t="str">
        <f>VLOOKUP(C5192,Меню!A:E,4,0)</f>
        <v>Суши</v>
      </c>
      <c r="F5192">
        <f>VLOOKUP(C5192,Меню!A:E,5,0)</f>
        <v>100</v>
      </c>
    </row>
    <row r="5193" spans="1:6" ht="15.75" hidden="1" customHeight="1" x14ac:dyDescent="0.35">
      <c r="A5193" s="1">
        <v>5192</v>
      </c>
      <c r="B5193" s="1">
        <v>1013</v>
      </c>
      <c r="C5193" s="1">
        <v>8</v>
      </c>
      <c r="D5193" t="str">
        <f>VLOOKUP(B5193,Заказы!A:C,3,0)</f>
        <v>2023-11-05 18:28:00</v>
      </c>
      <c r="E5193" t="str">
        <f>VLOOKUP(C5193,Меню!A:E,4,0)</f>
        <v>Завтрак</v>
      </c>
      <c r="F5193">
        <f>VLOOKUP(C5193,Меню!A:E,5,0)</f>
        <v>180</v>
      </c>
    </row>
    <row r="5194" spans="1:6" ht="15.75" hidden="1" customHeight="1" x14ac:dyDescent="0.35">
      <c r="A5194" s="1">
        <v>5193</v>
      </c>
      <c r="B5194" s="1">
        <v>1013</v>
      </c>
      <c r="C5194" s="1">
        <v>43</v>
      </c>
      <c r="D5194" t="str">
        <f>VLOOKUP(B5194,Заказы!A:C,3,0)</f>
        <v>2023-11-05 18:28:00</v>
      </c>
      <c r="E5194" t="str">
        <f>VLOOKUP(C5194,Меню!A:E,4,0)</f>
        <v>Суши</v>
      </c>
      <c r="F5194">
        <f>VLOOKUP(C5194,Меню!A:E,5,0)</f>
        <v>250</v>
      </c>
    </row>
    <row r="5195" spans="1:6" ht="15.75" hidden="1" customHeight="1" x14ac:dyDescent="0.35">
      <c r="A5195" s="1">
        <v>5194</v>
      </c>
      <c r="B5195" s="1">
        <v>1013</v>
      </c>
      <c r="C5195" s="1">
        <v>13</v>
      </c>
      <c r="D5195" t="str">
        <f>VLOOKUP(B5195,Заказы!A:C,3,0)</f>
        <v>2023-11-05 18:28:00</v>
      </c>
      <c r="E5195" t="str">
        <f>VLOOKUP(C5195,Меню!A:E,4,0)</f>
        <v>Первое</v>
      </c>
      <c r="F5195">
        <f>VLOOKUP(C5195,Меню!A:E,5,0)</f>
        <v>280</v>
      </c>
    </row>
    <row r="5196" spans="1:6" ht="15.75" hidden="1" customHeight="1" x14ac:dyDescent="0.35">
      <c r="A5196" s="1">
        <v>5195</v>
      </c>
      <c r="B5196" s="1">
        <v>1014</v>
      </c>
      <c r="C5196" s="1">
        <v>37</v>
      </c>
      <c r="D5196" t="str">
        <f>VLOOKUP(B5196,Заказы!A:C,3,0)</f>
        <v>2023-11-05 19:02:00</v>
      </c>
      <c r="E5196" t="str">
        <f>VLOOKUP(C5196,Меню!A:E,4,0)</f>
        <v>Десерт</v>
      </c>
      <c r="F5196">
        <f>VLOOKUP(C5196,Меню!A:E,5,0)</f>
        <v>100</v>
      </c>
    </row>
    <row r="5197" spans="1:6" ht="15.75" hidden="1" customHeight="1" x14ac:dyDescent="0.35">
      <c r="A5197" s="1">
        <v>5196</v>
      </c>
      <c r="B5197" s="1">
        <v>1014</v>
      </c>
      <c r="C5197" s="1">
        <v>31</v>
      </c>
      <c r="D5197" t="str">
        <f>VLOOKUP(B5197,Заказы!A:C,3,0)</f>
        <v>2023-11-05 19:02:00</v>
      </c>
      <c r="E5197" t="str">
        <f>VLOOKUP(C5197,Меню!A:E,4,0)</f>
        <v>Десерт</v>
      </c>
      <c r="F5197">
        <f>VLOOKUP(C5197,Меню!A:E,5,0)</f>
        <v>150</v>
      </c>
    </row>
    <row r="5198" spans="1:6" ht="15.75" hidden="1" customHeight="1" x14ac:dyDescent="0.35">
      <c r="A5198" s="1">
        <v>5197</v>
      </c>
      <c r="B5198" s="1">
        <v>1014</v>
      </c>
      <c r="C5198" s="1">
        <v>22</v>
      </c>
      <c r="D5198" t="str">
        <f>VLOOKUP(B5198,Заказы!A:C,3,0)</f>
        <v>2023-11-05 19:02:00</v>
      </c>
      <c r="E5198" t="str">
        <f>VLOOKUP(C5198,Меню!A:E,4,0)</f>
        <v>Салат</v>
      </c>
      <c r="F5198">
        <f>VLOOKUP(C5198,Меню!A:E,5,0)</f>
        <v>250</v>
      </c>
    </row>
    <row r="5199" spans="1:6" ht="15.75" hidden="1" customHeight="1" x14ac:dyDescent="0.35">
      <c r="A5199" s="1">
        <v>5198</v>
      </c>
      <c r="B5199" s="1">
        <v>1014</v>
      </c>
      <c r="C5199" s="1">
        <v>33</v>
      </c>
      <c r="D5199" t="str">
        <f>VLOOKUP(B5199,Заказы!A:C,3,0)</f>
        <v>2023-11-05 19:02:00</v>
      </c>
      <c r="E5199" t="str">
        <f>VLOOKUP(C5199,Меню!A:E,4,0)</f>
        <v>Десерт</v>
      </c>
      <c r="F5199">
        <f>VLOOKUP(C5199,Меню!A:E,5,0)</f>
        <v>150</v>
      </c>
    </row>
    <row r="5200" spans="1:6" ht="15.75" hidden="1" customHeight="1" x14ac:dyDescent="0.35">
      <c r="A5200" s="1">
        <v>5199</v>
      </c>
      <c r="B5200" s="1">
        <v>1014</v>
      </c>
      <c r="C5200" s="1">
        <v>8</v>
      </c>
      <c r="D5200" t="str">
        <f>VLOOKUP(B5200,Заказы!A:C,3,0)</f>
        <v>2023-11-05 19:02:00</v>
      </c>
      <c r="E5200" t="str">
        <f>VLOOKUP(C5200,Меню!A:E,4,0)</f>
        <v>Завтрак</v>
      </c>
      <c r="F5200">
        <f>VLOOKUP(C5200,Меню!A:E,5,0)</f>
        <v>180</v>
      </c>
    </row>
    <row r="5201" spans="1:6" ht="15.75" hidden="1" customHeight="1" x14ac:dyDescent="0.35">
      <c r="A5201" s="1">
        <v>5200</v>
      </c>
      <c r="B5201" s="1">
        <v>1014</v>
      </c>
      <c r="C5201" s="1">
        <v>40</v>
      </c>
      <c r="D5201" t="str">
        <f>VLOOKUP(B5201,Заказы!A:C,3,0)</f>
        <v>2023-11-05 19:02:00</v>
      </c>
      <c r="E5201" t="str">
        <f>VLOOKUP(C5201,Меню!A:E,4,0)</f>
        <v>Десерт</v>
      </c>
      <c r="F5201">
        <f>VLOOKUP(C5201,Меню!A:E,5,0)</f>
        <v>150</v>
      </c>
    </row>
    <row r="5202" spans="1:6" ht="15.75" hidden="1" customHeight="1" x14ac:dyDescent="0.35">
      <c r="A5202" s="1">
        <v>5201</v>
      </c>
      <c r="B5202" s="1">
        <v>1014</v>
      </c>
      <c r="C5202" s="1">
        <v>3</v>
      </c>
      <c r="D5202" t="str">
        <f>VLOOKUP(B5202,Заказы!A:C,3,0)</f>
        <v>2023-11-05 19:02:00</v>
      </c>
      <c r="E5202" t="str">
        <f>VLOOKUP(C5202,Меню!A:E,4,0)</f>
        <v>Завтрак</v>
      </c>
      <c r="F5202">
        <f>VLOOKUP(C5202,Меню!A:E,5,0)</f>
        <v>150</v>
      </c>
    </row>
    <row r="5203" spans="1:6" ht="15.75" hidden="1" customHeight="1" x14ac:dyDescent="0.35">
      <c r="A5203" s="1">
        <v>5202</v>
      </c>
      <c r="B5203" s="1">
        <v>1015</v>
      </c>
      <c r="C5203" s="1">
        <v>5</v>
      </c>
      <c r="D5203" t="str">
        <f>VLOOKUP(B5203,Заказы!A:C,3,0)</f>
        <v>2023-11-05 20:49:00</v>
      </c>
      <c r="E5203" t="str">
        <f>VLOOKUP(C5203,Меню!A:E,4,0)</f>
        <v>Завтрак</v>
      </c>
      <c r="F5203">
        <f>VLOOKUP(C5203,Меню!A:E,5,0)</f>
        <v>220</v>
      </c>
    </row>
    <row r="5204" spans="1:6" ht="15.75" hidden="1" customHeight="1" x14ac:dyDescent="0.35">
      <c r="A5204" s="1">
        <v>5203</v>
      </c>
      <c r="B5204" s="1">
        <v>1015</v>
      </c>
      <c r="C5204" s="1">
        <v>59</v>
      </c>
      <c r="D5204" t="str">
        <f>VLOOKUP(B5204,Заказы!A:C,3,0)</f>
        <v>2023-11-05 20:49:00</v>
      </c>
      <c r="E5204" t="str">
        <f>VLOOKUP(C5204,Меню!A:E,4,0)</f>
        <v>Суши</v>
      </c>
      <c r="F5204">
        <f>VLOOKUP(C5204,Меню!A:E,5,0)</f>
        <v>300</v>
      </c>
    </row>
    <row r="5205" spans="1:6" ht="15.75" hidden="1" customHeight="1" x14ac:dyDescent="0.35">
      <c r="A5205" s="1">
        <v>5204</v>
      </c>
      <c r="B5205" s="1">
        <v>1015</v>
      </c>
      <c r="C5205" s="1">
        <v>49</v>
      </c>
      <c r="D5205" t="str">
        <f>VLOOKUP(B5205,Заказы!A:C,3,0)</f>
        <v>2023-11-05 20:49:00</v>
      </c>
      <c r="E5205" t="str">
        <f>VLOOKUP(C5205,Меню!A:E,4,0)</f>
        <v>Суши</v>
      </c>
      <c r="F5205">
        <f>VLOOKUP(C5205,Меню!A:E,5,0)</f>
        <v>200</v>
      </c>
    </row>
    <row r="5206" spans="1:6" ht="15.75" hidden="1" customHeight="1" x14ac:dyDescent="0.35">
      <c r="A5206" s="1">
        <v>5205</v>
      </c>
      <c r="B5206" s="1">
        <v>1016</v>
      </c>
      <c r="C5206" s="1">
        <v>25</v>
      </c>
      <c r="D5206" t="str">
        <f>VLOOKUP(B5206,Заказы!A:C,3,0)</f>
        <v>2023-11-05 20:50:00</v>
      </c>
      <c r="E5206" t="str">
        <f>VLOOKUP(C5206,Меню!A:E,4,0)</f>
        <v>Салат</v>
      </c>
      <c r="F5206">
        <f>VLOOKUP(C5206,Меню!A:E,5,0)</f>
        <v>250</v>
      </c>
    </row>
    <row r="5207" spans="1:6" ht="15.75" hidden="1" customHeight="1" x14ac:dyDescent="0.35">
      <c r="A5207" s="1">
        <v>5206</v>
      </c>
      <c r="B5207" s="1">
        <v>1016</v>
      </c>
      <c r="C5207" s="1">
        <v>47</v>
      </c>
      <c r="D5207" t="str">
        <f>VLOOKUP(B5207,Заказы!A:C,3,0)</f>
        <v>2023-11-05 20:50:00</v>
      </c>
      <c r="E5207" t="str">
        <f>VLOOKUP(C5207,Меню!A:E,4,0)</f>
        <v>Суши</v>
      </c>
      <c r="F5207">
        <f>VLOOKUP(C5207,Меню!A:E,5,0)</f>
        <v>200</v>
      </c>
    </row>
    <row r="5208" spans="1:6" ht="15.75" hidden="1" customHeight="1" x14ac:dyDescent="0.35">
      <c r="A5208" s="1">
        <v>5207</v>
      </c>
      <c r="B5208" s="1">
        <v>1016</v>
      </c>
      <c r="C5208" s="1">
        <v>12</v>
      </c>
      <c r="D5208" t="str">
        <f>VLOOKUP(B5208,Заказы!A:C,3,0)</f>
        <v>2023-11-05 20:50:00</v>
      </c>
      <c r="E5208" t="str">
        <f>VLOOKUP(C5208,Меню!A:E,4,0)</f>
        <v>Первое</v>
      </c>
      <c r="F5208">
        <f>VLOOKUP(C5208,Меню!A:E,5,0)</f>
        <v>300</v>
      </c>
    </row>
    <row r="5209" spans="1:6" ht="15.75" hidden="1" customHeight="1" x14ac:dyDescent="0.35">
      <c r="A5209" s="1">
        <v>5208</v>
      </c>
      <c r="B5209" s="1">
        <v>1017</v>
      </c>
      <c r="C5209" s="1">
        <v>12</v>
      </c>
      <c r="D5209" t="str">
        <f>VLOOKUP(B5209,Заказы!A:C,3,0)</f>
        <v>2023-11-05 21:42:00</v>
      </c>
      <c r="E5209" t="str">
        <f>VLOOKUP(C5209,Меню!A:E,4,0)</f>
        <v>Первое</v>
      </c>
      <c r="F5209">
        <f>VLOOKUP(C5209,Меню!A:E,5,0)</f>
        <v>300</v>
      </c>
    </row>
    <row r="5210" spans="1:6" ht="15.75" hidden="1" customHeight="1" x14ac:dyDescent="0.35">
      <c r="A5210" s="1">
        <v>5209</v>
      </c>
      <c r="B5210" s="1">
        <v>1017</v>
      </c>
      <c r="C5210" s="1">
        <v>3</v>
      </c>
      <c r="D5210" t="str">
        <f>VLOOKUP(B5210,Заказы!A:C,3,0)</f>
        <v>2023-11-05 21:42:00</v>
      </c>
      <c r="E5210" t="str">
        <f>VLOOKUP(C5210,Меню!A:E,4,0)</f>
        <v>Завтрак</v>
      </c>
      <c r="F5210">
        <f>VLOOKUP(C5210,Меню!A:E,5,0)</f>
        <v>150</v>
      </c>
    </row>
    <row r="5211" spans="1:6" ht="15.75" hidden="1" customHeight="1" x14ac:dyDescent="0.35">
      <c r="A5211" s="1">
        <v>5210</v>
      </c>
      <c r="B5211" s="1">
        <v>1017</v>
      </c>
      <c r="C5211" s="1">
        <v>49</v>
      </c>
      <c r="D5211" t="str">
        <f>VLOOKUP(B5211,Заказы!A:C,3,0)</f>
        <v>2023-11-05 21:42:00</v>
      </c>
      <c r="E5211" t="str">
        <f>VLOOKUP(C5211,Меню!A:E,4,0)</f>
        <v>Суши</v>
      </c>
      <c r="F5211">
        <f>VLOOKUP(C5211,Меню!A:E,5,0)</f>
        <v>200</v>
      </c>
    </row>
    <row r="5212" spans="1:6" ht="15.75" hidden="1" customHeight="1" x14ac:dyDescent="0.35">
      <c r="A5212" s="1">
        <v>5211</v>
      </c>
      <c r="B5212" s="1">
        <v>1017</v>
      </c>
      <c r="C5212" s="1">
        <v>6</v>
      </c>
      <c r="D5212" t="str">
        <f>VLOOKUP(B5212,Заказы!A:C,3,0)</f>
        <v>2023-11-05 21:42:00</v>
      </c>
      <c r="E5212" t="str">
        <f>VLOOKUP(C5212,Меню!A:E,4,0)</f>
        <v>Завтрак</v>
      </c>
      <c r="F5212">
        <f>VLOOKUP(C5212,Меню!A:E,5,0)</f>
        <v>300</v>
      </c>
    </row>
    <row r="5213" spans="1:6" ht="15.75" hidden="1" customHeight="1" x14ac:dyDescent="0.35">
      <c r="A5213" s="1">
        <v>5212</v>
      </c>
      <c r="B5213" s="1">
        <v>1017</v>
      </c>
      <c r="C5213" s="1">
        <v>32</v>
      </c>
      <c r="D5213" t="str">
        <f>VLOOKUP(B5213,Заказы!A:C,3,0)</f>
        <v>2023-11-05 21:42:00</v>
      </c>
      <c r="E5213" t="str">
        <f>VLOOKUP(C5213,Меню!A:E,4,0)</f>
        <v>Десерт</v>
      </c>
      <c r="F5213">
        <f>VLOOKUP(C5213,Меню!A:E,5,0)</f>
        <v>150</v>
      </c>
    </row>
    <row r="5214" spans="1:6" ht="15.75" hidden="1" customHeight="1" x14ac:dyDescent="0.35">
      <c r="A5214" s="1">
        <v>5213</v>
      </c>
      <c r="B5214" s="1">
        <v>1017</v>
      </c>
      <c r="C5214" s="1">
        <v>38</v>
      </c>
      <c r="D5214" t="str">
        <f>VLOOKUP(B5214,Заказы!A:C,3,0)</f>
        <v>2023-11-05 21:42:00</v>
      </c>
      <c r="E5214" t="str">
        <f>VLOOKUP(C5214,Меню!A:E,4,0)</f>
        <v>Десерт</v>
      </c>
      <c r="F5214">
        <f>VLOOKUP(C5214,Меню!A:E,5,0)</f>
        <v>150</v>
      </c>
    </row>
    <row r="5215" spans="1:6" ht="15.75" hidden="1" customHeight="1" x14ac:dyDescent="0.35">
      <c r="A5215" s="1">
        <v>5214</v>
      </c>
      <c r="B5215" s="1">
        <v>1017</v>
      </c>
      <c r="C5215" s="1">
        <v>8</v>
      </c>
      <c r="D5215" t="str">
        <f>VLOOKUP(B5215,Заказы!A:C,3,0)</f>
        <v>2023-11-05 21:42:00</v>
      </c>
      <c r="E5215" t="str">
        <f>VLOOKUP(C5215,Меню!A:E,4,0)</f>
        <v>Завтрак</v>
      </c>
      <c r="F5215">
        <f>VLOOKUP(C5215,Меню!A:E,5,0)</f>
        <v>180</v>
      </c>
    </row>
    <row r="5216" spans="1:6" ht="15.75" hidden="1" customHeight="1" x14ac:dyDescent="0.35">
      <c r="A5216" s="1">
        <v>5215</v>
      </c>
      <c r="B5216" s="1">
        <v>1018</v>
      </c>
      <c r="C5216" s="1">
        <v>9</v>
      </c>
      <c r="D5216" t="str">
        <f>VLOOKUP(B5216,Заказы!A:C,3,0)</f>
        <v>2023-11-06 16:25:00</v>
      </c>
      <c r="E5216" t="str">
        <f>VLOOKUP(C5216,Меню!A:E,4,0)</f>
        <v>Завтрак</v>
      </c>
      <c r="F5216">
        <f>VLOOKUP(C5216,Меню!A:E,5,0)</f>
        <v>220</v>
      </c>
    </row>
    <row r="5217" spans="1:6" ht="15.75" hidden="1" customHeight="1" x14ac:dyDescent="0.35">
      <c r="A5217" s="1">
        <v>5216</v>
      </c>
      <c r="B5217" s="1">
        <v>1018</v>
      </c>
      <c r="C5217" s="1">
        <v>29</v>
      </c>
      <c r="D5217" t="str">
        <f>VLOOKUP(B5217,Заказы!A:C,3,0)</f>
        <v>2023-11-06 16:25:00</v>
      </c>
      <c r="E5217" t="str">
        <f>VLOOKUP(C5217,Меню!A:E,4,0)</f>
        <v>Салат</v>
      </c>
      <c r="F5217">
        <f>VLOOKUP(C5217,Меню!A:E,5,0)</f>
        <v>250</v>
      </c>
    </row>
    <row r="5218" spans="1:6" ht="15.75" hidden="1" customHeight="1" x14ac:dyDescent="0.35">
      <c r="A5218" s="1">
        <v>5217</v>
      </c>
      <c r="B5218" s="1">
        <v>1018</v>
      </c>
      <c r="C5218" s="1">
        <v>42</v>
      </c>
      <c r="D5218" t="str">
        <f>VLOOKUP(B5218,Заказы!A:C,3,0)</f>
        <v>2023-11-06 16:25:00</v>
      </c>
      <c r="E5218" t="str">
        <f>VLOOKUP(C5218,Меню!A:E,4,0)</f>
        <v>Суши</v>
      </c>
      <c r="F5218">
        <f>VLOOKUP(C5218,Меню!A:E,5,0)</f>
        <v>250</v>
      </c>
    </row>
    <row r="5219" spans="1:6" ht="15.75" hidden="1" customHeight="1" x14ac:dyDescent="0.35">
      <c r="A5219" s="1">
        <v>5218</v>
      </c>
      <c r="B5219" s="1">
        <v>1018</v>
      </c>
      <c r="C5219" s="1">
        <v>52</v>
      </c>
      <c r="D5219" t="str">
        <f>VLOOKUP(B5219,Заказы!A:C,3,0)</f>
        <v>2023-11-06 16:25:00</v>
      </c>
      <c r="E5219" t="str">
        <f>VLOOKUP(C5219,Меню!A:E,4,0)</f>
        <v>Суши</v>
      </c>
      <c r="F5219">
        <f>VLOOKUP(C5219,Меню!A:E,5,0)</f>
        <v>100</v>
      </c>
    </row>
    <row r="5220" spans="1:6" ht="15.75" hidden="1" customHeight="1" x14ac:dyDescent="0.35">
      <c r="A5220" s="1">
        <v>5219</v>
      </c>
      <c r="B5220" s="1">
        <v>1018</v>
      </c>
      <c r="C5220" s="1">
        <v>58</v>
      </c>
      <c r="D5220" t="str">
        <f>VLOOKUP(B5220,Заказы!A:C,3,0)</f>
        <v>2023-11-06 16:25:00</v>
      </c>
      <c r="E5220" t="str">
        <f>VLOOKUP(C5220,Меню!A:E,4,0)</f>
        <v>Суши</v>
      </c>
      <c r="F5220">
        <f>VLOOKUP(C5220,Меню!A:E,5,0)</f>
        <v>200</v>
      </c>
    </row>
    <row r="5221" spans="1:6" ht="15.75" hidden="1" customHeight="1" x14ac:dyDescent="0.35">
      <c r="A5221" s="1">
        <v>5220</v>
      </c>
      <c r="B5221" s="1">
        <v>1018</v>
      </c>
      <c r="C5221" s="1">
        <v>52</v>
      </c>
      <c r="D5221" t="str">
        <f>VLOOKUP(B5221,Заказы!A:C,3,0)</f>
        <v>2023-11-06 16:25:00</v>
      </c>
      <c r="E5221" t="str">
        <f>VLOOKUP(C5221,Меню!A:E,4,0)</f>
        <v>Суши</v>
      </c>
      <c r="F5221">
        <f>VLOOKUP(C5221,Меню!A:E,5,0)</f>
        <v>100</v>
      </c>
    </row>
    <row r="5222" spans="1:6" ht="15.75" hidden="1" customHeight="1" x14ac:dyDescent="0.35">
      <c r="A5222" s="1">
        <v>5221</v>
      </c>
      <c r="B5222" s="1">
        <v>1018</v>
      </c>
      <c r="C5222" s="1">
        <v>45</v>
      </c>
      <c r="D5222" t="str">
        <f>VLOOKUP(B5222,Заказы!A:C,3,0)</f>
        <v>2023-11-06 16:25:00</v>
      </c>
      <c r="E5222" t="str">
        <f>VLOOKUP(C5222,Меню!A:E,4,0)</f>
        <v>Суши</v>
      </c>
      <c r="F5222">
        <f>VLOOKUP(C5222,Меню!A:E,5,0)</f>
        <v>200</v>
      </c>
    </row>
    <row r="5223" spans="1:6" ht="15.75" hidden="1" customHeight="1" x14ac:dyDescent="0.35">
      <c r="A5223" s="1">
        <v>5222</v>
      </c>
      <c r="B5223" s="1">
        <v>1019</v>
      </c>
      <c r="C5223" s="1">
        <v>50</v>
      </c>
      <c r="D5223" t="str">
        <f>VLOOKUP(B5223,Заказы!A:C,3,0)</f>
        <v>2023-11-06 17:35:00</v>
      </c>
      <c r="E5223" t="str">
        <f>VLOOKUP(C5223,Меню!A:E,4,0)</f>
        <v>Суши</v>
      </c>
      <c r="F5223">
        <f>VLOOKUP(C5223,Меню!A:E,5,0)</f>
        <v>200</v>
      </c>
    </row>
    <row r="5224" spans="1:6" ht="15.75" hidden="1" customHeight="1" x14ac:dyDescent="0.35">
      <c r="A5224" s="1">
        <v>5223</v>
      </c>
      <c r="B5224" s="1">
        <v>1019</v>
      </c>
      <c r="C5224" s="1">
        <v>50</v>
      </c>
      <c r="D5224" t="str">
        <f>VLOOKUP(B5224,Заказы!A:C,3,0)</f>
        <v>2023-11-06 17:35:00</v>
      </c>
      <c r="E5224" t="str">
        <f>VLOOKUP(C5224,Меню!A:E,4,0)</f>
        <v>Суши</v>
      </c>
      <c r="F5224">
        <f>VLOOKUP(C5224,Меню!A:E,5,0)</f>
        <v>200</v>
      </c>
    </row>
    <row r="5225" spans="1:6" ht="15.75" hidden="1" customHeight="1" x14ac:dyDescent="0.35">
      <c r="A5225" s="1">
        <v>5224</v>
      </c>
      <c r="B5225" s="1">
        <v>1019</v>
      </c>
      <c r="C5225" s="1">
        <v>31</v>
      </c>
      <c r="D5225" t="str">
        <f>VLOOKUP(B5225,Заказы!A:C,3,0)</f>
        <v>2023-11-06 17:35:00</v>
      </c>
      <c r="E5225" t="str">
        <f>VLOOKUP(C5225,Меню!A:E,4,0)</f>
        <v>Десерт</v>
      </c>
      <c r="F5225">
        <f>VLOOKUP(C5225,Меню!A:E,5,0)</f>
        <v>150</v>
      </c>
    </row>
    <row r="5226" spans="1:6" ht="15.75" hidden="1" customHeight="1" x14ac:dyDescent="0.35">
      <c r="A5226" s="1">
        <v>5225</v>
      </c>
      <c r="B5226" s="1">
        <v>1020</v>
      </c>
      <c r="C5226" s="1">
        <v>18</v>
      </c>
      <c r="D5226" t="str">
        <f>VLOOKUP(B5226,Заказы!A:C,3,0)</f>
        <v>2023-11-06 21:24:00</v>
      </c>
      <c r="E5226" t="str">
        <f>VLOOKUP(C5226,Меню!A:E,4,0)</f>
        <v>Первое</v>
      </c>
      <c r="F5226">
        <f>VLOOKUP(C5226,Меню!A:E,5,0)</f>
        <v>300</v>
      </c>
    </row>
    <row r="5227" spans="1:6" ht="15.75" hidden="1" customHeight="1" x14ac:dyDescent="0.35">
      <c r="A5227" s="1">
        <v>5226</v>
      </c>
      <c r="B5227" s="1">
        <v>1020</v>
      </c>
      <c r="C5227" s="1">
        <v>41</v>
      </c>
      <c r="D5227" t="str">
        <f>VLOOKUP(B5227,Заказы!A:C,3,0)</f>
        <v>2023-11-06 21:24:00</v>
      </c>
      <c r="E5227" t="str">
        <f>VLOOKUP(C5227,Меню!A:E,4,0)</f>
        <v>Суши</v>
      </c>
      <c r="F5227">
        <f>VLOOKUP(C5227,Меню!A:E,5,0)</f>
        <v>220</v>
      </c>
    </row>
    <row r="5228" spans="1:6" ht="15.75" hidden="1" customHeight="1" x14ac:dyDescent="0.35">
      <c r="A5228" s="1">
        <v>5227</v>
      </c>
      <c r="B5228" s="1">
        <v>1020</v>
      </c>
      <c r="C5228" s="1">
        <v>60</v>
      </c>
      <c r="D5228" t="str">
        <f>VLOOKUP(B5228,Заказы!A:C,3,0)</f>
        <v>2023-11-06 21:24:00</v>
      </c>
      <c r="E5228" t="str">
        <f>VLOOKUP(C5228,Меню!A:E,4,0)</f>
        <v>Суши</v>
      </c>
      <c r="F5228">
        <f>VLOOKUP(C5228,Меню!A:E,5,0)</f>
        <v>250</v>
      </c>
    </row>
    <row r="5229" spans="1:6" ht="15.75" hidden="1" customHeight="1" x14ac:dyDescent="0.35">
      <c r="A5229" s="1">
        <v>5228</v>
      </c>
      <c r="B5229" s="1">
        <v>1020</v>
      </c>
      <c r="C5229" s="1">
        <v>25</v>
      </c>
      <c r="D5229" t="str">
        <f>VLOOKUP(B5229,Заказы!A:C,3,0)</f>
        <v>2023-11-06 21:24:00</v>
      </c>
      <c r="E5229" t="str">
        <f>VLOOKUP(C5229,Меню!A:E,4,0)</f>
        <v>Салат</v>
      </c>
      <c r="F5229">
        <f>VLOOKUP(C5229,Меню!A:E,5,0)</f>
        <v>250</v>
      </c>
    </row>
    <row r="5230" spans="1:6" ht="15.75" hidden="1" customHeight="1" x14ac:dyDescent="0.35">
      <c r="A5230" s="1">
        <v>5229</v>
      </c>
      <c r="B5230" s="1">
        <v>1020</v>
      </c>
      <c r="C5230" s="1">
        <v>21</v>
      </c>
      <c r="D5230" t="str">
        <f>VLOOKUP(B5230,Заказы!A:C,3,0)</f>
        <v>2023-11-06 21:24:00</v>
      </c>
      <c r="E5230" t="str">
        <f>VLOOKUP(C5230,Меню!A:E,4,0)</f>
        <v>Салат</v>
      </c>
      <c r="F5230">
        <f>VLOOKUP(C5230,Меню!A:E,5,0)</f>
        <v>250</v>
      </c>
    </row>
    <row r="5231" spans="1:6" ht="15.75" hidden="1" customHeight="1" x14ac:dyDescent="0.35">
      <c r="A5231" s="1">
        <v>5230</v>
      </c>
      <c r="B5231" s="1">
        <v>1020</v>
      </c>
      <c r="C5231" s="1">
        <v>2</v>
      </c>
      <c r="D5231" t="str">
        <f>VLOOKUP(B5231,Заказы!A:C,3,0)</f>
        <v>2023-11-06 21:24:00</v>
      </c>
      <c r="E5231" t="str">
        <f>VLOOKUP(C5231,Меню!A:E,4,0)</f>
        <v>Завтрак</v>
      </c>
      <c r="F5231">
        <f>VLOOKUP(C5231,Меню!A:E,5,0)</f>
        <v>250</v>
      </c>
    </row>
    <row r="5232" spans="1:6" ht="15.75" hidden="1" customHeight="1" x14ac:dyDescent="0.35">
      <c r="A5232" s="1">
        <v>5231</v>
      </c>
      <c r="B5232" s="1">
        <v>1020</v>
      </c>
      <c r="C5232" s="1">
        <v>27</v>
      </c>
      <c r="D5232" t="str">
        <f>VLOOKUP(B5232,Заказы!A:C,3,0)</f>
        <v>2023-11-06 21:24:00</v>
      </c>
      <c r="E5232" t="str">
        <f>VLOOKUP(C5232,Меню!A:E,4,0)</f>
        <v>Салат</v>
      </c>
      <c r="F5232">
        <f>VLOOKUP(C5232,Меню!A:E,5,0)</f>
        <v>250</v>
      </c>
    </row>
    <row r="5233" spans="1:6" ht="15.75" hidden="1" customHeight="1" x14ac:dyDescent="0.35">
      <c r="A5233" s="1">
        <v>5232</v>
      </c>
      <c r="B5233" s="1">
        <v>1021</v>
      </c>
      <c r="C5233" s="1">
        <v>29</v>
      </c>
      <c r="D5233" t="str">
        <f>VLOOKUP(B5233,Заказы!A:C,3,0)</f>
        <v>2023-11-07 15:39:00</v>
      </c>
      <c r="E5233" t="str">
        <f>VLOOKUP(C5233,Меню!A:E,4,0)</f>
        <v>Салат</v>
      </c>
      <c r="F5233">
        <f>VLOOKUP(C5233,Меню!A:E,5,0)</f>
        <v>250</v>
      </c>
    </row>
    <row r="5234" spans="1:6" ht="15.75" hidden="1" customHeight="1" x14ac:dyDescent="0.35">
      <c r="A5234" s="1">
        <v>5233</v>
      </c>
      <c r="B5234" s="1">
        <v>1021</v>
      </c>
      <c r="C5234" s="1">
        <v>19</v>
      </c>
      <c r="D5234" t="str">
        <f>VLOOKUP(B5234,Заказы!A:C,3,0)</f>
        <v>2023-11-07 15:39:00</v>
      </c>
      <c r="E5234" t="str">
        <f>VLOOKUP(C5234,Меню!A:E,4,0)</f>
        <v>Первое</v>
      </c>
      <c r="F5234">
        <f>VLOOKUP(C5234,Меню!A:E,5,0)</f>
        <v>300</v>
      </c>
    </row>
    <row r="5235" spans="1:6" ht="15.75" hidden="1" customHeight="1" x14ac:dyDescent="0.35">
      <c r="A5235" s="1">
        <v>5234</v>
      </c>
      <c r="B5235" s="1">
        <v>1021</v>
      </c>
      <c r="C5235" s="1">
        <v>29</v>
      </c>
      <c r="D5235" t="str">
        <f>VLOOKUP(B5235,Заказы!A:C,3,0)</f>
        <v>2023-11-07 15:39:00</v>
      </c>
      <c r="E5235" t="str">
        <f>VLOOKUP(C5235,Меню!A:E,4,0)</f>
        <v>Салат</v>
      </c>
      <c r="F5235">
        <f>VLOOKUP(C5235,Меню!A:E,5,0)</f>
        <v>250</v>
      </c>
    </row>
    <row r="5236" spans="1:6" ht="15.75" hidden="1" customHeight="1" x14ac:dyDescent="0.35">
      <c r="A5236" s="1">
        <v>5235</v>
      </c>
      <c r="B5236" s="1">
        <v>1021</v>
      </c>
      <c r="C5236" s="1">
        <v>10</v>
      </c>
      <c r="D5236" t="str">
        <f>VLOOKUP(B5236,Заказы!A:C,3,0)</f>
        <v>2023-11-07 15:39:00</v>
      </c>
      <c r="E5236" t="str">
        <f>VLOOKUP(C5236,Меню!A:E,4,0)</f>
        <v>Завтрак</v>
      </c>
      <c r="F5236">
        <f>VLOOKUP(C5236,Меню!A:E,5,0)</f>
        <v>200</v>
      </c>
    </row>
    <row r="5237" spans="1:6" ht="15.75" hidden="1" customHeight="1" x14ac:dyDescent="0.35">
      <c r="A5237" s="1">
        <v>5236</v>
      </c>
      <c r="B5237" s="1">
        <v>1021</v>
      </c>
      <c r="C5237" s="1">
        <v>26</v>
      </c>
      <c r="D5237" t="str">
        <f>VLOOKUP(B5237,Заказы!A:C,3,0)</f>
        <v>2023-11-07 15:39:00</v>
      </c>
      <c r="E5237" t="str">
        <f>VLOOKUP(C5237,Меню!A:E,4,0)</f>
        <v>Салат</v>
      </c>
      <c r="F5237">
        <f>VLOOKUP(C5237,Меню!A:E,5,0)</f>
        <v>250</v>
      </c>
    </row>
    <row r="5238" spans="1:6" ht="15.75" hidden="1" customHeight="1" x14ac:dyDescent="0.35">
      <c r="A5238" s="1">
        <v>5237</v>
      </c>
      <c r="B5238" s="1">
        <v>1021</v>
      </c>
      <c r="C5238" s="1">
        <v>27</v>
      </c>
      <c r="D5238" t="str">
        <f>VLOOKUP(B5238,Заказы!A:C,3,0)</f>
        <v>2023-11-07 15:39:00</v>
      </c>
      <c r="E5238" t="str">
        <f>VLOOKUP(C5238,Меню!A:E,4,0)</f>
        <v>Салат</v>
      </c>
      <c r="F5238">
        <f>VLOOKUP(C5238,Меню!A:E,5,0)</f>
        <v>250</v>
      </c>
    </row>
    <row r="5239" spans="1:6" ht="15.75" hidden="1" customHeight="1" x14ac:dyDescent="0.35">
      <c r="A5239" s="1">
        <v>5238</v>
      </c>
      <c r="B5239" s="1">
        <v>1021</v>
      </c>
      <c r="C5239" s="1">
        <v>39</v>
      </c>
      <c r="D5239" t="str">
        <f>VLOOKUP(B5239,Заказы!A:C,3,0)</f>
        <v>2023-11-07 15:39:00</v>
      </c>
      <c r="E5239" t="str">
        <f>VLOOKUP(C5239,Меню!A:E,4,0)</f>
        <v>Десерт</v>
      </c>
      <c r="F5239">
        <f>VLOOKUP(C5239,Меню!A:E,5,0)</f>
        <v>150</v>
      </c>
    </row>
    <row r="5240" spans="1:6" ht="15.75" hidden="1" customHeight="1" x14ac:dyDescent="0.35">
      <c r="A5240" s="1">
        <v>5239</v>
      </c>
      <c r="B5240" s="1">
        <v>1021</v>
      </c>
      <c r="C5240" s="1">
        <v>28</v>
      </c>
      <c r="D5240" t="str">
        <f>VLOOKUP(B5240,Заказы!A:C,3,0)</f>
        <v>2023-11-07 15:39:00</v>
      </c>
      <c r="E5240" t="str">
        <f>VLOOKUP(C5240,Меню!A:E,4,0)</f>
        <v>Салат</v>
      </c>
      <c r="F5240">
        <f>VLOOKUP(C5240,Меню!A:E,5,0)</f>
        <v>250</v>
      </c>
    </row>
    <row r="5241" spans="1:6" ht="15.75" hidden="1" customHeight="1" x14ac:dyDescent="0.35">
      <c r="A5241" s="1">
        <v>5240</v>
      </c>
      <c r="B5241" s="1">
        <v>1021</v>
      </c>
      <c r="C5241" s="1">
        <v>14</v>
      </c>
      <c r="D5241" t="str">
        <f>VLOOKUP(B5241,Заказы!A:C,3,0)</f>
        <v>2023-11-07 15:39:00</v>
      </c>
      <c r="E5241" t="str">
        <f>VLOOKUP(C5241,Меню!A:E,4,0)</f>
        <v>Первое</v>
      </c>
      <c r="F5241">
        <f>VLOOKUP(C5241,Меню!A:E,5,0)</f>
        <v>350</v>
      </c>
    </row>
    <row r="5242" spans="1:6" ht="15.75" hidden="1" customHeight="1" x14ac:dyDescent="0.35">
      <c r="A5242" s="1">
        <v>5241</v>
      </c>
      <c r="B5242" s="1">
        <v>1022</v>
      </c>
      <c r="C5242" s="1">
        <v>13</v>
      </c>
      <c r="D5242" t="str">
        <f>VLOOKUP(B5242,Заказы!A:C,3,0)</f>
        <v>2023-11-07 18:04:00</v>
      </c>
      <c r="E5242" t="str">
        <f>VLOOKUP(C5242,Меню!A:E,4,0)</f>
        <v>Первое</v>
      </c>
      <c r="F5242">
        <f>VLOOKUP(C5242,Меню!A:E,5,0)</f>
        <v>280</v>
      </c>
    </row>
    <row r="5243" spans="1:6" ht="15.75" hidden="1" customHeight="1" x14ac:dyDescent="0.35">
      <c r="A5243" s="1">
        <v>5242</v>
      </c>
      <c r="B5243" s="1">
        <v>1022</v>
      </c>
      <c r="C5243" s="1">
        <v>60</v>
      </c>
      <c r="D5243" t="str">
        <f>VLOOKUP(B5243,Заказы!A:C,3,0)</f>
        <v>2023-11-07 18:04:00</v>
      </c>
      <c r="E5243" t="str">
        <f>VLOOKUP(C5243,Меню!A:E,4,0)</f>
        <v>Суши</v>
      </c>
      <c r="F5243">
        <f>VLOOKUP(C5243,Меню!A:E,5,0)</f>
        <v>250</v>
      </c>
    </row>
    <row r="5244" spans="1:6" ht="15.75" hidden="1" customHeight="1" x14ac:dyDescent="0.35">
      <c r="A5244" s="1">
        <v>5243</v>
      </c>
      <c r="B5244" s="1">
        <v>1022</v>
      </c>
      <c r="C5244" s="1">
        <v>21</v>
      </c>
      <c r="D5244" t="str">
        <f>VLOOKUP(B5244,Заказы!A:C,3,0)</f>
        <v>2023-11-07 18:04:00</v>
      </c>
      <c r="E5244" t="str">
        <f>VLOOKUP(C5244,Меню!A:E,4,0)</f>
        <v>Салат</v>
      </c>
      <c r="F5244">
        <f>VLOOKUP(C5244,Меню!A:E,5,0)</f>
        <v>250</v>
      </c>
    </row>
    <row r="5245" spans="1:6" ht="15.75" hidden="1" customHeight="1" x14ac:dyDescent="0.35">
      <c r="A5245" s="1">
        <v>5244</v>
      </c>
      <c r="B5245" s="1">
        <v>1022</v>
      </c>
      <c r="C5245" s="1">
        <v>3</v>
      </c>
      <c r="D5245" t="str">
        <f>VLOOKUP(B5245,Заказы!A:C,3,0)</f>
        <v>2023-11-07 18:04:00</v>
      </c>
      <c r="E5245" t="str">
        <f>VLOOKUP(C5245,Меню!A:E,4,0)</f>
        <v>Завтрак</v>
      </c>
      <c r="F5245">
        <f>VLOOKUP(C5245,Меню!A:E,5,0)</f>
        <v>150</v>
      </c>
    </row>
    <row r="5246" spans="1:6" ht="15.75" hidden="1" customHeight="1" x14ac:dyDescent="0.35">
      <c r="A5246" s="1">
        <v>5245</v>
      </c>
      <c r="B5246" s="1">
        <v>1022</v>
      </c>
      <c r="C5246" s="1">
        <v>16</v>
      </c>
      <c r="D5246" t="str">
        <f>VLOOKUP(B5246,Заказы!A:C,3,0)</f>
        <v>2023-11-07 18:04:00</v>
      </c>
      <c r="E5246" t="str">
        <f>VLOOKUP(C5246,Меню!A:E,4,0)</f>
        <v>Первое</v>
      </c>
      <c r="F5246">
        <f>VLOOKUP(C5246,Меню!A:E,5,0)</f>
        <v>250</v>
      </c>
    </row>
    <row r="5247" spans="1:6" ht="15.75" hidden="1" customHeight="1" x14ac:dyDescent="0.35">
      <c r="A5247" s="1">
        <v>5246</v>
      </c>
      <c r="B5247" s="1">
        <v>1023</v>
      </c>
      <c r="C5247" s="1">
        <v>54</v>
      </c>
      <c r="D5247" t="str">
        <f>VLOOKUP(B5247,Заказы!A:C,3,0)</f>
        <v>2023-11-07 19:41:00</v>
      </c>
      <c r="E5247" t="str">
        <f>VLOOKUP(C5247,Меню!A:E,4,0)</f>
        <v>Суши</v>
      </c>
      <c r="F5247">
        <f>VLOOKUP(C5247,Меню!A:E,5,0)</f>
        <v>100</v>
      </c>
    </row>
    <row r="5248" spans="1:6" ht="15.75" hidden="1" customHeight="1" x14ac:dyDescent="0.35">
      <c r="A5248" s="1">
        <v>5247</v>
      </c>
      <c r="B5248" s="1">
        <v>1023</v>
      </c>
      <c r="C5248" s="1">
        <v>20</v>
      </c>
      <c r="D5248" t="str">
        <f>VLOOKUP(B5248,Заказы!A:C,3,0)</f>
        <v>2023-11-07 19:41:00</v>
      </c>
      <c r="E5248" t="str">
        <f>VLOOKUP(C5248,Меню!A:E,4,0)</f>
        <v>Первое</v>
      </c>
      <c r="F5248">
        <f>VLOOKUP(C5248,Меню!A:E,5,0)</f>
        <v>250</v>
      </c>
    </row>
    <row r="5249" spans="1:6" ht="15.75" hidden="1" customHeight="1" x14ac:dyDescent="0.35">
      <c r="A5249" s="1">
        <v>5248</v>
      </c>
      <c r="B5249" s="1">
        <v>1023</v>
      </c>
      <c r="C5249" s="1">
        <v>31</v>
      </c>
      <c r="D5249" t="str">
        <f>VLOOKUP(B5249,Заказы!A:C,3,0)</f>
        <v>2023-11-07 19:41:00</v>
      </c>
      <c r="E5249" t="str">
        <f>VLOOKUP(C5249,Меню!A:E,4,0)</f>
        <v>Десерт</v>
      </c>
      <c r="F5249">
        <f>VLOOKUP(C5249,Меню!A:E,5,0)</f>
        <v>150</v>
      </c>
    </row>
    <row r="5250" spans="1:6" ht="15.75" hidden="1" customHeight="1" x14ac:dyDescent="0.35">
      <c r="A5250" s="1">
        <v>5249</v>
      </c>
      <c r="B5250" s="1">
        <v>1023</v>
      </c>
      <c r="C5250" s="1">
        <v>27</v>
      </c>
      <c r="D5250" t="str">
        <f>VLOOKUP(B5250,Заказы!A:C,3,0)</f>
        <v>2023-11-07 19:41:00</v>
      </c>
      <c r="E5250" t="str">
        <f>VLOOKUP(C5250,Меню!A:E,4,0)</f>
        <v>Салат</v>
      </c>
      <c r="F5250">
        <f>VLOOKUP(C5250,Меню!A:E,5,0)</f>
        <v>250</v>
      </c>
    </row>
    <row r="5251" spans="1:6" ht="15.75" hidden="1" customHeight="1" x14ac:dyDescent="0.35">
      <c r="A5251" s="1">
        <v>5250</v>
      </c>
      <c r="B5251" s="1">
        <v>1023</v>
      </c>
      <c r="C5251" s="1">
        <v>44</v>
      </c>
      <c r="D5251" t="str">
        <f>VLOOKUP(B5251,Заказы!A:C,3,0)</f>
        <v>2023-11-07 19:41:00</v>
      </c>
      <c r="E5251" t="str">
        <f>VLOOKUP(C5251,Меню!A:E,4,0)</f>
        <v>Суши</v>
      </c>
      <c r="F5251">
        <f>VLOOKUP(C5251,Меню!A:E,5,0)</f>
        <v>250</v>
      </c>
    </row>
    <row r="5252" spans="1:6" ht="15.75" hidden="1" customHeight="1" x14ac:dyDescent="0.35">
      <c r="A5252" s="1">
        <v>5251</v>
      </c>
      <c r="B5252" s="1">
        <v>1023</v>
      </c>
      <c r="C5252" s="1">
        <v>36</v>
      </c>
      <c r="D5252" t="str">
        <f>VLOOKUP(B5252,Заказы!A:C,3,0)</f>
        <v>2023-11-07 19:41:00</v>
      </c>
      <c r="E5252" t="str">
        <f>VLOOKUP(C5252,Меню!A:E,4,0)</f>
        <v>Десерт</v>
      </c>
      <c r="F5252">
        <f>VLOOKUP(C5252,Меню!A:E,5,0)</f>
        <v>150</v>
      </c>
    </row>
    <row r="5253" spans="1:6" ht="15.75" hidden="1" customHeight="1" x14ac:dyDescent="0.35">
      <c r="A5253" s="1">
        <v>5252</v>
      </c>
      <c r="B5253" s="1">
        <v>1023</v>
      </c>
      <c r="C5253" s="1">
        <v>29</v>
      </c>
      <c r="D5253" t="str">
        <f>VLOOKUP(B5253,Заказы!A:C,3,0)</f>
        <v>2023-11-07 19:41:00</v>
      </c>
      <c r="E5253" t="str">
        <f>VLOOKUP(C5253,Меню!A:E,4,0)</f>
        <v>Салат</v>
      </c>
      <c r="F5253">
        <f>VLOOKUP(C5253,Меню!A:E,5,0)</f>
        <v>250</v>
      </c>
    </row>
    <row r="5254" spans="1:6" ht="15.75" hidden="1" customHeight="1" x14ac:dyDescent="0.35">
      <c r="A5254" s="1">
        <v>5253</v>
      </c>
      <c r="B5254" s="1">
        <v>1023</v>
      </c>
      <c r="C5254" s="1">
        <v>49</v>
      </c>
      <c r="D5254" t="str">
        <f>VLOOKUP(B5254,Заказы!A:C,3,0)</f>
        <v>2023-11-07 19:41:00</v>
      </c>
      <c r="E5254" t="str">
        <f>VLOOKUP(C5254,Меню!A:E,4,0)</f>
        <v>Суши</v>
      </c>
      <c r="F5254">
        <f>VLOOKUP(C5254,Меню!A:E,5,0)</f>
        <v>200</v>
      </c>
    </row>
    <row r="5255" spans="1:6" ht="15.75" hidden="1" customHeight="1" x14ac:dyDescent="0.35">
      <c r="A5255" s="1">
        <v>5254</v>
      </c>
      <c r="B5255" s="1">
        <v>1023</v>
      </c>
      <c r="C5255" s="1">
        <v>22</v>
      </c>
      <c r="D5255" t="str">
        <f>VLOOKUP(B5255,Заказы!A:C,3,0)</f>
        <v>2023-11-07 19:41:00</v>
      </c>
      <c r="E5255" t="str">
        <f>VLOOKUP(C5255,Меню!A:E,4,0)</f>
        <v>Салат</v>
      </c>
      <c r="F5255">
        <f>VLOOKUP(C5255,Меню!A:E,5,0)</f>
        <v>250</v>
      </c>
    </row>
    <row r="5256" spans="1:6" ht="15.75" hidden="1" customHeight="1" x14ac:dyDescent="0.35">
      <c r="A5256" s="1">
        <v>5255</v>
      </c>
      <c r="B5256" s="1">
        <v>1024</v>
      </c>
      <c r="C5256" s="1">
        <v>22</v>
      </c>
      <c r="D5256" t="str">
        <f>VLOOKUP(B5256,Заказы!A:C,3,0)</f>
        <v>2023-11-07 19:52:00</v>
      </c>
      <c r="E5256" t="str">
        <f>VLOOKUP(C5256,Меню!A:E,4,0)</f>
        <v>Салат</v>
      </c>
      <c r="F5256">
        <f>VLOOKUP(C5256,Меню!A:E,5,0)</f>
        <v>250</v>
      </c>
    </row>
    <row r="5257" spans="1:6" ht="15.75" hidden="1" customHeight="1" x14ac:dyDescent="0.35">
      <c r="A5257" s="1">
        <v>5256</v>
      </c>
      <c r="B5257" s="1">
        <v>1024</v>
      </c>
      <c r="C5257" s="1">
        <v>36</v>
      </c>
      <c r="D5257" t="str">
        <f>VLOOKUP(B5257,Заказы!A:C,3,0)</f>
        <v>2023-11-07 19:52:00</v>
      </c>
      <c r="E5257" t="str">
        <f>VLOOKUP(C5257,Меню!A:E,4,0)</f>
        <v>Десерт</v>
      </c>
      <c r="F5257">
        <f>VLOOKUP(C5257,Меню!A:E,5,0)</f>
        <v>150</v>
      </c>
    </row>
    <row r="5258" spans="1:6" ht="15.75" hidden="1" customHeight="1" x14ac:dyDescent="0.35">
      <c r="A5258" s="1">
        <v>5257</v>
      </c>
      <c r="B5258" s="1">
        <v>1024</v>
      </c>
      <c r="C5258" s="1">
        <v>5</v>
      </c>
      <c r="D5258" t="str">
        <f>VLOOKUP(B5258,Заказы!A:C,3,0)</f>
        <v>2023-11-07 19:52:00</v>
      </c>
      <c r="E5258" t="str">
        <f>VLOOKUP(C5258,Меню!A:E,4,0)</f>
        <v>Завтрак</v>
      </c>
      <c r="F5258">
        <f>VLOOKUP(C5258,Меню!A:E,5,0)</f>
        <v>220</v>
      </c>
    </row>
    <row r="5259" spans="1:6" ht="15.75" hidden="1" customHeight="1" x14ac:dyDescent="0.35">
      <c r="A5259" s="1">
        <v>5258</v>
      </c>
      <c r="B5259" s="1">
        <v>1024</v>
      </c>
      <c r="C5259" s="1">
        <v>10</v>
      </c>
      <c r="D5259" t="str">
        <f>VLOOKUP(B5259,Заказы!A:C,3,0)</f>
        <v>2023-11-07 19:52:00</v>
      </c>
      <c r="E5259" t="str">
        <f>VLOOKUP(C5259,Меню!A:E,4,0)</f>
        <v>Завтрак</v>
      </c>
      <c r="F5259">
        <f>VLOOKUP(C5259,Меню!A:E,5,0)</f>
        <v>200</v>
      </c>
    </row>
    <row r="5260" spans="1:6" ht="15.75" hidden="1" customHeight="1" x14ac:dyDescent="0.35">
      <c r="A5260" s="1">
        <v>5259</v>
      </c>
      <c r="B5260" s="1">
        <v>1024</v>
      </c>
      <c r="C5260" s="1">
        <v>17</v>
      </c>
      <c r="D5260" t="str">
        <f>VLOOKUP(B5260,Заказы!A:C,3,0)</f>
        <v>2023-11-07 19:52:00</v>
      </c>
      <c r="E5260" t="str">
        <f>VLOOKUP(C5260,Меню!A:E,4,0)</f>
        <v>Первое</v>
      </c>
      <c r="F5260">
        <f>VLOOKUP(C5260,Меню!A:E,5,0)</f>
        <v>250</v>
      </c>
    </row>
    <row r="5261" spans="1:6" ht="15.75" hidden="1" customHeight="1" x14ac:dyDescent="0.35">
      <c r="A5261" s="1">
        <v>5260</v>
      </c>
      <c r="B5261" s="1">
        <v>1024</v>
      </c>
      <c r="C5261" s="1">
        <v>9</v>
      </c>
      <c r="D5261" t="str">
        <f>VLOOKUP(B5261,Заказы!A:C,3,0)</f>
        <v>2023-11-07 19:52:00</v>
      </c>
      <c r="E5261" t="str">
        <f>VLOOKUP(C5261,Меню!A:E,4,0)</f>
        <v>Завтрак</v>
      </c>
      <c r="F5261">
        <f>VLOOKUP(C5261,Меню!A:E,5,0)</f>
        <v>220</v>
      </c>
    </row>
    <row r="5262" spans="1:6" ht="15.75" hidden="1" customHeight="1" x14ac:dyDescent="0.35">
      <c r="A5262" s="1">
        <v>5261</v>
      </c>
      <c r="B5262" s="1">
        <v>1025</v>
      </c>
      <c r="C5262" s="1">
        <v>35</v>
      </c>
      <c r="D5262" t="str">
        <f>VLOOKUP(B5262,Заказы!A:C,3,0)</f>
        <v>2023-11-08 17:26:00</v>
      </c>
      <c r="E5262" t="str">
        <f>VLOOKUP(C5262,Меню!A:E,4,0)</f>
        <v>Десерт</v>
      </c>
      <c r="F5262">
        <f>VLOOKUP(C5262,Меню!A:E,5,0)</f>
        <v>150</v>
      </c>
    </row>
    <row r="5263" spans="1:6" ht="15.75" hidden="1" customHeight="1" x14ac:dyDescent="0.35">
      <c r="A5263" s="1">
        <v>5262</v>
      </c>
      <c r="B5263" s="1">
        <v>1026</v>
      </c>
      <c r="C5263" s="1">
        <v>32</v>
      </c>
      <c r="D5263" t="str">
        <f>VLOOKUP(B5263,Заказы!A:C,3,0)</f>
        <v>2023-11-08 18:42:00</v>
      </c>
      <c r="E5263" t="str">
        <f>VLOOKUP(C5263,Меню!A:E,4,0)</f>
        <v>Десерт</v>
      </c>
      <c r="F5263">
        <f>VLOOKUP(C5263,Меню!A:E,5,0)</f>
        <v>150</v>
      </c>
    </row>
    <row r="5264" spans="1:6" ht="15.75" hidden="1" customHeight="1" x14ac:dyDescent="0.35">
      <c r="A5264" s="1">
        <v>5263</v>
      </c>
      <c r="B5264" s="1">
        <v>1026</v>
      </c>
      <c r="C5264" s="1">
        <v>36</v>
      </c>
      <c r="D5264" t="str">
        <f>VLOOKUP(B5264,Заказы!A:C,3,0)</f>
        <v>2023-11-08 18:42:00</v>
      </c>
      <c r="E5264" t="str">
        <f>VLOOKUP(C5264,Меню!A:E,4,0)</f>
        <v>Десерт</v>
      </c>
      <c r="F5264">
        <f>VLOOKUP(C5264,Меню!A:E,5,0)</f>
        <v>150</v>
      </c>
    </row>
    <row r="5265" spans="1:6" ht="15.75" hidden="1" customHeight="1" x14ac:dyDescent="0.35">
      <c r="A5265" s="1">
        <v>5264</v>
      </c>
      <c r="B5265" s="1">
        <v>1026</v>
      </c>
      <c r="C5265" s="1">
        <v>13</v>
      </c>
      <c r="D5265" t="str">
        <f>VLOOKUP(B5265,Заказы!A:C,3,0)</f>
        <v>2023-11-08 18:42:00</v>
      </c>
      <c r="E5265" t="str">
        <f>VLOOKUP(C5265,Меню!A:E,4,0)</f>
        <v>Первое</v>
      </c>
      <c r="F5265">
        <f>VLOOKUP(C5265,Меню!A:E,5,0)</f>
        <v>280</v>
      </c>
    </row>
    <row r="5266" spans="1:6" ht="15.75" hidden="1" customHeight="1" x14ac:dyDescent="0.35">
      <c r="A5266" s="1">
        <v>5265</v>
      </c>
      <c r="B5266" s="1">
        <v>1026</v>
      </c>
      <c r="C5266" s="1">
        <v>50</v>
      </c>
      <c r="D5266" t="str">
        <f>VLOOKUP(B5266,Заказы!A:C,3,0)</f>
        <v>2023-11-08 18:42:00</v>
      </c>
      <c r="E5266" t="str">
        <f>VLOOKUP(C5266,Меню!A:E,4,0)</f>
        <v>Суши</v>
      </c>
      <c r="F5266">
        <f>VLOOKUP(C5266,Меню!A:E,5,0)</f>
        <v>200</v>
      </c>
    </row>
    <row r="5267" spans="1:6" ht="15.75" hidden="1" customHeight="1" x14ac:dyDescent="0.35">
      <c r="A5267" s="1">
        <v>5266</v>
      </c>
      <c r="B5267" s="1">
        <v>1027</v>
      </c>
      <c r="C5267" s="1">
        <v>56</v>
      </c>
      <c r="D5267" t="str">
        <f>VLOOKUP(B5267,Заказы!A:C,3,0)</f>
        <v>2023-11-08 19:16:00</v>
      </c>
      <c r="E5267" t="str">
        <f>VLOOKUP(C5267,Меню!A:E,4,0)</f>
        <v>Суши</v>
      </c>
      <c r="F5267">
        <f>VLOOKUP(C5267,Меню!A:E,5,0)</f>
        <v>200</v>
      </c>
    </row>
    <row r="5268" spans="1:6" ht="15.75" hidden="1" customHeight="1" x14ac:dyDescent="0.35">
      <c r="A5268" s="1">
        <v>5267</v>
      </c>
      <c r="B5268" s="1">
        <v>1027</v>
      </c>
      <c r="C5268" s="1">
        <v>48</v>
      </c>
      <c r="D5268" t="str">
        <f>VLOOKUP(B5268,Заказы!A:C,3,0)</f>
        <v>2023-11-08 19:16:00</v>
      </c>
      <c r="E5268" t="str">
        <f>VLOOKUP(C5268,Меню!A:E,4,0)</f>
        <v>Суши</v>
      </c>
      <c r="F5268">
        <f>VLOOKUP(C5268,Меню!A:E,5,0)</f>
        <v>200</v>
      </c>
    </row>
    <row r="5269" spans="1:6" ht="15.75" hidden="1" customHeight="1" x14ac:dyDescent="0.35">
      <c r="A5269" s="1">
        <v>5268</v>
      </c>
      <c r="B5269" s="1">
        <v>1027</v>
      </c>
      <c r="C5269" s="1">
        <v>32</v>
      </c>
      <c r="D5269" t="str">
        <f>VLOOKUP(B5269,Заказы!A:C,3,0)</f>
        <v>2023-11-08 19:16:00</v>
      </c>
      <c r="E5269" t="str">
        <f>VLOOKUP(C5269,Меню!A:E,4,0)</f>
        <v>Десерт</v>
      </c>
      <c r="F5269">
        <f>VLOOKUP(C5269,Меню!A:E,5,0)</f>
        <v>150</v>
      </c>
    </row>
    <row r="5270" spans="1:6" ht="15.75" hidden="1" customHeight="1" x14ac:dyDescent="0.35">
      <c r="A5270" s="1">
        <v>5269</v>
      </c>
      <c r="B5270" s="1">
        <v>1027</v>
      </c>
      <c r="C5270" s="1">
        <v>55</v>
      </c>
      <c r="D5270" t="str">
        <f>VLOOKUP(B5270,Заказы!A:C,3,0)</f>
        <v>2023-11-08 19:16:00</v>
      </c>
      <c r="E5270" t="str">
        <f>VLOOKUP(C5270,Меню!A:E,4,0)</f>
        <v>Суши</v>
      </c>
      <c r="F5270">
        <f>VLOOKUP(C5270,Меню!A:E,5,0)</f>
        <v>100</v>
      </c>
    </row>
    <row r="5271" spans="1:6" ht="15.75" hidden="1" customHeight="1" x14ac:dyDescent="0.35">
      <c r="A5271" s="1">
        <v>5270</v>
      </c>
      <c r="B5271" s="1">
        <v>1027</v>
      </c>
      <c r="C5271" s="1">
        <v>31</v>
      </c>
      <c r="D5271" t="str">
        <f>VLOOKUP(B5271,Заказы!A:C,3,0)</f>
        <v>2023-11-08 19:16:00</v>
      </c>
      <c r="E5271" t="str">
        <f>VLOOKUP(C5271,Меню!A:E,4,0)</f>
        <v>Десерт</v>
      </c>
      <c r="F5271">
        <f>VLOOKUP(C5271,Меню!A:E,5,0)</f>
        <v>150</v>
      </c>
    </row>
    <row r="5272" spans="1:6" ht="15.75" hidden="1" customHeight="1" x14ac:dyDescent="0.35">
      <c r="A5272" s="1">
        <v>5271</v>
      </c>
      <c r="B5272" s="1">
        <v>1028</v>
      </c>
      <c r="C5272" s="1">
        <v>52</v>
      </c>
      <c r="D5272" t="str">
        <f>VLOOKUP(B5272,Заказы!A:C,3,0)</f>
        <v>2023-11-08 19:49:00</v>
      </c>
      <c r="E5272" t="str">
        <f>VLOOKUP(C5272,Меню!A:E,4,0)</f>
        <v>Суши</v>
      </c>
      <c r="F5272">
        <f>VLOOKUP(C5272,Меню!A:E,5,0)</f>
        <v>100</v>
      </c>
    </row>
    <row r="5273" spans="1:6" ht="15.75" hidden="1" customHeight="1" x14ac:dyDescent="0.35">
      <c r="A5273" s="1">
        <v>5272</v>
      </c>
      <c r="B5273" s="1">
        <v>1028</v>
      </c>
      <c r="C5273" s="1">
        <v>32</v>
      </c>
      <c r="D5273" t="str">
        <f>VLOOKUP(B5273,Заказы!A:C,3,0)</f>
        <v>2023-11-08 19:49:00</v>
      </c>
      <c r="E5273" t="str">
        <f>VLOOKUP(C5273,Меню!A:E,4,0)</f>
        <v>Десерт</v>
      </c>
      <c r="F5273">
        <f>VLOOKUP(C5273,Меню!A:E,5,0)</f>
        <v>150</v>
      </c>
    </row>
    <row r="5274" spans="1:6" ht="15.75" hidden="1" customHeight="1" x14ac:dyDescent="0.35">
      <c r="A5274" s="1">
        <v>5273</v>
      </c>
      <c r="B5274" s="1">
        <v>1028</v>
      </c>
      <c r="C5274" s="1">
        <v>45</v>
      </c>
      <c r="D5274" t="str">
        <f>VLOOKUP(B5274,Заказы!A:C,3,0)</f>
        <v>2023-11-08 19:49:00</v>
      </c>
      <c r="E5274" t="str">
        <f>VLOOKUP(C5274,Меню!A:E,4,0)</f>
        <v>Суши</v>
      </c>
      <c r="F5274">
        <f>VLOOKUP(C5274,Меню!A:E,5,0)</f>
        <v>200</v>
      </c>
    </row>
    <row r="5275" spans="1:6" ht="15.75" hidden="1" customHeight="1" x14ac:dyDescent="0.35">
      <c r="A5275" s="1">
        <v>5274</v>
      </c>
      <c r="B5275" s="1">
        <v>1028</v>
      </c>
      <c r="C5275" s="1">
        <v>15</v>
      </c>
      <c r="D5275" t="str">
        <f>VLOOKUP(B5275,Заказы!A:C,3,0)</f>
        <v>2023-11-08 19:49:00</v>
      </c>
      <c r="E5275" t="str">
        <f>VLOOKUP(C5275,Меню!A:E,4,0)</f>
        <v>Первое</v>
      </c>
      <c r="F5275">
        <f>VLOOKUP(C5275,Меню!A:E,5,0)</f>
        <v>250</v>
      </c>
    </row>
    <row r="5276" spans="1:6" ht="15.75" hidden="1" customHeight="1" x14ac:dyDescent="0.35">
      <c r="A5276" s="1">
        <v>5275</v>
      </c>
      <c r="B5276" s="1">
        <v>1028</v>
      </c>
      <c r="C5276" s="1">
        <v>3</v>
      </c>
      <c r="D5276" t="str">
        <f>VLOOKUP(B5276,Заказы!A:C,3,0)</f>
        <v>2023-11-08 19:49:00</v>
      </c>
      <c r="E5276" t="str">
        <f>VLOOKUP(C5276,Меню!A:E,4,0)</f>
        <v>Завтрак</v>
      </c>
      <c r="F5276">
        <f>VLOOKUP(C5276,Меню!A:E,5,0)</f>
        <v>150</v>
      </c>
    </row>
    <row r="5277" spans="1:6" ht="15.75" hidden="1" customHeight="1" x14ac:dyDescent="0.35">
      <c r="A5277" s="1">
        <v>5276</v>
      </c>
      <c r="B5277" s="1">
        <v>1029</v>
      </c>
      <c r="C5277" s="1">
        <v>49</v>
      </c>
      <c r="D5277" t="str">
        <f>VLOOKUP(B5277,Заказы!A:C,3,0)</f>
        <v>2023-11-09 16:03:00</v>
      </c>
      <c r="E5277" t="str">
        <f>VLOOKUP(C5277,Меню!A:E,4,0)</f>
        <v>Суши</v>
      </c>
      <c r="F5277">
        <f>VLOOKUP(C5277,Меню!A:E,5,0)</f>
        <v>200</v>
      </c>
    </row>
    <row r="5278" spans="1:6" ht="15.75" hidden="1" customHeight="1" x14ac:dyDescent="0.35">
      <c r="A5278" s="1">
        <v>5277</v>
      </c>
      <c r="B5278" s="1">
        <v>1029</v>
      </c>
      <c r="C5278" s="1">
        <v>21</v>
      </c>
      <c r="D5278" t="str">
        <f>VLOOKUP(B5278,Заказы!A:C,3,0)</f>
        <v>2023-11-09 16:03:00</v>
      </c>
      <c r="E5278" t="str">
        <f>VLOOKUP(C5278,Меню!A:E,4,0)</f>
        <v>Салат</v>
      </c>
      <c r="F5278">
        <f>VLOOKUP(C5278,Меню!A:E,5,0)</f>
        <v>250</v>
      </c>
    </row>
    <row r="5279" spans="1:6" ht="15.75" hidden="1" customHeight="1" x14ac:dyDescent="0.35">
      <c r="A5279" s="1">
        <v>5278</v>
      </c>
      <c r="B5279" s="1">
        <v>1029</v>
      </c>
      <c r="C5279" s="1">
        <v>3</v>
      </c>
      <c r="D5279" t="str">
        <f>VLOOKUP(B5279,Заказы!A:C,3,0)</f>
        <v>2023-11-09 16:03:00</v>
      </c>
      <c r="E5279" t="str">
        <f>VLOOKUP(C5279,Меню!A:E,4,0)</f>
        <v>Завтрак</v>
      </c>
      <c r="F5279">
        <f>VLOOKUP(C5279,Меню!A:E,5,0)</f>
        <v>150</v>
      </c>
    </row>
    <row r="5280" spans="1:6" ht="15.75" hidden="1" customHeight="1" x14ac:dyDescent="0.35">
      <c r="A5280" s="1">
        <v>5279</v>
      </c>
      <c r="B5280" s="1">
        <v>1029</v>
      </c>
      <c r="C5280" s="1">
        <v>6</v>
      </c>
      <c r="D5280" t="str">
        <f>VLOOKUP(B5280,Заказы!A:C,3,0)</f>
        <v>2023-11-09 16:03:00</v>
      </c>
      <c r="E5280" t="str">
        <f>VLOOKUP(C5280,Меню!A:E,4,0)</f>
        <v>Завтрак</v>
      </c>
      <c r="F5280">
        <f>VLOOKUP(C5280,Меню!A:E,5,0)</f>
        <v>300</v>
      </c>
    </row>
    <row r="5281" spans="1:6" ht="15.75" hidden="1" customHeight="1" x14ac:dyDescent="0.35">
      <c r="A5281" s="1">
        <v>5280</v>
      </c>
      <c r="B5281" s="1">
        <v>1030</v>
      </c>
      <c r="C5281" s="1">
        <v>58</v>
      </c>
      <c r="D5281" t="str">
        <f>VLOOKUP(B5281,Заказы!A:C,3,0)</f>
        <v>2023-11-09 20:48:00</v>
      </c>
      <c r="E5281" t="str">
        <f>VLOOKUP(C5281,Меню!A:E,4,0)</f>
        <v>Суши</v>
      </c>
      <c r="F5281">
        <f>VLOOKUP(C5281,Меню!A:E,5,0)</f>
        <v>200</v>
      </c>
    </row>
    <row r="5282" spans="1:6" ht="15.75" hidden="1" customHeight="1" x14ac:dyDescent="0.35">
      <c r="A5282" s="1">
        <v>5281</v>
      </c>
      <c r="B5282" s="1">
        <v>1030</v>
      </c>
      <c r="C5282" s="1">
        <v>47</v>
      </c>
      <c r="D5282" t="str">
        <f>VLOOKUP(B5282,Заказы!A:C,3,0)</f>
        <v>2023-11-09 20:48:00</v>
      </c>
      <c r="E5282" t="str">
        <f>VLOOKUP(C5282,Меню!A:E,4,0)</f>
        <v>Суши</v>
      </c>
      <c r="F5282">
        <f>VLOOKUP(C5282,Меню!A:E,5,0)</f>
        <v>200</v>
      </c>
    </row>
    <row r="5283" spans="1:6" ht="15.75" hidden="1" customHeight="1" x14ac:dyDescent="0.35">
      <c r="A5283" s="1">
        <v>5282</v>
      </c>
      <c r="B5283" s="1">
        <v>1031</v>
      </c>
      <c r="C5283" s="1">
        <v>7</v>
      </c>
      <c r="D5283" t="str">
        <f>VLOOKUP(B5283,Заказы!A:C,3,0)</f>
        <v>2023-11-09 21:37:00</v>
      </c>
      <c r="E5283" t="str">
        <f>VLOOKUP(C5283,Меню!A:E,4,0)</f>
        <v>Завтрак</v>
      </c>
      <c r="F5283">
        <f>VLOOKUP(C5283,Меню!A:E,5,0)</f>
        <v>200</v>
      </c>
    </row>
    <row r="5284" spans="1:6" ht="15.75" hidden="1" customHeight="1" x14ac:dyDescent="0.35">
      <c r="A5284" s="1">
        <v>5283</v>
      </c>
      <c r="B5284" s="1">
        <v>1031</v>
      </c>
      <c r="C5284" s="1">
        <v>22</v>
      </c>
      <c r="D5284" t="str">
        <f>VLOOKUP(B5284,Заказы!A:C,3,0)</f>
        <v>2023-11-09 21:37:00</v>
      </c>
      <c r="E5284" t="str">
        <f>VLOOKUP(C5284,Меню!A:E,4,0)</f>
        <v>Салат</v>
      </c>
      <c r="F5284">
        <f>VLOOKUP(C5284,Меню!A:E,5,0)</f>
        <v>250</v>
      </c>
    </row>
    <row r="5285" spans="1:6" ht="15.75" hidden="1" customHeight="1" x14ac:dyDescent="0.35">
      <c r="A5285" s="1">
        <v>5284</v>
      </c>
      <c r="B5285" s="1">
        <v>1031</v>
      </c>
      <c r="C5285" s="1">
        <v>3</v>
      </c>
      <c r="D5285" t="str">
        <f>VLOOKUP(B5285,Заказы!A:C,3,0)</f>
        <v>2023-11-09 21:37:00</v>
      </c>
      <c r="E5285" t="str">
        <f>VLOOKUP(C5285,Меню!A:E,4,0)</f>
        <v>Завтрак</v>
      </c>
      <c r="F5285">
        <f>VLOOKUP(C5285,Меню!A:E,5,0)</f>
        <v>150</v>
      </c>
    </row>
    <row r="5286" spans="1:6" ht="15.75" hidden="1" customHeight="1" x14ac:dyDescent="0.35">
      <c r="A5286" s="1">
        <v>5285</v>
      </c>
      <c r="B5286" s="1">
        <v>1031</v>
      </c>
      <c r="C5286" s="1">
        <v>15</v>
      </c>
      <c r="D5286" t="str">
        <f>VLOOKUP(B5286,Заказы!A:C,3,0)</f>
        <v>2023-11-09 21:37:00</v>
      </c>
      <c r="E5286" t="str">
        <f>VLOOKUP(C5286,Меню!A:E,4,0)</f>
        <v>Первое</v>
      </c>
      <c r="F5286">
        <f>VLOOKUP(C5286,Меню!A:E,5,0)</f>
        <v>250</v>
      </c>
    </row>
    <row r="5287" spans="1:6" ht="15.75" hidden="1" customHeight="1" x14ac:dyDescent="0.35">
      <c r="A5287" s="1">
        <v>5286</v>
      </c>
      <c r="B5287" s="1">
        <v>1032</v>
      </c>
      <c r="C5287" s="1">
        <v>12</v>
      </c>
      <c r="D5287" t="str">
        <f>VLOOKUP(B5287,Заказы!A:C,3,0)</f>
        <v>2023-11-09 21:52:00</v>
      </c>
      <c r="E5287" t="str">
        <f>VLOOKUP(C5287,Меню!A:E,4,0)</f>
        <v>Первое</v>
      </c>
      <c r="F5287">
        <f>VLOOKUP(C5287,Меню!A:E,5,0)</f>
        <v>300</v>
      </c>
    </row>
    <row r="5288" spans="1:6" ht="15.75" hidden="1" customHeight="1" x14ac:dyDescent="0.35">
      <c r="A5288" s="1">
        <v>5287</v>
      </c>
      <c r="B5288" s="1">
        <v>1032</v>
      </c>
      <c r="C5288" s="1">
        <v>2</v>
      </c>
      <c r="D5288" t="str">
        <f>VLOOKUP(B5288,Заказы!A:C,3,0)</f>
        <v>2023-11-09 21:52:00</v>
      </c>
      <c r="E5288" t="str">
        <f>VLOOKUP(C5288,Меню!A:E,4,0)</f>
        <v>Завтрак</v>
      </c>
      <c r="F5288">
        <f>VLOOKUP(C5288,Меню!A:E,5,0)</f>
        <v>250</v>
      </c>
    </row>
    <row r="5289" spans="1:6" ht="15.75" hidden="1" customHeight="1" x14ac:dyDescent="0.35">
      <c r="A5289" s="1">
        <v>5288</v>
      </c>
      <c r="B5289" s="1">
        <v>1033</v>
      </c>
      <c r="C5289" s="1">
        <v>31</v>
      </c>
      <c r="D5289" t="str">
        <f>VLOOKUP(B5289,Заказы!A:C,3,0)</f>
        <v>2023-11-10 20:15:00</v>
      </c>
      <c r="E5289" t="str">
        <f>VLOOKUP(C5289,Меню!A:E,4,0)</f>
        <v>Десерт</v>
      </c>
      <c r="F5289">
        <f>VLOOKUP(C5289,Меню!A:E,5,0)</f>
        <v>150</v>
      </c>
    </row>
    <row r="5290" spans="1:6" ht="15.75" hidden="1" customHeight="1" x14ac:dyDescent="0.35">
      <c r="A5290" s="1">
        <v>5289</v>
      </c>
      <c r="B5290" s="1">
        <v>1033</v>
      </c>
      <c r="C5290" s="1">
        <v>48</v>
      </c>
      <c r="D5290" t="str">
        <f>VLOOKUP(B5290,Заказы!A:C,3,0)</f>
        <v>2023-11-10 20:15:00</v>
      </c>
      <c r="E5290" t="str">
        <f>VLOOKUP(C5290,Меню!A:E,4,0)</f>
        <v>Суши</v>
      </c>
      <c r="F5290">
        <f>VLOOKUP(C5290,Меню!A:E,5,0)</f>
        <v>200</v>
      </c>
    </row>
    <row r="5291" spans="1:6" ht="15.75" hidden="1" customHeight="1" x14ac:dyDescent="0.35">
      <c r="A5291" s="1">
        <v>5290</v>
      </c>
      <c r="B5291" s="1">
        <v>1033</v>
      </c>
      <c r="C5291" s="1">
        <v>41</v>
      </c>
      <c r="D5291" t="str">
        <f>VLOOKUP(B5291,Заказы!A:C,3,0)</f>
        <v>2023-11-10 20:15:00</v>
      </c>
      <c r="E5291" t="str">
        <f>VLOOKUP(C5291,Меню!A:E,4,0)</f>
        <v>Суши</v>
      </c>
      <c r="F5291">
        <f>VLOOKUP(C5291,Меню!A:E,5,0)</f>
        <v>220</v>
      </c>
    </row>
    <row r="5292" spans="1:6" ht="15.75" hidden="1" customHeight="1" x14ac:dyDescent="0.35">
      <c r="A5292" s="1">
        <v>5291</v>
      </c>
      <c r="B5292" s="1">
        <v>1034</v>
      </c>
      <c r="C5292" s="1">
        <v>60</v>
      </c>
      <c r="D5292" t="str">
        <f>VLOOKUP(B5292,Заказы!A:C,3,0)</f>
        <v>2023-11-10 22:26:00</v>
      </c>
      <c r="E5292" t="str">
        <f>VLOOKUP(C5292,Меню!A:E,4,0)</f>
        <v>Суши</v>
      </c>
      <c r="F5292">
        <f>VLOOKUP(C5292,Меню!A:E,5,0)</f>
        <v>250</v>
      </c>
    </row>
    <row r="5293" spans="1:6" ht="15.75" hidden="1" customHeight="1" x14ac:dyDescent="0.35">
      <c r="A5293" s="1">
        <v>5292</v>
      </c>
      <c r="B5293" s="1">
        <v>1035</v>
      </c>
      <c r="C5293" s="1">
        <v>41</v>
      </c>
      <c r="D5293" t="str">
        <f>VLOOKUP(B5293,Заказы!A:C,3,0)</f>
        <v>2023-11-10 22:47:00</v>
      </c>
      <c r="E5293" t="str">
        <f>VLOOKUP(C5293,Меню!A:E,4,0)</f>
        <v>Суши</v>
      </c>
      <c r="F5293">
        <f>VLOOKUP(C5293,Меню!A:E,5,0)</f>
        <v>220</v>
      </c>
    </row>
    <row r="5294" spans="1:6" ht="15.75" hidden="1" customHeight="1" x14ac:dyDescent="0.35">
      <c r="A5294" s="1">
        <v>5293</v>
      </c>
      <c r="B5294" s="1">
        <v>1035</v>
      </c>
      <c r="C5294" s="1">
        <v>3</v>
      </c>
      <c r="D5294" t="str">
        <f>VLOOKUP(B5294,Заказы!A:C,3,0)</f>
        <v>2023-11-10 22:47:00</v>
      </c>
      <c r="E5294" t="str">
        <f>VLOOKUP(C5294,Меню!A:E,4,0)</f>
        <v>Завтрак</v>
      </c>
      <c r="F5294">
        <f>VLOOKUP(C5294,Меню!A:E,5,0)</f>
        <v>150</v>
      </c>
    </row>
    <row r="5295" spans="1:6" ht="15.75" hidden="1" customHeight="1" x14ac:dyDescent="0.35">
      <c r="A5295" s="1">
        <v>5294</v>
      </c>
      <c r="B5295" s="1">
        <v>1035</v>
      </c>
      <c r="C5295" s="1">
        <v>48</v>
      </c>
      <c r="D5295" t="str">
        <f>VLOOKUP(B5295,Заказы!A:C,3,0)</f>
        <v>2023-11-10 22:47:00</v>
      </c>
      <c r="E5295" t="str">
        <f>VLOOKUP(C5295,Меню!A:E,4,0)</f>
        <v>Суши</v>
      </c>
      <c r="F5295">
        <f>VLOOKUP(C5295,Меню!A:E,5,0)</f>
        <v>200</v>
      </c>
    </row>
    <row r="5296" spans="1:6" ht="15.75" hidden="1" customHeight="1" x14ac:dyDescent="0.35">
      <c r="A5296" s="1">
        <v>5295</v>
      </c>
      <c r="B5296" s="1">
        <v>1035</v>
      </c>
      <c r="C5296" s="1">
        <v>18</v>
      </c>
      <c r="D5296" t="str">
        <f>VLOOKUP(B5296,Заказы!A:C,3,0)</f>
        <v>2023-11-10 22:47:00</v>
      </c>
      <c r="E5296" t="str">
        <f>VLOOKUP(C5296,Меню!A:E,4,0)</f>
        <v>Первое</v>
      </c>
      <c r="F5296">
        <f>VLOOKUP(C5296,Меню!A:E,5,0)</f>
        <v>300</v>
      </c>
    </row>
    <row r="5297" spans="1:6" ht="15.75" hidden="1" customHeight="1" x14ac:dyDescent="0.35">
      <c r="A5297" s="1">
        <v>5296</v>
      </c>
      <c r="B5297" s="1">
        <v>1036</v>
      </c>
      <c r="C5297" s="1">
        <v>11</v>
      </c>
      <c r="D5297" t="str">
        <f>VLOOKUP(B5297,Заказы!A:C,3,0)</f>
        <v>2023-11-11 16:18:00</v>
      </c>
      <c r="E5297" t="str">
        <f>VLOOKUP(C5297,Меню!A:E,4,0)</f>
        <v>Первое</v>
      </c>
      <c r="F5297">
        <f>VLOOKUP(C5297,Меню!A:E,5,0)</f>
        <v>300</v>
      </c>
    </row>
    <row r="5298" spans="1:6" ht="15.75" hidden="1" customHeight="1" x14ac:dyDescent="0.35">
      <c r="A5298" s="1">
        <v>5297</v>
      </c>
      <c r="B5298" s="1">
        <v>1036</v>
      </c>
      <c r="C5298" s="1">
        <v>39</v>
      </c>
      <c r="D5298" t="str">
        <f>VLOOKUP(B5298,Заказы!A:C,3,0)</f>
        <v>2023-11-11 16:18:00</v>
      </c>
      <c r="E5298" t="str">
        <f>VLOOKUP(C5298,Меню!A:E,4,0)</f>
        <v>Десерт</v>
      </c>
      <c r="F5298">
        <f>VLOOKUP(C5298,Меню!A:E,5,0)</f>
        <v>150</v>
      </c>
    </row>
    <row r="5299" spans="1:6" ht="15.75" hidden="1" customHeight="1" x14ac:dyDescent="0.35">
      <c r="A5299" s="1">
        <v>5298</v>
      </c>
      <c r="B5299" s="1">
        <v>1036</v>
      </c>
      <c r="C5299" s="1">
        <v>17</v>
      </c>
      <c r="D5299" t="str">
        <f>VLOOKUP(B5299,Заказы!A:C,3,0)</f>
        <v>2023-11-11 16:18:00</v>
      </c>
      <c r="E5299" t="str">
        <f>VLOOKUP(C5299,Меню!A:E,4,0)</f>
        <v>Первое</v>
      </c>
      <c r="F5299">
        <f>VLOOKUP(C5299,Меню!A:E,5,0)</f>
        <v>250</v>
      </c>
    </row>
    <row r="5300" spans="1:6" ht="15.75" hidden="1" customHeight="1" x14ac:dyDescent="0.35">
      <c r="A5300" s="1">
        <v>5299</v>
      </c>
      <c r="B5300" s="1">
        <v>1036</v>
      </c>
      <c r="C5300" s="1">
        <v>39</v>
      </c>
      <c r="D5300" t="str">
        <f>VLOOKUP(B5300,Заказы!A:C,3,0)</f>
        <v>2023-11-11 16:18:00</v>
      </c>
      <c r="E5300" t="str">
        <f>VLOOKUP(C5300,Меню!A:E,4,0)</f>
        <v>Десерт</v>
      </c>
      <c r="F5300">
        <f>VLOOKUP(C5300,Меню!A:E,5,0)</f>
        <v>150</v>
      </c>
    </row>
    <row r="5301" spans="1:6" ht="15.75" hidden="1" customHeight="1" x14ac:dyDescent="0.35">
      <c r="A5301" s="1">
        <v>5300</v>
      </c>
      <c r="B5301" s="1">
        <v>1036</v>
      </c>
      <c r="C5301" s="1">
        <v>52</v>
      </c>
      <c r="D5301" t="str">
        <f>VLOOKUP(B5301,Заказы!A:C,3,0)</f>
        <v>2023-11-11 16:18:00</v>
      </c>
      <c r="E5301" t="str">
        <f>VLOOKUP(C5301,Меню!A:E,4,0)</f>
        <v>Суши</v>
      </c>
      <c r="F5301">
        <f>VLOOKUP(C5301,Меню!A:E,5,0)</f>
        <v>100</v>
      </c>
    </row>
    <row r="5302" spans="1:6" ht="15.75" hidden="1" customHeight="1" x14ac:dyDescent="0.35">
      <c r="A5302" s="1">
        <v>5301</v>
      </c>
      <c r="B5302" s="1">
        <v>1037</v>
      </c>
      <c r="C5302" s="1">
        <v>44</v>
      </c>
      <c r="D5302" t="str">
        <f>VLOOKUP(B5302,Заказы!A:C,3,0)</f>
        <v>2023-11-11 17:36:00</v>
      </c>
      <c r="E5302" t="str">
        <f>VLOOKUP(C5302,Меню!A:E,4,0)</f>
        <v>Суши</v>
      </c>
      <c r="F5302">
        <f>VLOOKUP(C5302,Меню!A:E,5,0)</f>
        <v>250</v>
      </c>
    </row>
    <row r="5303" spans="1:6" ht="15.75" hidden="1" customHeight="1" x14ac:dyDescent="0.35">
      <c r="A5303" s="1">
        <v>5302</v>
      </c>
      <c r="B5303" s="1">
        <v>1037</v>
      </c>
      <c r="C5303" s="1">
        <v>19</v>
      </c>
      <c r="D5303" t="str">
        <f>VLOOKUP(B5303,Заказы!A:C,3,0)</f>
        <v>2023-11-11 17:36:00</v>
      </c>
      <c r="E5303" t="str">
        <f>VLOOKUP(C5303,Меню!A:E,4,0)</f>
        <v>Первое</v>
      </c>
      <c r="F5303">
        <f>VLOOKUP(C5303,Меню!A:E,5,0)</f>
        <v>300</v>
      </c>
    </row>
    <row r="5304" spans="1:6" ht="15.75" hidden="1" customHeight="1" x14ac:dyDescent="0.35">
      <c r="A5304" s="1">
        <v>5303</v>
      </c>
      <c r="B5304" s="1">
        <v>1037</v>
      </c>
      <c r="C5304" s="1">
        <v>48</v>
      </c>
      <c r="D5304" t="str">
        <f>VLOOKUP(B5304,Заказы!A:C,3,0)</f>
        <v>2023-11-11 17:36:00</v>
      </c>
      <c r="E5304" t="str">
        <f>VLOOKUP(C5304,Меню!A:E,4,0)</f>
        <v>Суши</v>
      </c>
      <c r="F5304">
        <f>VLOOKUP(C5304,Меню!A:E,5,0)</f>
        <v>200</v>
      </c>
    </row>
    <row r="5305" spans="1:6" ht="15.75" hidden="1" customHeight="1" x14ac:dyDescent="0.35">
      <c r="A5305" s="1">
        <v>5304</v>
      </c>
      <c r="B5305" s="1">
        <v>1037</v>
      </c>
      <c r="C5305" s="1">
        <v>36</v>
      </c>
      <c r="D5305" t="str">
        <f>VLOOKUP(B5305,Заказы!A:C,3,0)</f>
        <v>2023-11-11 17:36:00</v>
      </c>
      <c r="E5305" t="str">
        <f>VLOOKUP(C5305,Меню!A:E,4,0)</f>
        <v>Десерт</v>
      </c>
      <c r="F5305">
        <f>VLOOKUP(C5305,Меню!A:E,5,0)</f>
        <v>150</v>
      </c>
    </row>
    <row r="5306" spans="1:6" ht="15.75" hidden="1" customHeight="1" x14ac:dyDescent="0.35">
      <c r="A5306" s="1">
        <v>5305</v>
      </c>
      <c r="B5306" s="1">
        <v>1038</v>
      </c>
      <c r="C5306" s="1">
        <v>18</v>
      </c>
      <c r="D5306" t="str">
        <f>VLOOKUP(B5306,Заказы!A:C,3,0)</f>
        <v>2023-11-11 17:44:00</v>
      </c>
      <c r="E5306" t="str">
        <f>VLOOKUP(C5306,Меню!A:E,4,0)</f>
        <v>Первое</v>
      </c>
      <c r="F5306">
        <f>VLOOKUP(C5306,Меню!A:E,5,0)</f>
        <v>300</v>
      </c>
    </row>
    <row r="5307" spans="1:6" ht="15.75" hidden="1" customHeight="1" x14ac:dyDescent="0.35">
      <c r="A5307" s="1">
        <v>5306</v>
      </c>
      <c r="B5307" s="1">
        <v>1038</v>
      </c>
      <c r="C5307" s="1">
        <v>8</v>
      </c>
      <c r="D5307" t="str">
        <f>VLOOKUP(B5307,Заказы!A:C,3,0)</f>
        <v>2023-11-11 17:44:00</v>
      </c>
      <c r="E5307" t="str">
        <f>VLOOKUP(C5307,Меню!A:E,4,0)</f>
        <v>Завтрак</v>
      </c>
      <c r="F5307">
        <f>VLOOKUP(C5307,Меню!A:E,5,0)</f>
        <v>180</v>
      </c>
    </row>
    <row r="5308" spans="1:6" ht="15.75" hidden="1" customHeight="1" x14ac:dyDescent="0.35">
      <c r="A5308" s="1">
        <v>5307</v>
      </c>
      <c r="B5308" s="1">
        <v>1038</v>
      </c>
      <c r="C5308" s="1">
        <v>49</v>
      </c>
      <c r="D5308" t="str">
        <f>VLOOKUP(B5308,Заказы!A:C,3,0)</f>
        <v>2023-11-11 17:44:00</v>
      </c>
      <c r="E5308" t="str">
        <f>VLOOKUP(C5308,Меню!A:E,4,0)</f>
        <v>Суши</v>
      </c>
      <c r="F5308">
        <f>VLOOKUP(C5308,Меню!A:E,5,0)</f>
        <v>200</v>
      </c>
    </row>
    <row r="5309" spans="1:6" ht="15.75" hidden="1" customHeight="1" x14ac:dyDescent="0.35">
      <c r="A5309" s="1">
        <v>5308</v>
      </c>
      <c r="B5309" s="1">
        <v>1038</v>
      </c>
      <c r="C5309" s="1">
        <v>28</v>
      </c>
      <c r="D5309" t="str">
        <f>VLOOKUP(B5309,Заказы!A:C,3,0)</f>
        <v>2023-11-11 17:44:00</v>
      </c>
      <c r="E5309" t="str">
        <f>VLOOKUP(C5309,Меню!A:E,4,0)</f>
        <v>Салат</v>
      </c>
      <c r="F5309">
        <f>VLOOKUP(C5309,Меню!A:E,5,0)</f>
        <v>250</v>
      </c>
    </row>
    <row r="5310" spans="1:6" ht="15.75" hidden="1" customHeight="1" x14ac:dyDescent="0.35">
      <c r="A5310" s="1">
        <v>5309</v>
      </c>
      <c r="B5310" s="1">
        <v>1039</v>
      </c>
      <c r="C5310" s="1">
        <v>36</v>
      </c>
      <c r="D5310" t="str">
        <f>VLOOKUP(B5310,Заказы!A:C,3,0)</f>
        <v>2023-11-11 17:58:00</v>
      </c>
      <c r="E5310" t="str">
        <f>VLOOKUP(C5310,Меню!A:E,4,0)</f>
        <v>Десерт</v>
      </c>
      <c r="F5310">
        <f>VLOOKUP(C5310,Меню!A:E,5,0)</f>
        <v>150</v>
      </c>
    </row>
    <row r="5311" spans="1:6" ht="15.75" hidden="1" customHeight="1" x14ac:dyDescent="0.35">
      <c r="A5311" s="1">
        <v>5310</v>
      </c>
      <c r="B5311" s="1">
        <v>1039</v>
      </c>
      <c r="C5311" s="1">
        <v>9</v>
      </c>
      <c r="D5311" t="str">
        <f>VLOOKUP(B5311,Заказы!A:C,3,0)</f>
        <v>2023-11-11 17:58:00</v>
      </c>
      <c r="E5311" t="str">
        <f>VLOOKUP(C5311,Меню!A:E,4,0)</f>
        <v>Завтрак</v>
      </c>
      <c r="F5311">
        <f>VLOOKUP(C5311,Меню!A:E,5,0)</f>
        <v>220</v>
      </c>
    </row>
    <row r="5312" spans="1:6" ht="15.75" hidden="1" customHeight="1" x14ac:dyDescent="0.35">
      <c r="A5312" s="1">
        <v>5311</v>
      </c>
      <c r="B5312" s="1">
        <v>1039</v>
      </c>
      <c r="C5312" s="1">
        <v>19</v>
      </c>
      <c r="D5312" t="str">
        <f>VLOOKUP(B5312,Заказы!A:C,3,0)</f>
        <v>2023-11-11 17:58:00</v>
      </c>
      <c r="E5312" t="str">
        <f>VLOOKUP(C5312,Меню!A:E,4,0)</f>
        <v>Первое</v>
      </c>
      <c r="F5312">
        <f>VLOOKUP(C5312,Меню!A:E,5,0)</f>
        <v>300</v>
      </c>
    </row>
    <row r="5313" spans="1:6" ht="15.75" hidden="1" customHeight="1" x14ac:dyDescent="0.35">
      <c r="A5313" s="1">
        <v>5312</v>
      </c>
      <c r="B5313" s="1">
        <v>1040</v>
      </c>
      <c r="C5313" s="1">
        <v>49</v>
      </c>
      <c r="D5313" t="str">
        <f>VLOOKUP(B5313,Заказы!A:C,3,0)</f>
        <v>2023-11-11 18:17:00</v>
      </c>
      <c r="E5313" t="str">
        <f>VLOOKUP(C5313,Меню!A:E,4,0)</f>
        <v>Суши</v>
      </c>
      <c r="F5313">
        <f>VLOOKUP(C5313,Меню!A:E,5,0)</f>
        <v>200</v>
      </c>
    </row>
    <row r="5314" spans="1:6" ht="15.75" hidden="1" customHeight="1" x14ac:dyDescent="0.35">
      <c r="A5314" s="1">
        <v>5313</v>
      </c>
      <c r="B5314" s="1">
        <v>1040</v>
      </c>
      <c r="C5314" s="1">
        <v>48</v>
      </c>
      <c r="D5314" t="str">
        <f>VLOOKUP(B5314,Заказы!A:C,3,0)</f>
        <v>2023-11-11 18:17:00</v>
      </c>
      <c r="E5314" t="str">
        <f>VLOOKUP(C5314,Меню!A:E,4,0)</f>
        <v>Суши</v>
      </c>
      <c r="F5314">
        <f>VLOOKUP(C5314,Меню!A:E,5,0)</f>
        <v>200</v>
      </c>
    </row>
    <row r="5315" spans="1:6" ht="15.75" hidden="1" customHeight="1" x14ac:dyDescent="0.35">
      <c r="A5315" s="1">
        <v>5314</v>
      </c>
      <c r="B5315" s="1">
        <v>1040</v>
      </c>
      <c r="C5315" s="1">
        <v>16</v>
      </c>
      <c r="D5315" t="str">
        <f>VLOOKUP(B5315,Заказы!A:C,3,0)</f>
        <v>2023-11-11 18:17:00</v>
      </c>
      <c r="E5315" t="str">
        <f>VLOOKUP(C5315,Меню!A:E,4,0)</f>
        <v>Первое</v>
      </c>
      <c r="F5315">
        <f>VLOOKUP(C5315,Меню!A:E,5,0)</f>
        <v>250</v>
      </c>
    </row>
    <row r="5316" spans="1:6" ht="15.75" hidden="1" customHeight="1" x14ac:dyDescent="0.35">
      <c r="A5316" s="1">
        <v>5315</v>
      </c>
      <c r="B5316" s="1">
        <v>1040</v>
      </c>
      <c r="C5316" s="1">
        <v>40</v>
      </c>
      <c r="D5316" t="str">
        <f>VLOOKUP(B5316,Заказы!A:C,3,0)</f>
        <v>2023-11-11 18:17:00</v>
      </c>
      <c r="E5316" t="str">
        <f>VLOOKUP(C5316,Меню!A:E,4,0)</f>
        <v>Десерт</v>
      </c>
      <c r="F5316">
        <f>VLOOKUP(C5316,Меню!A:E,5,0)</f>
        <v>150</v>
      </c>
    </row>
    <row r="5317" spans="1:6" ht="15.75" hidden="1" customHeight="1" x14ac:dyDescent="0.35">
      <c r="A5317" s="1">
        <v>5316</v>
      </c>
      <c r="B5317" s="1">
        <v>1040</v>
      </c>
      <c r="C5317" s="1">
        <v>1</v>
      </c>
      <c r="D5317" t="str">
        <f>VLOOKUP(B5317,Заказы!A:C,3,0)</f>
        <v>2023-11-11 18:17:00</v>
      </c>
      <c r="E5317" t="str">
        <f>VLOOKUP(C5317,Меню!A:E,4,0)</f>
        <v>Завтрак</v>
      </c>
      <c r="F5317">
        <f>VLOOKUP(C5317,Меню!A:E,5,0)</f>
        <v>200</v>
      </c>
    </row>
    <row r="5318" spans="1:6" ht="15.75" hidden="1" customHeight="1" x14ac:dyDescent="0.35">
      <c r="A5318" s="1">
        <v>5317</v>
      </c>
      <c r="B5318" s="1">
        <v>1041</v>
      </c>
      <c r="C5318" s="1">
        <v>41</v>
      </c>
      <c r="D5318" t="str">
        <f>VLOOKUP(B5318,Заказы!A:C,3,0)</f>
        <v>2023-11-11 18:24:00</v>
      </c>
      <c r="E5318" t="str">
        <f>VLOOKUP(C5318,Меню!A:E,4,0)</f>
        <v>Суши</v>
      </c>
      <c r="F5318">
        <f>VLOOKUP(C5318,Меню!A:E,5,0)</f>
        <v>220</v>
      </c>
    </row>
    <row r="5319" spans="1:6" ht="15.75" hidden="1" customHeight="1" x14ac:dyDescent="0.35">
      <c r="A5319" s="1">
        <v>5318</v>
      </c>
      <c r="B5319" s="1">
        <v>1041</v>
      </c>
      <c r="C5319" s="1">
        <v>31</v>
      </c>
      <c r="D5319" t="str">
        <f>VLOOKUP(B5319,Заказы!A:C,3,0)</f>
        <v>2023-11-11 18:24:00</v>
      </c>
      <c r="E5319" t="str">
        <f>VLOOKUP(C5319,Меню!A:E,4,0)</f>
        <v>Десерт</v>
      </c>
      <c r="F5319">
        <f>VLOOKUP(C5319,Меню!A:E,5,0)</f>
        <v>150</v>
      </c>
    </row>
    <row r="5320" spans="1:6" ht="15.75" hidden="1" customHeight="1" x14ac:dyDescent="0.35">
      <c r="A5320" s="1">
        <v>5319</v>
      </c>
      <c r="B5320" s="1">
        <v>1041</v>
      </c>
      <c r="C5320" s="1">
        <v>41</v>
      </c>
      <c r="D5320" t="str">
        <f>VLOOKUP(B5320,Заказы!A:C,3,0)</f>
        <v>2023-11-11 18:24:00</v>
      </c>
      <c r="E5320" t="str">
        <f>VLOOKUP(C5320,Меню!A:E,4,0)</f>
        <v>Суши</v>
      </c>
      <c r="F5320">
        <f>VLOOKUP(C5320,Меню!A:E,5,0)</f>
        <v>220</v>
      </c>
    </row>
    <row r="5321" spans="1:6" ht="15.75" hidden="1" customHeight="1" x14ac:dyDescent="0.35">
      <c r="A5321" s="1">
        <v>5320</v>
      </c>
      <c r="B5321" s="1">
        <v>1041</v>
      </c>
      <c r="C5321" s="1">
        <v>54</v>
      </c>
      <c r="D5321" t="str">
        <f>VLOOKUP(B5321,Заказы!A:C,3,0)</f>
        <v>2023-11-11 18:24:00</v>
      </c>
      <c r="E5321" t="str">
        <f>VLOOKUP(C5321,Меню!A:E,4,0)</f>
        <v>Суши</v>
      </c>
      <c r="F5321">
        <f>VLOOKUP(C5321,Меню!A:E,5,0)</f>
        <v>100</v>
      </c>
    </row>
    <row r="5322" spans="1:6" ht="15.75" hidden="1" customHeight="1" x14ac:dyDescent="0.35">
      <c r="A5322" s="1">
        <v>5321</v>
      </c>
      <c r="B5322" s="1">
        <v>1041</v>
      </c>
      <c r="C5322" s="1">
        <v>18</v>
      </c>
      <c r="D5322" t="str">
        <f>VLOOKUP(B5322,Заказы!A:C,3,0)</f>
        <v>2023-11-11 18:24:00</v>
      </c>
      <c r="E5322" t="str">
        <f>VLOOKUP(C5322,Меню!A:E,4,0)</f>
        <v>Первое</v>
      </c>
      <c r="F5322">
        <f>VLOOKUP(C5322,Меню!A:E,5,0)</f>
        <v>300</v>
      </c>
    </row>
    <row r="5323" spans="1:6" ht="15.75" hidden="1" customHeight="1" x14ac:dyDescent="0.35">
      <c r="A5323" s="1">
        <v>5322</v>
      </c>
      <c r="B5323" s="1">
        <v>1042</v>
      </c>
      <c r="C5323" s="1">
        <v>29</v>
      </c>
      <c r="D5323" t="str">
        <f>VLOOKUP(B5323,Заказы!A:C,3,0)</f>
        <v>2023-11-11 22:05:00</v>
      </c>
      <c r="E5323" t="str">
        <f>VLOOKUP(C5323,Меню!A:E,4,0)</f>
        <v>Салат</v>
      </c>
      <c r="F5323">
        <f>VLOOKUP(C5323,Меню!A:E,5,0)</f>
        <v>250</v>
      </c>
    </row>
    <row r="5324" spans="1:6" ht="15.75" hidden="1" customHeight="1" x14ac:dyDescent="0.35">
      <c r="A5324" s="1">
        <v>5323</v>
      </c>
      <c r="B5324" s="1">
        <v>1042</v>
      </c>
      <c r="C5324" s="1">
        <v>27</v>
      </c>
      <c r="D5324" t="str">
        <f>VLOOKUP(B5324,Заказы!A:C,3,0)</f>
        <v>2023-11-11 22:05:00</v>
      </c>
      <c r="E5324" t="str">
        <f>VLOOKUP(C5324,Меню!A:E,4,0)</f>
        <v>Салат</v>
      </c>
      <c r="F5324">
        <f>VLOOKUP(C5324,Меню!A:E,5,0)</f>
        <v>250</v>
      </c>
    </row>
    <row r="5325" spans="1:6" ht="15.75" hidden="1" customHeight="1" x14ac:dyDescent="0.35">
      <c r="A5325" s="1">
        <v>5324</v>
      </c>
      <c r="B5325" s="1">
        <v>1042</v>
      </c>
      <c r="C5325" s="1">
        <v>4</v>
      </c>
      <c r="D5325" t="str">
        <f>VLOOKUP(B5325,Заказы!A:C,3,0)</f>
        <v>2023-11-11 22:05:00</v>
      </c>
      <c r="E5325" t="str">
        <f>VLOOKUP(C5325,Меню!A:E,4,0)</f>
        <v>Завтрак</v>
      </c>
      <c r="F5325">
        <f>VLOOKUP(C5325,Меню!A:E,5,0)</f>
        <v>180</v>
      </c>
    </row>
    <row r="5326" spans="1:6" ht="15.75" hidden="1" customHeight="1" x14ac:dyDescent="0.35">
      <c r="A5326" s="1">
        <v>5325</v>
      </c>
      <c r="B5326" s="1">
        <v>1042</v>
      </c>
      <c r="C5326" s="1">
        <v>20</v>
      </c>
      <c r="D5326" t="str">
        <f>VLOOKUP(B5326,Заказы!A:C,3,0)</f>
        <v>2023-11-11 22:05:00</v>
      </c>
      <c r="E5326" t="str">
        <f>VLOOKUP(C5326,Меню!A:E,4,0)</f>
        <v>Первое</v>
      </c>
      <c r="F5326">
        <f>VLOOKUP(C5326,Меню!A:E,5,0)</f>
        <v>250</v>
      </c>
    </row>
    <row r="5327" spans="1:6" ht="15.75" hidden="1" customHeight="1" x14ac:dyDescent="0.35">
      <c r="A5327" s="1">
        <v>5326</v>
      </c>
      <c r="B5327" s="1">
        <v>1042</v>
      </c>
      <c r="C5327" s="1">
        <v>43</v>
      </c>
      <c r="D5327" t="str">
        <f>VLOOKUP(B5327,Заказы!A:C,3,0)</f>
        <v>2023-11-11 22:05:00</v>
      </c>
      <c r="E5327" t="str">
        <f>VLOOKUP(C5327,Меню!A:E,4,0)</f>
        <v>Суши</v>
      </c>
      <c r="F5327">
        <f>VLOOKUP(C5327,Меню!A:E,5,0)</f>
        <v>250</v>
      </c>
    </row>
    <row r="5328" spans="1:6" ht="15.75" hidden="1" customHeight="1" x14ac:dyDescent="0.35">
      <c r="A5328" s="1">
        <v>5327</v>
      </c>
      <c r="B5328" s="1">
        <v>1043</v>
      </c>
      <c r="C5328" s="1">
        <v>42</v>
      </c>
      <c r="D5328" t="str">
        <f>VLOOKUP(B5328,Заказы!A:C,3,0)</f>
        <v>2023-11-12 15:57:00</v>
      </c>
      <c r="E5328" t="str">
        <f>VLOOKUP(C5328,Меню!A:E,4,0)</f>
        <v>Суши</v>
      </c>
      <c r="F5328">
        <f>VLOOKUP(C5328,Меню!A:E,5,0)</f>
        <v>250</v>
      </c>
    </row>
    <row r="5329" spans="1:6" ht="15.75" hidden="1" customHeight="1" x14ac:dyDescent="0.35">
      <c r="A5329" s="1">
        <v>5328</v>
      </c>
      <c r="B5329" s="1">
        <v>1043</v>
      </c>
      <c r="C5329" s="1">
        <v>39</v>
      </c>
      <c r="D5329" t="str">
        <f>VLOOKUP(B5329,Заказы!A:C,3,0)</f>
        <v>2023-11-12 15:57:00</v>
      </c>
      <c r="E5329" t="str">
        <f>VLOOKUP(C5329,Меню!A:E,4,0)</f>
        <v>Десерт</v>
      </c>
      <c r="F5329">
        <f>VLOOKUP(C5329,Меню!A:E,5,0)</f>
        <v>150</v>
      </c>
    </row>
    <row r="5330" spans="1:6" ht="15.75" hidden="1" customHeight="1" x14ac:dyDescent="0.35">
      <c r="A5330" s="1">
        <v>5329</v>
      </c>
      <c r="B5330" s="1">
        <v>1043</v>
      </c>
      <c r="C5330" s="1">
        <v>19</v>
      </c>
      <c r="D5330" t="str">
        <f>VLOOKUP(B5330,Заказы!A:C,3,0)</f>
        <v>2023-11-12 15:57:00</v>
      </c>
      <c r="E5330" t="str">
        <f>VLOOKUP(C5330,Меню!A:E,4,0)</f>
        <v>Первое</v>
      </c>
      <c r="F5330">
        <f>VLOOKUP(C5330,Меню!A:E,5,0)</f>
        <v>300</v>
      </c>
    </row>
    <row r="5331" spans="1:6" ht="15.75" hidden="1" customHeight="1" x14ac:dyDescent="0.35">
      <c r="A5331" s="1">
        <v>5330</v>
      </c>
      <c r="B5331" s="1">
        <v>1044</v>
      </c>
      <c r="C5331" s="1">
        <v>49</v>
      </c>
      <c r="D5331" t="str">
        <f>VLOOKUP(B5331,Заказы!A:C,3,0)</f>
        <v>2023-11-12 16:39:00</v>
      </c>
      <c r="E5331" t="str">
        <f>VLOOKUP(C5331,Меню!A:E,4,0)</f>
        <v>Суши</v>
      </c>
      <c r="F5331">
        <f>VLOOKUP(C5331,Меню!A:E,5,0)</f>
        <v>200</v>
      </c>
    </row>
    <row r="5332" spans="1:6" ht="15.75" hidden="1" customHeight="1" x14ac:dyDescent="0.35">
      <c r="A5332" s="1">
        <v>5331</v>
      </c>
      <c r="B5332" s="1">
        <v>1044</v>
      </c>
      <c r="C5332" s="1">
        <v>34</v>
      </c>
      <c r="D5332" t="str">
        <f>VLOOKUP(B5332,Заказы!A:C,3,0)</f>
        <v>2023-11-12 16:39:00</v>
      </c>
      <c r="E5332" t="str">
        <f>VLOOKUP(C5332,Меню!A:E,4,0)</f>
        <v>Десерт</v>
      </c>
      <c r="F5332">
        <f>VLOOKUP(C5332,Меню!A:E,5,0)</f>
        <v>150</v>
      </c>
    </row>
    <row r="5333" spans="1:6" ht="15.75" hidden="1" customHeight="1" x14ac:dyDescent="0.35">
      <c r="A5333" s="1">
        <v>5332</v>
      </c>
      <c r="B5333" s="1">
        <v>1044</v>
      </c>
      <c r="C5333" s="1">
        <v>33</v>
      </c>
      <c r="D5333" t="str">
        <f>VLOOKUP(B5333,Заказы!A:C,3,0)</f>
        <v>2023-11-12 16:39:00</v>
      </c>
      <c r="E5333" t="str">
        <f>VLOOKUP(C5333,Меню!A:E,4,0)</f>
        <v>Десерт</v>
      </c>
      <c r="F5333">
        <f>VLOOKUP(C5333,Меню!A:E,5,0)</f>
        <v>150</v>
      </c>
    </row>
    <row r="5334" spans="1:6" ht="15.75" hidden="1" customHeight="1" x14ac:dyDescent="0.35">
      <c r="A5334" s="1">
        <v>5333</v>
      </c>
      <c r="B5334" s="1">
        <v>1044</v>
      </c>
      <c r="C5334" s="1">
        <v>24</v>
      </c>
      <c r="D5334" t="str">
        <f>VLOOKUP(B5334,Заказы!A:C,3,0)</f>
        <v>2023-11-12 16:39:00</v>
      </c>
      <c r="E5334" t="str">
        <f>VLOOKUP(C5334,Меню!A:E,4,0)</f>
        <v>Салат</v>
      </c>
      <c r="F5334">
        <f>VLOOKUP(C5334,Меню!A:E,5,0)</f>
        <v>250</v>
      </c>
    </row>
    <row r="5335" spans="1:6" ht="15.75" hidden="1" customHeight="1" x14ac:dyDescent="0.35">
      <c r="A5335" s="1">
        <v>5334</v>
      </c>
      <c r="B5335" s="1">
        <v>1044</v>
      </c>
      <c r="C5335" s="1">
        <v>11</v>
      </c>
      <c r="D5335" t="str">
        <f>VLOOKUP(B5335,Заказы!A:C,3,0)</f>
        <v>2023-11-12 16:39:00</v>
      </c>
      <c r="E5335" t="str">
        <f>VLOOKUP(C5335,Меню!A:E,4,0)</f>
        <v>Первое</v>
      </c>
      <c r="F5335">
        <f>VLOOKUP(C5335,Меню!A:E,5,0)</f>
        <v>300</v>
      </c>
    </row>
    <row r="5336" spans="1:6" ht="15.75" hidden="1" customHeight="1" x14ac:dyDescent="0.35">
      <c r="A5336" s="1">
        <v>5335</v>
      </c>
      <c r="B5336" s="1">
        <v>1044</v>
      </c>
      <c r="C5336" s="1">
        <v>45</v>
      </c>
      <c r="D5336" t="str">
        <f>VLOOKUP(B5336,Заказы!A:C,3,0)</f>
        <v>2023-11-12 16:39:00</v>
      </c>
      <c r="E5336" t="str">
        <f>VLOOKUP(C5336,Меню!A:E,4,0)</f>
        <v>Суши</v>
      </c>
      <c r="F5336">
        <f>VLOOKUP(C5336,Меню!A:E,5,0)</f>
        <v>200</v>
      </c>
    </row>
    <row r="5337" spans="1:6" ht="15.75" hidden="1" customHeight="1" x14ac:dyDescent="0.35">
      <c r="A5337" s="1">
        <v>5336</v>
      </c>
      <c r="B5337" s="1">
        <v>1044</v>
      </c>
      <c r="C5337" s="1">
        <v>23</v>
      </c>
      <c r="D5337" t="str">
        <f>VLOOKUP(B5337,Заказы!A:C,3,0)</f>
        <v>2023-11-12 16:39:00</v>
      </c>
      <c r="E5337" t="str">
        <f>VLOOKUP(C5337,Меню!A:E,4,0)</f>
        <v>Салат</v>
      </c>
      <c r="F5337">
        <f>VLOOKUP(C5337,Меню!A:E,5,0)</f>
        <v>250</v>
      </c>
    </row>
    <row r="5338" spans="1:6" ht="15.75" hidden="1" customHeight="1" x14ac:dyDescent="0.35">
      <c r="A5338" s="1">
        <v>5337</v>
      </c>
      <c r="B5338" s="1">
        <v>1045</v>
      </c>
      <c r="C5338" s="1">
        <v>6</v>
      </c>
      <c r="D5338" t="str">
        <f>VLOOKUP(B5338,Заказы!A:C,3,0)</f>
        <v>2023-11-12 16:43:00</v>
      </c>
      <c r="E5338" t="str">
        <f>VLOOKUP(C5338,Меню!A:E,4,0)</f>
        <v>Завтрак</v>
      </c>
      <c r="F5338">
        <f>VLOOKUP(C5338,Меню!A:E,5,0)</f>
        <v>300</v>
      </c>
    </row>
    <row r="5339" spans="1:6" ht="15.75" hidden="1" customHeight="1" x14ac:dyDescent="0.35">
      <c r="A5339" s="1">
        <v>5338</v>
      </c>
      <c r="B5339" s="1">
        <v>1045</v>
      </c>
      <c r="C5339" s="1">
        <v>38</v>
      </c>
      <c r="D5339" t="str">
        <f>VLOOKUP(B5339,Заказы!A:C,3,0)</f>
        <v>2023-11-12 16:43:00</v>
      </c>
      <c r="E5339" t="str">
        <f>VLOOKUP(C5339,Меню!A:E,4,0)</f>
        <v>Десерт</v>
      </c>
      <c r="F5339">
        <f>VLOOKUP(C5339,Меню!A:E,5,0)</f>
        <v>150</v>
      </c>
    </row>
    <row r="5340" spans="1:6" ht="15.75" hidden="1" customHeight="1" x14ac:dyDescent="0.35">
      <c r="A5340" s="1">
        <v>5339</v>
      </c>
      <c r="B5340" s="1">
        <v>1045</v>
      </c>
      <c r="C5340" s="1">
        <v>57</v>
      </c>
      <c r="D5340" t="str">
        <f>VLOOKUP(B5340,Заказы!A:C,3,0)</f>
        <v>2023-11-12 16:43:00</v>
      </c>
      <c r="E5340" t="str">
        <f>VLOOKUP(C5340,Меню!A:E,4,0)</f>
        <v>Суши</v>
      </c>
      <c r="F5340">
        <f>VLOOKUP(C5340,Меню!A:E,5,0)</f>
        <v>200</v>
      </c>
    </row>
    <row r="5341" spans="1:6" ht="15.75" hidden="1" customHeight="1" x14ac:dyDescent="0.35">
      <c r="A5341" s="1">
        <v>5340</v>
      </c>
      <c r="B5341" s="1">
        <v>1046</v>
      </c>
      <c r="C5341" s="1">
        <v>43</v>
      </c>
      <c r="D5341" t="str">
        <f>VLOOKUP(B5341,Заказы!A:C,3,0)</f>
        <v>2023-11-12 22:20:00</v>
      </c>
      <c r="E5341" t="str">
        <f>VLOOKUP(C5341,Меню!A:E,4,0)</f>
        <v>Суши</v>
      </c>
      <c r="F5341">
        <f>VLOOKUP(C5341,Меню!A:E,5,0)</f>
        <v>250</v>
      </c>
    </row>
    <row r="5342" spans="1:6" ht="15.75" hidden="1" customHeight="1" x14ac:dyDescent="0.35">
      <c r="A5342" s="1">
        <v>5341</v>
      </c>
      <c r="B5342" s="1">
        <v>1046</v>
      </c>
      <c r="C5342" s="1">
        <v>20</v>
      </c>
      <c r="D5342" t="str">
        <f>VLOOKUP(B5342,Заказы!A:C,3,0)</f>
        <v>2023-11-12 22:20:00</v>
      </c>
      <c r="E5342" t="str">
        <f>VLOOKUP(C5342,Меню!A:E,4,0)</f>
        <v>Первое</v>
      </c>
      <c r="F5342">
        <f>VLOOKUP(C5342,Меню!A:E,5,0)</f>
        <v>250</v>
      </c>
    </row>
    <row r="5343" spans="1:6" ht="15.75" hidden="1" customHeight="1" x14ac:dyDescent="0.35">
      <c r="A5343" s="1">
        <v>5342</v>
      </c>
      <c r="B5343" s="1">
        <v>1046</v>
      </c>
      <c r="C5343" s="1">
        <v>8</v>
      </c>
      <c r="D5343" t="str">
        <f>VLOOKUP(B5343,Заказы!A:C,3,0)</f>
        <v>2023-11-12 22:20:00</v>
      </c>
      <c r="E5343" t="str">
        <f>VLOOKUP(C5343,Меню!A:E,4,0)</f>
        <v>Завтрак</v>
      </c>
      <c r="F5343">
        <f>VLOOKUP(C5343,Меню!A:E,5,0)</f>
        <v>180</v>
      </c>
    </row>
    <row r="5344" spans="1:6" ht="15.75" hidden="1" customHeight="1" x14ac:dyDescent="0.35">
      <c r="A5344" s="1">
        <v>5343</v>
      </c>
      <c r="B5344" s="1">
        <v>1046</v>
      </c>
      <c r="C5344" s="1">
        <v>15</v>
      </c>
      <c r="D5344" t="str">
        <f>VLOOKUP(B5344,Заказы!A:C,3,0)</f>
        <v>2023-11-12 22:20:00</v>
      </c>
      <c r="E5344" t="str">
        <f>VLOOKUP(C5344,Меню!A:E,4,0)</f>
        <v>Первое</v>
      </c>
      <c r="F5344">
        <f>VLOOKUP(C5344,Меню!A:E,5,0)</f>
        <v>250</v>
      </c>
    </row>
    <row r="5345" spans="1:6" ht="15.75" hidden="1" customHeight="1" x14ac:dyDescent="0.35">
      <c r="A5345" s="1">
        <v>5344</v>
      </c>
      <c r="B5345" s="1">
        <v>1047</v>
      </c>
      <c r="C5345" s="1">
        <v>15</v>
      </c>
      <c r="D5345" t="str">
        <f>VLOOKUP(B5345,Заказы!A:C,3,0)</f>
        <v>2023-11-13 17:08:00</v>
      </c>
      <c r="E5345" t="str">
        <f>VLOOKUP(C5345,Меню!A:E,4,0)</f>
        <v>Первое</v>
      </c>
      <c r="F5345">
        <f>VLOOKUP(C5345,Меню!A:E,5,0)</f>
        <v>250</v>
      </c>
    </row>
    <row r="5346" spans="1:6" ht="15.75" hidden="1" customHeight="1" x14ac:dyDescent="0.35">
      <c r="A5346" s="1">
        <v>5345</v>
      </c>
      <c r="B5346" s="1">
        <v>1047</v>
      </c>
      <c r="C5346" s="1">
        <v>54</v>
      </c>
      <c r="D5346" t="str">
        <f>VLOOKUP(B5346,Заказы!A:C,3,0)</f>
        <v>2023-11-13 17:08:00</v>
      </c>
      <c r="E5346" t="str">
        <f>VLOOKUP(C5346,Меню!A:E,4,0)</f>
        <v>Суши</v>
      </c>
      <c r="F5346">
        <f>VLOOKUP(C5346,Меню!A:E,5,0)</f>
        <v>100</v>
      </c>
    </row>
    <row r="5347" spans="1:6" ht="15.75" hidden="1" customHeight="1" x14ac:dyDescent="0.35">
      <c r="A5347" s="1">
        <v>5346</v>
      </c>
      <c r="B5347" s="1">
        <v>1048</v>
      </c>
      <c r="C5347" s="1">
        <v>51</v>
      </c>
      <c r="D5347" t="str">
        <f>VLOOKUP(B5347,Заказы!A:C,3,0)</f>
        <v>2023-11-13 17:47:00</v>
      </c>
      <c r="E5347" t="str">
        <f>VLOOKUP(C5347,Меню!A:E,4,0)</f>
        <v>Суши</v>
      </c>
      <c r="F5347">
        <f>VLOOKUP(C5347,Меню!A:E,5,0)</f>
        <v>100</v>
      </c>
    </row>
    <row r="5348" spans="1:6" ht="15.75" hidden="1" customHeight="1" x14ac:dyDescent="0.35">
      <c r="A5348" s="1">
        <v>5347</v>
      </c>
      <c r="B5348" s="1">
        <v>1049</v>
      </c>
      <c r="C5348" s="1">
        <v>15</v>
      </c>
      <c r="D5348" t="str">
        <f>VLOOKUP(B5348,Заказы!A:C,3,0)</f>
        <v>2023-11-13 20:16:00</v>
      </c>
      <c r="E5348" t="str">
        <f>VLOOKUP(C5348,Меню!A:E,4,0)</f>
        <v>Первое</v>
      </c>
      <c r="F5348">
        <f>VLOOKUP(C5348,Меню!A:E,5,0)</f>
        <v>250</v>
      </c>
    </row>
    <row r="5349" spans="1:6" ht="15.75" hidden="1" customHeight="1" x14ac:dyDescent="0.35">
      <c r="A5349" s="1">
        <v>5348</v>
      </c>
      <c r="B5349" s="1">
        <v>1049</v>
      </c>
      <c r="C5349" s="1">
        <v>53</v>
      </c>
      <c r="D5349" t="str">
        <f>VLOOKUP(B5349,Заказы!A:C,3,0)</f>
        <v>2023-11-13 20:16:00</v>
      </c>
      <c r="E5349" t="str">
        <f>VLOOKUP(C5349,Меню!A:E,4,0)</f>
        <v>Суши</v>
      </c>
      <c r="F5349">
        <f>VLOOKUP(C5349,Меню!A:E,5,0)</f>
        <v>100</v>
      </c>
    </row>
    <row r="5350" spans="1:6" ht="15.75" hidden="1" customHeight="1" x14ac:dyDescent="0.35">
      <c r="A5350" s="1">
        <v>5349</v>
      </c>
      <c r="B5350" s="1">
        <v>1049</v>
      </c>
      <c r="C5350" s="1">
        <v>27</v>
      </c>
      <c r="D5350" t="str">
        <f>VLOOKUP(B5350,Заказы!A:C,3,0)</f>
        <v>2023-11-13 20:16:00</v>
      </c>
      <c r="E5350" t="str">
        <f>VLOOKUP(C5350,Меню!A:E,4,0)</f>
        <v>Салат</v>
      </c>
      <c r="F5350">
        <f>VLOOKUP(C5350,Меню!A:E,5,0)</f>
        <v>250</v>
      </c>
    </row>
    <row r="5351" spans="1:6" ht="15.75" hidden="1" customHeight="1" x14ac:dyDescent="0.35">
      <c r="A5351" s="1">
        <v>5350</v>
      </c>
      <c r="B5351" s="1">
        <v>1049</v>
      </c>
      <c r="C5351" s="1">
        <v>41</v>
      </c>
      <c r="D5351" t="str">
        <f>VLOOKUP(B5351,Заказы!A:C,3,0)</f>
        <v>2023-11-13 20:16:00</v>
      </c>
      <c r="E5351" t="str">
        <f>VLOOKUP(C5351,Меню!A:E,4,0)</f>
        <v>Суши</v>
      </c>
      <c r="F5351">
        <f>VLOOKUP(C5351,Меню!A:E,5,0)</f>
        <v>220</v>
      </c>
    </row>
    <row r="5352" spans="1:6" ht="15.75" hidden="1" customHeight="1" x14ac:dyDescent="0.35">
      <c r="A5352" s="1">
        <v>5351</v>
      </c>
      <c r="B5352" s="1">
        <v>1049</v>
      </c>
      <c r="C5352" s="1">
        <v>1</v>
      </c>
      <c r="D5352" t="str">
        <f>VLOOKUP(B5352,Заказы!A:C,3,0)</f>
        <v>2023-11-13 20:16:00</v>
      </c>
      <c r="E5352" t="str">
        <f>VLOOKUP(C5352,Меню!A:E,4,0)</f>
        <v>Завтрак</v>
      </c>
      <c r="F5352">
        <f>VLOOKUP(C5352,Меню!A:E,5,0)</f>
        <v>200</v>
      </c>
    </row>
    <row r="5353" spans="1:6" ht="15.75" hidden="1" customHeight="1" x14ac:dyDescent="0.35">
      <c r="A5353" s="1">
        <v>5352</v>
      </c>
      <c r="B5353" s="1">
        <v>1049</v>
      </c>
      <c r="C5353" s="1">
        <v>27</v>
      </c>
      <c r="D5353" t="str">
        <f>VLOOKUP(B5353,Заказы!A:C,3,0)</f>
        <v>2023-11-13 20:16:00</v>
      </c>
      <c r="E5353" t="str">
        <f>VLOOKUP(C5353,Меню!A:E,4,0)</f>
        <v>Салат</v>
      </c>
      <c r="F5353">
        <f>VLOOKUP(C5353,Меню!A:E,5,0)</f>
        <v>250</v>
      </c>
    </row>
    <row r="5354" spans="1:6" ht="15.75" hidden="1" customHeight="1" x14ac:dyDescent="0.35">
      <c r="A5354" s="1">
        <v>5353</v>
      </c>
      <c r="B5354" s="1">
        <v>1050</v>
      </c>
      <c r="C5354" s="1">
        <v>46</v>
      </c>
      <c r="D5354" t="str">
        <f>VLOOKUP(B5354,Заказы!A:C,3,0)</f>
        <v>2023-11-13 20:26:00</v>
      </c>
      <c r="E5354" t="str">
        <f>VLOOKUP(C5354,Меню!A:E,4,0)</f>
        <v>Суши</v>
      </c>
      <c r="F5354">
        <f>VLOOKUP(C5354,Меню!A:E,5,0)</f>
        <v>200</v>
      </c>
    </row>
    <row r="5355" spans="1:6" ht="15.75" hidden="1" customHeight="1" x14ac:dyDescent="0.35">
      <c r="A5355" s="1">
        <v>5354</v>
      </c>
      <c r="B5355" s="1">
        <v>1050</v>
      </c>
      <c r="C5355" s="1">
        <v>43</v>
      </c>
      <c r="D5355" t="str">
        <f>VLOOKUP(B5355,Заказы!A:C,3,0)</f>
        <v>2023-11-13 20:26:00</v>
      </c>
      <c r="E5355" t="str">
        <f>VLOOKUP(C5355,Меню!A:E,4,0)</f>
        <v>Суши</v>
      </c>
      <c r="F5355">
        <f>VLOOKUP(C5355,Меню!A:E,5,0)</f>
        <v>250</v>
      </c>
    </row>
    <row r="5356" spans="1:6" ht="15.75" hidden="1" customHeight="1" x14ac:dyDescent="0.35">
      <c r="A5356" s="1">
        <v>5355</v>
      </c>
      <c r="B5356" s="1">
        <v>1050</v>
      </c>
      <c r="C5356" s="1">
        <v>42</v>
      </c>
      <c r="D5356" t="str">
        <f>VLOOKUP(B5356,Заказы!A:C,3,0)</f>
        <v>2023-11-13 20:26:00</v>
      </c>
      <c r="E5356" t="str">
        <f>VLOOKUP(C5356,Меню!A:E,4,0)</f>
        <v>Суши</v>
      </c>
      <c r="F5356">
        <f>VLOOKUP(C5356,Меню!A:E,5,0)</f>
        <v>250</v>
      </c>
    </row>
    <row r="5357" spans="1:6" ht="15.75" hidden="1" customHeight="1" x14ac:dyDescent="0.35">
      <c r="A5357" s="1">
        <v>5356</v>
      </c>
      <c r="B5357" s="1">
        <v>1050</v>
      </c>
      <c r="C5357" s="1">
        <v>3</v>
      </c>
      <c r="D5357" t="str">
        <f>VLOOKUP(B5357,Заказы!A:C,3,0)</f>
        <v>2023-11-13 20:26:00</v>
      </c>
      <c r="E5357" t="str">
        <f>VLOOKUP(C5357,Меню!A:E,4,0)</f>
        <v>Завтрак</v>
      </c>
      <c r="F5357">
        <f>VLOOKUP(C5357,Меню!A:E,5,0)</f>
        <v>150</v>
      </c>
    </row>
    <row r="5358" spans="1:6" ht="15.75" hidden="1" customHeight="1" x14ac:dyDescent="0.35">
      <c r="A5358" s="1">
        <v>5357</v>
      </c>
      <c r="B5358" s="1">
        <v>1050</v>
      </c>
      <c r="C5358" s="1">
        <v>6</v>
      </c>
      <c r="D5358" t="str">
        <f>VLOOKUP(B5358,Заказы!A:C,3,0)</f>
        <v>2023-11-13 20:26:00</v>
      </c>
      <c r="E5358" t="str">
        <f>VLOOKUP(C5358,Меню!A:E,4,0)</f>
        <v>Завтрак</v>
      </c>
      <c r="F5358">
        <f>VLOOKUP(C5358,Меню!A:E,5,0)</f>
        <v>300</v>
      </c>
    </row>
    <row r="5359" spans="1:6" ht="15.75" hidden="1" customHeight="1" x14ac:dyDescent="0.35">
      <c r="A5359" s="1">
        <v>5358</v>
      </c>
      <c r="B5359" s="1">
        <v>1051</v>
      </c>
      <c r="C5359" s="1">
        <v>12</v>
      </c>
      <c r="D5359" t="str">
        <f>VLOOKUP(B5359,Заказы!A:C,3,0)</f>
        <v>2023-11-13 20:51:00</v>
      </c>
      <c r="E5359" t="str">
        <f>VLOOKUP(C5359,Меню!A:E,4,0)</f>
        <v>Первое</v>
      </c>
      <c r="F5359">
        <f>VLOOKUP(C5359,Меню!A:E,5,0)</f>
        <v>300</v>
      </c>
    </row>
    <row r="5360" spans="1:6" ht="15.75" hidden="1" customHeight="1" x14ac:dyDescent="0.35">
      <c r="A5360" s="1">
        <v>5359</v>
      </c>
      <c r="B5360" s="1">
        <v>1052</v>
      </c>
      <c r="C5360" s="1">
        <v>36</v>
      </c>
      <c r="D5360" t="str">
        <f>VLOOKUP(B5360,Заказы!A:C,3,0)</f>
        <v>2023-11-13 22:12:00</v>
      </c>
      <c r="E5360" t="str">
        <f>VLOOKUP(C5360,Меню!A:E,4,0)</f>
        <v>Десерт</v>
      </c>
      <c r="F5360">
        <f>VLOOKUP(C5360,Меню!A:E,5,0)</f>
        <v>150</v>
      </c>
    </row>
    <row r="5361" spans="1:6" ht="15.75" hidden="1" customHeight="1" x14ac:dyDescent="0.35">
      <c r="A5361" s="1">
        <v>5360</v>
      </c>
      <c r="B5361" s="1">
        <v>1052</v>
      </c>
      <c r="C5361" s="1">
        <v>34</v>
      </c>
      <c r="D5361" t="str">
        <f>VLOOKUP(B5361,Заказы!A:C,3,0)</f>
        <v>2023-11-13 22:12:00</v>
      </c>
      <c r="E5361" t="str">
        <f>VLOOKUP(C5361,Меню!A:E,4,0)</f>
        <v>Десерт</v>
      </c>
      <c r="F5361">
        <f>VLOOKUP(C5361,Меню!A:E,5,0)</f>
        <v>150</v>
      </c>
    </row>
    <row r="5362" spans="1:6" ht="15.75" hidden="1" customHeight="1" x14ac:dyDescent="0.35">
      <c r="A5362" s="1">
        <v>5361</v>
      </c>
      <c r="B5362" s="1">
        <v>1052</v>
      </c>
      <c r="C5362" s="1">
        <v>12</v>
      </c>
      <c r="D5362" t="str">
        <f>VLOOKUP(B5362,Заказы!A:C,3,0)</f>
        <v>2023-11-13 22:12:00</v>
      </c>
      <c r="E5362" t="str">
        <f>VLOOKUP(C5362,Меню!A:E,4,0)</f>
        <v>Первое</v>
      </c>
      <c r="F5362">
        <f>VLOOKUP(C5362,Меню!A:E,5,0)</f>
        <v>300</v>
      </c>
    </row>
    <row r="5363" spans="1:6" ht="15.75" hidden="1" customHeight="1" x14ac:dyDescent="0.35">
      <c r="A5363" s="1">
        <v>5362</v>
      </c>
      <c r="B5363" s="1">
        <v>1052</v>
      </c>
      <c r="C5363" s="1">
        <v>37</v>
      </c>
      <c r="D5363" t="str">
        <f>VLOOKUP(B5363,Заказы!A:C,3,0)</f>
        <v>2023-11-13 22:12:00</v>
      </c>
      <c r="E5363" t="str">
        <f>VLOOKUP(C5363,Меню!A:E,4,0)</f>
        <v>Десерт</v>
      </c>
      <c r="F5363">
        <f>VLOOKUP(C5363,Меню!A:E,5,0)</f>
        <v>100</v>
      </c>
    </row>
    <row r="5364" spans="1:6" ht="15.75" hidden="1" customHeight="1" x14ac:dyDescent="0.35">
      <c r="A5364" s="1">
        <v>5363</v>
      </c>
      <c r="B5364" s="1">
        <v>1052</v>
      </c>
      <c r="C5364" s="1">
        <v>7</v>
      </c>
      <c r="D5364" t="str">
        <f>VLOOKUP(B5364,Заказы!A:C,3,0)</f>
        <v>2023-11-13 22:12:00</v>
      </c>
      <c r="E5364" t="str">
        <f>VLOOKUP(C5364,Меню!A:E,4,0)</f>
        <v>Завтрак</v>
      </c>
      <c r="F5364">
        <f>VLOOKUP(C5364,Меню!A:E,5,0)</f>
        <v>200</v>
      </c>
    </row>
    <row r="5365" spans="1:6" ht="15.75" hidden="1" customHeight="1" x14ac:dyDescent="0.35">
      <c r="A5365" s="1">
        <v>5364</v>
      </c>
      <c r="B5365" s="1">
        <v>1053</v>
      </c>
      <c r="C5365" s="1">
        <v>6</v>
      </c>
      <c r="D5365" t="str">
        <f>VLOOKUP(B5365,Заказы!A:C,3,0)</f>
        <v>2023-11-13 22:19:00</v>
      </c>
      <c r="E5365" t="str">
        <f>VLOOKUP(C5365,Меню!A:E,4,0)</f>
        <v>Завтрак</v>
      </c>
      <c r="F5365">
        <f>VLOOKUP(C5365,Меню!A:E,5,0)</f>
        <v>300</v>
      </c>
    </row>
    <row r="5366" spans="1:6" ht="15.75" hidden="1" customHeight="1" x14ac:dyDescent="0.35">
      <c r="A5366" s="1">
        <v>5365</v>
      </c>
      <c r="B5366" s="1">
        <v>1053</v>
      </c>
      <c r="C5366" s="1">
        <v>60</v>
      </c>
      <c r="D5366" t="str">
        <f>VLOOKUP(B5366,Заказы!A:C,3,0)</f>
        <v>2023-11-13 22:19:00</v>
      </c>
      <c r="E5366" t="str">
        <f>VLOOKUP(C5366,Меню!A:E,4,0)</f>
        <v>Суши</v>
      </c>
      <c r="F5366">
        <f>VLOOKUP(C5366,Меню!A:E,5,0)</f>
        <v>250</v>
      </c>
    </row>
    <row r="5367" spans="1:6" ht="15.75" hidden="1" customHeight="1" x14ac:dyDescent="0.35">
      <c r="A5367" s="1">
        <v>5366</v>
      </c>
      <c r="B5367" s="1">
        <v>1053</v>
      </c>
      <c r="C5367" s="1">
        <v>28</v>
      </c>
      <c r="D5367" t="str">
        <f>VLOOKUP(B5367,Заказы!A:C,3,0)</f>
        <v>2023-11-13 22:19:00</v>
      </c>
      <c r="E5367" t="str">
        <f>VLOOKUP(C5367,Меню!A:E,4,0)</f>
        <v>Салат</v>
      </c>
      <c r="F5367">
        <f>VLOOKUP(C5367,Меню!A:E,5,0)</f>
        <v>250</v>
      </c>
    </row>
    <row r="5368" spans="1:6" ht="15.75" hidden="1" customHeight="1" x14ac:dyDescent="0.35">
      <c r="A5368" s="1">
        <v>5367</v>
      </c>
      <c r="B5368" s="1">
        <v>1054</v>
      </c>
      <c r="C5368" s="1">
        <v>12</v>
      </c>
      <c r="D5368" t="str">
        <f>VLOOKUP(B5368,Заказы!A:C,3,0)</f>
        <v>2023-11-14 15:00:00</v>
      </c>
      <c r="E5368" t="str">
        <f>VLOOKUP(C5368,Меню!A:E,4,0)</f>
        <v>Первое</v>
      </c>
      <c r="F5368">
        <f>VLOOKUP(C5368,Меню!A:E,5,0)</f>
        <v>300</v>
      </c>
    </row>
    <row r="5369" spans="1:6" ht="15.75" hidden="1" customHeight="1" x14ac:dyDescent="0.35">
      <c r="A5369" s="1">
        <v>5368</v>
      </c>
      <c r="B5369" s="1">
        <v>1054</v>
      </c>
      <c r="C5369" s="1">
        <v>60</v>
      </c>
      <c r="D5369" t="str">
        <f>VLOOKUP(B5369,Заказы!A:C,3,0)</f>
        <v>2023-11-14 15:00:00</v>
      </c>
      <c r="E5369" t="str">
        <f>VLOOKUP(C5369,Меню!A:E,4,0)</f>
        <v>Суши</v>
      </c>
      <c r="F5369">
        <f>VLOOKUP(C5369,Меню!A:E,5,0)</f>
        <v>250</v>
      </c>
    </row>
    <row r="5370" spans="1:6" ht="15.75" hidden="1" customHeight="1" x14ac:dyDescent="0.35">
      <c r="A5370" s="1">
        <v>5369</v>
      </c>
      <c r="B5370" s="1">
        <v>1054</v>
      </c>
      <c r="C5370" s="1">
        <v>25</v>
      </c>
      <c r="D5370" t="str">
        <f>VLOOKUP(B5370,Заказы!A:C,3,0)</f>
        <v>2023-11-14 15:00:00</v>
      </c>
      <c r="E5370" t="str">
        <f>VLOOKUP(C5370,Меню!A:E,4,0)</f>
        <v>Салат</v>
      </c>
      <c r="F5370">
        <f>VLOOKUP(C5370,Меню!A:E,5,0)</f>
        <v>250</v>
      </c>
    </row>
    <row r="5371" spans="1:6" ht="15.75" hidden="1" customHeight="1" x14ac:dyDescent="0.35">
      <c r="A5371" s="1">
        <v>5370</v>
      </c>
      <c r="B5371" s="1">
        <v>1055</v>
      </c>
      <c r="C5371" s="1">
        <v>21</v>
      </c>
      <c r="D5371" t="str">
        <f>VLOOKUP(B5371,Заказы!A:C,3,0)</f>
        <v>2023-11-14 22:09:00</v>
      </c>
      <c r="E5371" t="str">
        <f>VLOOKUP(C5371,Меню!A:E,4,0)</f>
        <v>Салат</v>
      </c>
      <c r="F5371">
        <f>VLOOKUP(C5371,Меню!A:E,5,0)</f>
        <v>250</v>
      </c>
    </row>
    <row r="5372" spans="1:6" ht="15.75" hidden="1" customHeight="1" x14ac:dyDescent="0.35">
      <c r="A5372" s="1">
        <v>5371</v>
      </c>
      <c r="B5372" s="1">
        <v>1055</v>
      </c>
      <c r="C5372" s="1">
        <v>36</v>
      </c>
      <c r="D5372" t="str">
        <f>VLOOKUP(B5372,Заказы!A:C,3,0)</f>
        <v>2023-11-14 22:09:00</v>
      </c>
      <c r="E5372" t="str">
        <f>VLOOKUP(C5372,Меню!A:E,4,0)</f>
        <v>Десерт</v>
      </c>
      <c r="F5372">
        <f>VLOOKUP(C5372,Меню!A:E,5,0)</f>
        <v>150</v>
      </c>
    </row>
    <row r="5373" spans="1:6" ht="15.75" hidden="1" customHeight="1" x14ac:dyDescent="0.35">
      <c r="A5373" s="1">
        <v>5372</v>
      </c>
      <c r="B5373" s="1">
        <v>1055</v>
      </c>
      <c r="C5373" s="1">
        <v>36</v>
      </c>
      <c r="D5373" t="str">
        <f>VLOOKUP(B5373,Заказы!A:C,3,0)</f>
        <v>2023-11-14 22:09:00</v>
      </c>
      <c r="E5373" t="str">
        <f>VLOOKUP(C5373,Меню!A:E,4,0)</f>
        <v>Десерт</v>
      </c>
      <c r="F5373">
        <f>VLOOKUP(C5373,Меню!A:E,5,0)</f>
        <v>150</v>
      </c>
    </row>
    <row r="5374" spans="1:6" ht="15.75" hidden="1" customHeight="1" x14ac:dyDescent="0.35">
      <c r="A5374" s="1">
        <v>5373</v>
      </c>
      <c r="B5374" s="1">
        <v>1055</v>
      </c>
      <c r="C5374" s="1">
        <v>45</v>
      </c>
      <c r="D5374" t="str">
        <f>VLOOKUP(B5374,Заказы!A:C,3,0)</f>
        <v>2023-11-14 22:09:00</v>
      </c>
      <c r="E5374" t="str">
        <f>VLOOKUP(C5374,Меню!A:E,4,0)</f>
        <v>Суши</v>
      </c>
      <c r="F5374">
        <f>VLOOKUP(C5374,Меню!A:E,5,0)</f>
        <v>200</v>
      </c>
    </row>
    <row r="5375" spans="1:6" ht="15.75" hidden="1" customHeight="1" x14ac:dyDescent="0.35">
      <c r="A5375" s="1">
        <v>5374</v>
      </c>
      <c r="B5375" s="1">
        <v>1055</v>
      </c>
      <c r="C5375" s="1">
        <v>40</v>
      </c>
      <c r="D5375" t="str">
        <f>VLOOKUP(B5375,Заказы!A:C,3,0)</f>
        <v>2023-11-14 22:09:00</v>
      </c>
      <c r="E5375" t="str">
        <f>VLOOKUP(C5375,Меню!A:E,4,0)</f>
        <v>Десерт</v>
      </c>
      <c r="F5375">
        <f>VLOOKUP(C5375,Меню!A:E,5,0)</f>
        <v>150</v>
      </c>
    </row>
    <row r="5376" spans="1:6" ht="15.75" hidden="1" customHeight="1" x14ac:dyDescent="0.35">
      <c r="A5376" s="1">
        <v>5375</v>
      </c>
      <c r="B5376" s="1">
        <v>1055</v>
      </c>
      <c r="C5376" s="1">
        <v>29</v>
      </c>
      <c r="D5376" t="str">
        <f>VLOOKUP(B5376,Заказы!A:C,3,0)</f>
        <v>2023-11-14 22:09:00</v>
      </c>
      <c r="E5376" t="str">
        <f>VLOOKUP(C5376,Меню!A:E,4,0)</f>
        <v>Салат</v>
      </c>
      <c r="F5376">
        <f>VLOOKUP(C5376,Меню!A:E,5,0)</f>
        <v>250</v>
      </c>
    </row>
    <row r="5377" spans="1:6" ht="15.75" hidden="1" customHeight="1" x14ac:dyDescent="0.35">
      <c r="A5377" s="1">
        <v>5376</v>
      </c>
      <c r="B5377" s="1">
        <v>1055</v>
      </c>
      <c r="C5377" s="1">
        <v>7</v>
      </c>
      <c r="D5377" t="str">
        <f>VLOOKUP(B5377,Заказы!A:C,3,0)</f>
        <v>2023-11-14 22:09:00</v>
      </c>
      <c r="E5377" t="str">
        <f>VLOOKUP(C5377,Меню!A:E,4,0)</f>
        <v>Завтрак</v>
      </c>
      <c r="F5377">
        <f>VLOOKUP(C5377,Меню!A:E,5,0)</f>
        <v>200</v>
      </c>
    </row>
    <row r="5378" spans="1:6" ht="15.75" hidden="1" customHeight="1" x14ac:dyDescent="0.35">
      <c r="A5378" s="1">
        <v>5377</v>
      </c>
      <c r="B5378" s="1">
        <v>1056</v>
      </c>
      <c r="C5378" s="1">
        <v>19</v>
      </c>
      <c r="D5378" t="str">
        <f>VLOOKUP(B5378,Заказы!A:C,3,0)</f>
        <v>2023-11-15 20:37:00</v>
      </c>
      <c r="E5378" t="str">
        <f>VLOOKUP(C5378,Меню!A:E,4,0)</f>
        <v>Первое</v>
      </c>
      <c r="F5378">
        <f>VLOOKUP(C5378,Меню!A:E,5,0)</f>
        <v>300</v>
      </c>
    </row>
    <row r="5379" spans="1:6" ht="15.75" hidden="1" customHeight="1" x14ac:dyDescent="0.35">
      <c r="A5379" s="1">
        <v>5378</v>
      </c>
      <c r="B5379" s="1">
        <v>1056</v>
      </c>
      <c r="C5379" s="1">
        <v>41</v>
      </c>
      <c r="D5379" t="str">
        <f>VLOOKUP(B5379,Заказы!A:C,3,0)</f>
        <v>2023-11-15 20:37:00</v>
      </c>
      <c r="E5379" t="str">
        <f>VLOOKUP(C5379,Меню!A:E,4,0)</f>
        <v>Суши</v>
      </c>
      <c r="F5379">
        <f>VLOOKUP(C5379,Меню!A:E,5,0)</f>
        <v>220</v>
      </c>
    </row>
    <row r="5380" spans="1:6" ht="15.75" hidden="1" customHeight="1" x14ac:dyDescent="0.35">
      <c r="A5380" s="1">
        <v>5379</v>
      </c>
      <c r="B5380" s="1">
        <v>1056</v>
      </c>
      <c r="C5380" s="1">
        <v>6</v>
      </c>
      <c r="D5380" t="str">
        <f>VLOOKUP(B5380,Заказы!A:C,3,0)</f>
        <v>2023-11-15 20:37:00</v>
      </c>
      <c r="E5380" t="str">
        <f>VLOOKUP(C5380,Меню!A:E,4,0)</f>
        <v>Завтрак</v>
      </c>
      <c r="F5380">
        <f>VLOOKUP(C5380,Меню!A:E,5,0)</f>
        <v>300</v>
      </c>
    </row>
    <row r="5381" spans="1:6" ht="15.75" hidden="1" customHeight="1" x14ac:dyDescent="0.35">
      <c r="A5381" s="1">
        <v>5380</v>
      </c>
      <c r="B5381" s="1">
        <v>1057</v>
      </c>
      <c r="C5381" s="1">
        <v>55</v>
      </c>
      <c r="D5381" t="str">
        <f>VLOOKUP(B5381,Заказы!A:C,3,0)</f>
        <v>2023-11-15 21:37:00</v>
      </c>
      <c r="E5381" t="str">
        <f>VLOOKUP(C5381,Меню!A:E,4,0)</f>
        <v>Суши</v>
      </c>
      <c r="F5381">
        <f>VLOOKUP(C5381,Меню!A:E,5,0)</f>
        <v>100</v>
      </c>
    </row>
    <row r="5382" spans="1:6" ht="15.75" hidden="1" customHeight="1" x14ac:dyDescent="0.35">
      <c r="A5382" s="1">
        <v>5381</v>
      </c>
      <c r="B5382" s="1">
        <v>1057</v>
      </c>
      <c r="C5382" s="1">
        <v>58</v>
      </c>
      <c r="D5382" t="str">
        <f>VLOOKUP(B5382,Заказы!A:C,3,0)</f>
        <v>2023-11-15 21:37:00</v>
      </c>
      <c r="E5382" t="str">
        <f>VLOOKUP(C5382,Меню!A:E,4,0)</f>
        <v>Суши</v>
      </c>
      <c r="F5382">
        <f>VLOOKUP(C5382,Меню!A:E,5,0)</f>
        <v>200</v>
      </c>
    </row>
    <row r="5383" spans="1:6" ht="15.75" hidden="1" customHeight="1" x14ac:dyDescent="0.35">
      <c r="A5383" s="1">
        <v>5382</v>
      </c>
      <c r="B5383" s="1">
        <v>1057</v>
      </c>
      <c r="C5383" s="1">
        <v>52</v>
      </c>
      <c r="D5383" t="str">
        <f>VLOOKUP(B5383,Заказы!A:C,3,0)</f>
        <v>2023-11-15 21:37:00</v>
      </c>
      <c r="E5383" t="str">
        <f>VLOOKUP(C5383,Меню!A:E,4,0)</f>
        <v>Суши</v>
      </c>
      <c r="F5383">
        <f>VLOOKUP(C5383,Меню!A:E,5,0)</f>
        <v>100</v>
      </c>
    </row>
    <row r="5384" spans="1:6" ht="15.75" hidden="1" customHeight="1" x14ac:dyDescent="0.35">
      <c r="A5384" s="1">
        <v>5383</v>
      </c>
      <c r="B5384" s="1">
        <v>1057</v>
      </c>
      <c r="C5384" s="1">
        <v>48</v>
      </c>
      <c r="D5384" t="str">
        <f>VLOOKUP(B5384,Заказы!A:C,3,0)</f>
        <v>2023-11-15 21:37:00</v>
      </c>
      <c r="E5384" t="str">
        <f>VLOOKUP(C5384,Меню!A:E,4,0)</f>
        <v>Суши</v>
      </c>
      <c r="F5384">
        <f>VLOOKUP(C5384,Меню!A:E,5,0)</f>
        <v>200</v>
      </c>
    </row>
    <row r="5385" spans="1:6" ht="15.75" hidden="1" customHeight="1" x14ac:dyDescent="0.35">
      <c r="A5385" s="1">
        <v>5384</v>
      </c>
      <c r="B5385" s="1">
        <v>1057</v>
      </c>
      <c r="C5385" s="1">
        <v>29</v>
      </c>
      <c r="D5385" t="str">
        <f>VLOOKUP(B5385,Заказы!A:C,3,0)</f>
        <v>2023-11-15 21:37:00</v>
      </c>
      <c r="E5385" t="str">
        <f>VLOOKUP(C5385,Меню!A:E,4,0)</f>
        <v>Салат</v>
      </c>
      <c r="F5385">
        <f>VLOOKUP(C5385,Меню!A:E,5,0)</f>
        <v>250</v>
      </c>
    </row>
    <row r="5386" spans="1:6" ht="15.75" hidden="1" customHeight="1" x14ac:dyDescent="0.35">
      <c r="A5386" s="1">
        <v>5385</v>
      </c>
      <c r="B5386" s="1">
        <v>1057</v>
      </c>
      <c r="C5386" s="1">
        <v>16</v>
      </c>
      <c r="D5386" t="str">
        <f>VLOOKUP(B5386,Заказы!A:C,3,0)</f>
        <v>2023-11-15 21:37:00</v>
      </c>
      <c r="E5386" t="str">
        <f>VLOOKUP(C5386,Меню!A:E,4,0)</f>
        <v>Первое</v>
      </c>
      <c r="F5386">
        <f>VLOOKUP(C5386,Меню!A:E,5,0)</f>
        <v>250</v>
      </c>
    </row>
    <row r="5387" spans="1:6" ht="15.75" hidden="1" customHeight="1" x14ac:dyDescent="0.35">
      <c r="A5387" s="1">
        <v>5386</v>
      </c>
      <c r="B5387" s="1">
        <v>1057</v>
      </c>
      <c r="C5387" s="1">
        <v>60</v>
      </c>
      <c r="D5387" t="str">
        <f>VLOOKUP(B5387,Заказы!A:C,3,0)</f>
        <v>2023-11-15 21:37:00</v>
      </c>
      <c r="E5387" t="str">
        <f>VLOOKUP(C5387,Меню!A:E,4,0)</f>
        <v>Суши</v>
      </c>
      <c r="F5387">
        <f>VLOOKUP(C5387,Меню!A:E,5,0)</f>
        <v>250</v>
      </c>
    </row>
    <row r="5388" spans="1:6" ht="15.75" hidden="1" customHeight="1" x14ac:dyDescent="0.35">
      <c r="A5388" s="1">
        <v>5387</v>
      </c>
      <c r="B5388" s="1">
        <v>1058</v>
      </c>
      <c r="C5388" s="1">
        <v>6</v>
      </c>
      <c r="D5388" t="str">
        <f>VLOOKUP(B5388,Заказы!A:C,3,0)</f>
        <v>2023-11-16 15:47:00</v>
      </c>
      <c r="E5388" t="str">
        <f>VLOOKUP(C5388,Меню!A:E,4,0)</f>
        <v>Завтрак</v>
      </c>
      <c r="F5388">
        <f>VLOOKUP(C5388,Меню!A:E,5,0)</f>
        <v>300</v>
      </c>
    </row>
    <row r="5389" spans="1:6" ht="15.75" hidden="1" customHeight="1" x14ac:dyDescent="0.35">
      <c r="A5389" s="1">
        <v>5388</v>
      </c>
      <c r="B5389" s="1">
        <v>1058</v>
      </c>
      <c r="C5389" s="1">
        <v>4</v>
      </c>
      <c r="D5389" t="str">
        <f>VLOOKUP(B5389,Заказы!A:C,3,0)</f>
        <v>2023-11-16 15:47:00</v>
      </c>
      <c r="E5389" t="str">
        <f>VLOOKUP(C5389,Меню!A:E,4,0)</f>
        <v>Завтрак</v>
      </c>
      <c r="F5389">
        <f>VLOOKUP(C5389,Меню!A:E,5,0)</f>
        <v>180</v>
      </c>
    </row>
    <row r="5390" spans="1:6" ht="15.75" hidden="1" customHeight="1" x14ac:dyDescent="0.35">
      <c r="A5390" s="1">
        <v>5389</v>
      </c>
      <c r="B5390" s="1">
        <v>1058</v>
      </c>
      <c r="C5390" s="1">
        <v>4</v>
      </c>
      <c r="D5390" t="str">
        <f>VLOOKUP(B5390,Заказы!A:C,3,0)</f>
        <v>2023-11-16 15:47:00</v>
      </c>
      <c r="E5390" t="str">
        <f>VLOOKUP(C5390,Меню!A:E,4,0)</f>
        <v>Завтрак</v>
      </c>
      <c r="F5390">
        <f>VLOOKUP(C5390,Меню!A:E,5,0)</f>
        <v>180</v>
      </c>
    </row>
    <row r="5391" spans="1:6" ht="15.75" hidden="1" customHeight="1" x14ac:dyDescent="0.35">
      <c r="A5391" s="1">
        <v>5390</v>
      </c>
      <c r="B5391" s="1">
        <v>1059</v>
      </c>
      <c r="C5391" s="1">
        <v>10</v>
      </c>
      <c r="D5391" t="str">
        <f>VLOOKUP(B5391,Заказы!A:C,3,0)</f>
        <v>2023-11-16 16:46:00</v>
      </c>
      <c r="E5391" t="str">
        <f>VLOOKUP(C5391,Меню!A:E,4,0)</f>
        <v>Завтрак</v>
      </c>
      <c r="F5391">
        <f>VLOOKUP(C5391,Меню!A:E,5,0)</f>
        <v>200</v>
      </c>
    </row>
    <row r="5392" spans="1:6" ht="15.75" hidden="1" customHeight="1" x14ac:dyDescent="0.35">
      <c r="A5392" s="1">
        <v>5391</v>
      </c>
      <c r="B5392" s="1">
        <v>1059</v>
      </c>
      <c r="C5392" s="1">
        <v>29</v>
      </c>
      <c r="D5392" t="str">
        <f>VLOOKUP(B5392,Заказы!A:C,3,0)</f>
        <v>2023-11-16 16:46:00</v>
      </c>
      <c r="E5392" t="str">
        <f>VLOOKUP(C5392,Меню!A:E,4,0)</f>
        <v>Салат</v>
      </c>
      <c r="F5392">
        <f>VLOOKUP(C5392,Меню!A:E,5,0)</f>
        <v>250</v>
      </c>
    </row>
    <row r="5393" spans="1:6" ht="15.75" hidden="1" customHeight="1" x14ac:dyDescent="0.35">
      <c r="A5393" s="1">
        <v>5392</v>
      </c>
      <c r="B5393" s="1">
        <v>1059</v>
      </c>
      <c r="C5393" s="1">
        <v>32</v>
      </c>
      <c r="D5393" t="str">
        <f>VLOOKUP(B5393,Заказы!A:C,3,0)</f>
        <v>2023-11-16 16:46:00</v>
      </c>
      <c r="E5393" t="str">
        <f>VLOOKUP(C5393,Меню!A:E,4,0)</f>
        <v>Десерт</v>
      </c>
      <c r="F5393">
        <f>VLOOKUP(C5393,Меню!A:E,5,0)</f>
        <v>150</v>
      </c>
    </row>
    <row r="5394" spans="1:6" ht="15.75" hidden="1" customHeight="1" x14ac:dyDescent="0.35">
      <c r="A5394" s="1">
        <v>5393</v>
      </c>
      <c r="B5394" s="1">
        <v>1059</v>
      </c>
      <c r="C5394" s="1">
        <v>37</v>
      </c>
      <c r="D5394" t="str">
        <f>VLOOKUP(B5394,Заказы!A:C,3,0)</f>
        <v>2023-11-16 16:46:00</v>
      </c>
      <c r="E5394" t="str">
        <f>VLOOKUP(C5394,Меню!A:E,4,0)</f>
        <v>Десерт</v>
      </c>
      <c r="F5394">
        <f>VLOOKUP(C5394,Меню!A:E,5,0)</f>
        <v>100</v>
      </c>
    </row>
    <row r="5395" spans="1:6" ht="15.75" hidden="1" customHeight="1" x14ac:dyDescent="0.35">
      <c r="A5395" s="1">
        <v>5394</v>
      </c>
      <c r="B5395" s="1">
        <v>1059</v>
      </c>
      <c r="C5395" s="1">
        <v>60</v>
      </c>
      <c r="D5395" t="str">
        <f>VLOOKUP(B5395,Заказы!A:C,3,0)</f>
        <v>2023-11-16 16:46:00</v>
      </c>
      <c r="E5395" t="str">
        <f>VLOOKUP(C5395,Меню!A:E,4,0)</f>
        <v>Суши</v>
      </c>
      <c r="F5395">
        <f>VLOOKUP(C5395,Меню!A:E,5,0)</f>
        <v>250</v>
      </c>
    </row>
    <row r="5396" spans="1:6" ht="15.75" hidden="1" customHeight="1" x14ac:dyDescent="0.35">
      <c r="A5396" s="1">
        <v>5395</v>
      </c>
      <c r="B5396" s="1">
        <v>1060</v>
      </c>
      <c r="C5396" s="1">
        <v>12</v>
      </c>
      <c r="D5396" t="str">
        <f>VLOOKUP(B5396,Заказы!A:C,3,0)</f>
        <v>2023-11-16 16:48:00</v>
      </c>
      <c r="E5396" t="str">
        <f>VLOOKUP(C5396,Меню!A:E,4,0)</f>
        <v>Первое</v>
      </c>
      <c r="F5396">
        <f>VLOOKUP(C5396,Меню!A:E,5,0)</f>
        <v>300</v>
      </c>
    </row>
    <row r="5397" spans="1:6" ht="15.75" hidden="1" customHeight="1" x14ac:dyDescent="0.35">
      <c r="A5397" s="1">
        <v>5396</v>
      </c>
      <c r="B5397" s="1">
        <v>1060</v>
      </c>
      <c r="C5397" s="1">
        <v>33</v>
      </c>
      <c r="D5397" t="str">
        <f>VLOOKUP(B5397,Заказы!A:C,3,0)</f>
        <v>2023-11-16 16:48:00</v>
      </c>
      <c r="E5397" t="str">
        <f>VLOOKUP(C5397,Меню!A:E,4,0)</f>
        <v>Десерт</v>
      </c>
      <c r="F5397">
        <f>VLOOKUP(C5397,Меню!A:E,5,0)</f>
        <v>150</v>
      </c>
    </row>
    <row r="5398" spans="1:6" ht="15.75" hidden="1" customHeight="1" x14ac:dyDescent="0.35">
      <c r="A5398" s="1">
        <v>5397</v>
      </c>
      <c r="B5398" s="1">
        <v>1060</v>
      </c>
      <c r="C5398" s="1">
        <v>28</v>
      </c>
      <c r="D5398" t="str">
        <f>VLOOKUP(B5398,Заказы!A:C,3,0)</f>
        <v>2023-11-16 16:48:00</v>
      </c>
      <c r="E5398" t="str">
        <f>VLOOKUP(C5398,Меню!A:E,4,0)</f>
        <v>Салат</v>
      </c>
      <c r="F5398">
        <f>VLOOKUP(C5398,Меню!A:E,5,0)</f>
        <v>250</v>
      </c>
    </row>
    <row r="5399" spans="1:6" ht="15.75" hidden="1" customHeight="1" x14ac:dyDescent="0.35">
      <c r="A5399" s="1">
        <v>5398</v>
      </c>
      <c r="B5399" s="1">
        <v>1060</v>
      </c>
      <c r="C5399" s="1">
        <v>46</v>
      </c>
      <c r="D5399" t="str">
        <f>VLOOKUP(B5399,Заказы!A:C,3,0)</f>
        <v>2023-11-16 16:48:00</v>
      </c>
      <c r="E5399" t="str">
        <f>VLOOKUP(C5399,Меню!A:E,4,0)</f>
        <v>Суши</v>
      </c>
      <c r="F5399">
        <f>VLOOKUP(C5399,Меню!A:E,5,0)</f>
        <v>200</v>
      </c>
    </row>
    <row r="5400" spans="1:6" ht="15.75" hidden="1" customHeight="1" x14ac:dyDescent="0.35">
      <c r="A5400" s="1">
        <v>5399</v>
      </c>
      <c r="B5400" s="1">
        <v>1060</v>
      </c>
      <c r="C5400" s="1">
        <v>32</v>
      </c>
      <c r="D5400" t="str">
        <f>VLOOKUP(B5400,Заказы!A:C,3,0)</f>
        <v>2023-11-16 16:48:00</v>
      </c>
      <c r="E5400" t="str">
        <f>VLOOKUP(C5400,Меню!A:E,4,0)</f>
        <v>Десерт</v>
      </c>
      <c r="F5400">
        <f>VLOOKUP(C5400,Меню!A:E,5,0)</f>
        <v>150</v>
      </c>
    </row>
    <row r="5401" spans="1:6" ht="15.75" hidden="1" customHeight="1" x14ac:dyDescent="0.35">
      <c r="A5401" s="1">
        <v>5400</v>
      </c>
      <c r="B5401" s="1">
        <v>1061</v>
      </c>
      <c r="C5401" s="1">
        <v>58</v>
      </c>
      <c r="D5401" t="str">
        <f>VLOOKUP(B5401,Заказы!A:C,3,0)</f>
        <v>2023-11-16 18:24:00</v>
      </c>
      <c r="E5401" t="str">
        <f>VLOOKUP(C5401,Меню!A:E,4,0)</f>
        <v>Суши</v>
      </c>
      <c r="F5401">
        <f>VLOOKUP(C5401,Меню!A:E,5,0)</f>
        <v>200</v>
      </c>
    </row>
    <row r="5402" spans="1:6" ht="15.75" hidden="1" customHeight="1" x14ac:dyDescent="0.35">
      <c r="A5402" s="1">
        <v>5401</v>
      </c>
      <c r="B5402" s="1">
        <v>1061</v>
      </c>
      <c r="C5402" s="1">
        <v>39</v>
      </c>
      <c r="D5402" t="str">
        <f>VLOOKUP(B5402,Заказы!A:C,3,0)</f>
        <v>2023-11-16 18:24:00</v>
      </c>
      <c r="E5402" t="str">
        <f>VLOOKUP(C5402,Меню!A:E,4,0)</f>
        <v>Десерт</v>
      </c>
      <c r="F5402">
        <f>VLOOKUP(C5402,Меню!A:E,5,0)</f>
        <v>150</v>
      </c>
    </row>
    <row r="5403" spans="1:6" ht="15.75" hidden="1" customHeight="1" x14ac:dyDescent="0.35">
      <c r="A5403" s="1">
        <v>5402</v>
      </c>
      <c r="B5403" s="1">
        <v>1061</v>
      </c>
      <c r="C5403" s="1">
        <v>53</v>
      </c>
      <c r="D5403" t="str">
        <f>VLOOKUP(B5403,Заказы!A:C,3,0)</f>
        <v>2023-11-16 18:24:00</v>
      </c>
      <c r="E5403" t="str">
        <f>VLOOKUP(C5403,Меню!A:E,4,0)</f>
        <v>Суши</v>
      </c>
      <c r="F5403">
        <f>VLOOKUP(C5403,Меню!A:E,5,0)</f>
        <v>100</v>
      </c>
    </row>
    <row r="5404" spans="1:6" ht="15.75" hidden="1" customHeight="1" x14ac:dyDescent="0.35">
      <c r="A5404" s="1">
        <v>5403</v>
      </c>
      <c r="B5404" s="1">
        <v>1062</v>
      </c>
      <c r="C5404" s="1">
        <v>52</v>
      </c>
      <c r="D5404" t="str">
        <f>VLOOKUP(B5404,Заказы!A:C,3,0)</f>
        <v>2023-11-16 19:54:00</v>
      </c>
      <c r="E5404" t="str">
        <f>VLOOKUP(C5404,Меню!A:E,4,0)</f>
        <v>Суши</v>
      </c>
      <c r="F5404">
        <f>VLOOKUP(C5404,Меню!A:E,5,0)</f>
        <v>100</v>
      </c>
    </row>
    <row r="5405" spans="1:6" ht="15.75" hidden="1" customHeight="1" x14ac:dyDescent="0.35">
      <c r="A5405" s="1">
        <v>5404</v>
      </c>
      <c r="B5405" s="1">
        <v>1062</v>
      </c>
      <c r="C5405" s="1">
        <v>40</v>
      </c>
      <c r="D5405" t="str">
        <f>VLOOKUP(B5405,Заказы!A:C,3,0)</f>
        <v>2023-11-16 19:54:00</v>
      </c>
      <c r="E5405" t="str">
        <f>VLOOKUP(C5405,Меню!A:E,4,0)</f>
        <v>Десерт</v>
      </c>
      <c r="F5405">
        <f>VLOOKUP(C5405,Меню!A:E,5,0)</f>
        <v>150</v>
      </c>
    </row>
    <row r="5406" spans="1:6" ht="15.75" hidden="1" customHeight="1" x14ac:dyDescent="0.35">
      <c r="A5406" s="1">
        <v>5405</v>
      </c>
      <c r="B5406" s="1">
        <v>1062</v>
      </c>
      <c r="C5406" s="1">
        <v>57</v>
      </c>
      <c r="D5406" t="str">
        <f>VLOOKUP(B5406,Заказы!A:C,3,0)</f>
        <v>2023-11-16 19:54:00</v>
      </c>
      <c r="E5406" t="str">
        <f>VLOOKUP(C5406,Меню!A:E,4,0)</f>
        <v>Суши</v>
      </c>
      <c r="F5406">
        <f>VLOOKUP(C5406,Меню!A:E,5,0)</f>
        <v>200</v>
      </c>
    </row>
    <row r="5407" spans="1:6" ht="15.75" hidden="1" customHeight="1" x14ac:dyDescent="0.35">
      <c r="A5407" s="1">
        <v>5406</v>
      </c>
      <c r="B5407" s="1">
        <v>1062</v>
      </c>
      <c r="C5407" s="1">
        <v>5</v>
      </c>
      <c r="D5407" t="str">
        <f>VLOOKUP(B5407,Заказы!A:C,3,0)</f>
        <v>2023-11-16 19:54:00</v>
      </c>
      <c r="E5407" t="str">
        <f>VLOOKUP(C5407,Меню!A:E,4,0)</f>
        <v>Завтрак</v>
      </c>
      <c r="F5407">
        <f>VLOOKUP(C5407,Меню!A:E,5,0)</f>
        <v>220</v>
      </c>
    </row>
    <row r="5408" spans="1:6" ht="15.75" hidden="1" customHeight="1" x14ac:dyDescent="0.35">
      <c r="A5408" s="1">
        <v>5407</v>
      </c>
      <c r="B5408" s="1">
        <v>1062</v>
      </c>
      <c r="C5408" s="1">
        <v>58</v>
      </c>
      <c r="D5408" t="str">
        <f>VLOOKUP(B5408,Заказы!A:C,3,0)</f>
        <v>2023-11-16 19:54:00</v>
      </c>
      <c r="E5408" t="str">
        <f>VLOOKUP(C5408,Меню!A:E,4,0)</f>
        <v>Суши</v>
      </c>
      <c r="F5408">
        <f>VLOOKUP(C5408,Меню!A:E,5,0)</f>
        <v>200</v>
      </c>
    </row>
    <row r="5409" spans="1:6" ht="15.75" hidden="1" customHeight="1" x14ac:dyDescent="0.35">
      <c r="A5409" s="1">
        <v>5408</v>
      </c>
      <c r="B5409" s="1">
        <v>1062</v>
      </c>
      <c r="C5409" s="1">
        <v>50</v>
      </c>
      <c r="D5409" t="str">
        <f>VLOOKUP(B5409,Заказы!A:C,3,0)</f>
        <v>2023-11-16 19:54:00</v>
      </c>
      <c r="E5409" t="str">
        <f>VLOOKUP(C5409,Меню!A:E,4,0)</f>
        <v>Суши</v>
      </c>
      <c r="F5409">
        <f>VLOOKUP(C5409,Меню!A:E,5,0)</f>
        <v>200</v>
      </c>
    </row>
    <row r="5410" spans="1:6" ht="15.75" hidden="1" customHeight="1" x14ac:dyDescent="0.35">
      <c r="A5410" s="1">
        <v>5409</v>
      </c>
      <c r="B5410" s="1">
        <v>1063</v>
      </c>
      <c r="C5410" s="1">
        <v>57</v>
      </c>
      <c r="D5410" t="str">
        <f>VLOOKUP(B5410,Заказы!A:C,3,0)</f>
        <v>2023-11-16 20:25:00</v>
      </c>
      <c r="E5410" t="str">
        <f>VLOOKUP(C5410,Меню!A:E,4,0)</f>
        <v>Суши</v>
      </c>
      <c r="F5410">
        <f>VLOOKUP(C5410,Меню!A:E,5,0)</f>
        <v>200</v>
      </c>
    </row>
    <row r="5411" spans="1:6" ht="15.75" hidden="1" customHeight="1" x14ac:dyDescent="0.35">
      <c r="A5411" s="1">
        <v>5410</v>
      </c>
      <c r="B5411" s="1">
        <v>1063</v>
      </c>
      <c r="C5411" s="1">
        <v>50</v>
      </c>
      <c r="D5411" t="str">
        <f>VLOOKUP(B5411,Заказы!A:C,3,0)</f>
        <v>2023-11-16 20:25:00</v>
      </c>
      <c r="E5411" t="str">
        <f>VLOOKUP(C5411,Меню!A:E,4,0)</f>
        <v>Суши</v>
      </c>
      <c r="F5411">
        <f>VLOOKUP(C5411,Меню!A:E,5,0)</f>
        <v>200</v>
      </c>
    </row>
    <row r="5412" spans="1:6" ht="15.75" hidden="1" customHeight="1" x14ac:dyDescent="0.35">
      <c r="A5412" s="1">
        <v>5411</v>
      </c>
      <c r="B5412" s="1">
        <v>1064</v>
      </c>
      <c r="C5412" s="1">
        <v>45</v>
      </c>
      <c r="D5412" t="str">
        <f>VLOOKUP(B5412,Заказы!A:C,3,0)</f>
        <v>2023-11-17 19:13:00</v>
      </c>
      <c r="E5412" t="str">
        <f>VLOOKUP(C5412,Меню!A:E,4,0)</f>
        <v>Суши</v>
      </c>
      <c r="F5412">
        <f>VLOOKUP(C5412,Меню!A:E,5,0)</f>
        <v>200</v>
      </c>
    </row>
    <row r="5413" spans="1:6" ht="15.75" hidden="1" customHeight="1" x14ac:dyDescent="0.35">
      <c r="A5413" s="1">
        <v>5412</v>
      </c>
      <c r="B5413" s="1">
        <v>1065</v>
      </c>
      <c r="C5413" s="1">
        <v>32</v>
      </c>
      <c r="D5413" t="str">
        <f>VLOOKUP(B5413,Заказы!A:C,3,0)</f>
        <v>2023-11-17 19:33:00</v>
      </c>
      <c r="E5413" t="str">
        <f>VLOOKUP(C5413,Меню!A:E,4,0)</f>
        <v>Десерт</v>
      </c>
      <c r="F5413">
        <f>VLOOKUP(C5413,Меню!A:E,5,0)</f>
        <v>150</v>
      </c>
    </row>
    <row r="5414" spans="1:6" ht="15.75" hidden="1" customHeight="1" x14ac:dyDescent="0.35">
      <c r="A5414" s="1">
        <v>5413</v>
      </c>
      <c r="B5414" s="1">
        <v>1065</v>
      </c>
      <c r="C5414" s="1">
        <v>25</v>
      </c>
      <c r="D5414" t="str">
        <f>VLOOKUP(B5414,Заказы!A:C,3,0)</f>
        <v>2023-11-17 19:33:00</v>
      </c>
      <c r="E5414" t="str">
        <f>VLOOKUP(C5414,Меню!A:E,4,0)</f>
        <v>Салат</v>
      </c>
      <c r="F5414">
        <f>VLOOKUP(C5414,Меню!A:E,5,0)</f>
        <v>250</v>
      </c>
    </row>
    <row r="5415" spans="1:6" ht="15.75" hidden="1" customHeight="1" x14ac:dyDescent="0.35">
      <c r="A5415" s="1">
        <v>5414</v>
      </c>
      <c r="B5415" s="1">
        <v>1065</v>
      </c>
      <c r="C5415" s="1">
        <v>23</v>
      </c>
      <c r="D5415" t="str">
        <f>VLOOKUP(B5415,Заказы!A:C,3,0)</f>
        <v>2023-11-17 19:33:00</v>
      </c>
      <c r="E5415" t="str">
        <f>VLOOKUP(C5415,Меню!A:E,4,0)</f>
        <v>Салат</v>
      </c>
      <c r="F5415">
        <f>VLOOKUP(C5415,Меню!A:E,5,0)</f>
        <v>250</v>
      </c>
    </row>
    <row r="5416" spans="1:6" ht="15.75" hidden="1" customHeight="1" x14ac:dyDescent="0.35">
      <c r="A5416" s="1">
        <v>5415</v>
      </c>
      <c r="B5416" s="1">
        <v>1066</v>
      </c>
      <c r="C5416" s="1">
        <v>50</v>
      </c>
      <c r="D5416" t="str">
        <f>VLOOKUP(B5416,Заказы!A:C,3,0)</f>
        <v>2023-11-18 17:54:00</v>
      </c>
      <c r="E5416" t="str">
        <f>VLOOKUP(C5416,Меню!A:E,4,0)</f>
        <v>Суши</v>
      </c>
      <c r="F5416">
        <f>VLOOKUP(C5416,Меню!A:E,5,0)</f>
        <v>200</v>
      </c>
    </row>
    <row r="5417" spans="1:6" ht="15.75" hidden="1" customHeight="1" x14ac:dyDescent="0.35">
      <c r="A5417" s="1">
        <v>5416</v>
      </c>
      <c r="B5417" s="1">
        <v>1066</v>
      </c>
      <c r="C5417" s="1">
        <v>47</v>
      </c>
      <c r="D5417" t="str">
        <f>VLOOKUP(B5417,Заказы!A:C,3,0)</f>
        <v>2023-11-18 17:54:00</v>
      </c>
      <c r="E5417" t="str">
        <f>VLOOKUP(C5417,Меню!A:E,4,0)</f>
        <v>Суши</v>
      </c>
      <c r="F5417">
        <f>VLOOKUP(C5417,Меню!A:E,5,0)</f>
        <v>200</v>
      </c>
    </row>
    <row r="5418" spans="1:6" ht="15.75" hidden="1" customHeight="1" x14ac:dyDescent="0.35">
      <c r="A5418" s="1">
        <v>5417</v>
      </c>
      <c r="B5418" s="1">
        <v>1066</v>
      </c>
      <c r="C5418" s="1">
        <v>26</v>
      </c>
      <c r="D5418" t="str">
        <f>VLOOKUP(B5418,Заказы!A:C,3,0)</f>
        <v>2023-11-18 17:54:00</v>
      </c>
      <c r="E5418" t="str">
        <f>VLOOKUP(C5418,Меню!A:E,4,0)</f>
        <v>Салат</v>
      </c>
      <c r="F5418">
        <f>VLOOKUP(C5418,Меню!A:E,5,0)</f>
        <v>250</v>
      </c>
    </row>
    <row r="5419" spans="1:6" ht="15.75" hidden="1" customHeight="1" x14ac:dyDescent="0.35">
      <c r="A5419" s="1">
        <v>5418</v>
      </c>
      <c r="B5419" s="1">
        <v>1066</v>
      </c>
      <c r="C5419" s="1">
        <v>60</v>
      </c>
      <c r="D5419" t="str">
        <f>VLOOKUP(B5419,Заказы!A:C,3,0)</f>
        <v>2023-11-18 17:54:00</v>
      </c>
      <c r="E5419" t="str">
        <f>VLOOKUP(C5419,Меню!A:E,4,0)</f>
        <v>Суши</v>
      </c>
      <c r="F5419">
        <f>VLOOKUP(C5419,Меню!A:E,5,0)</f>
        <v>250</v>
      </c>
    </row>
    <row r="5420" spans="1:6" ht="15.75" hidden="1" customHeight="1" x14ac:dyDescent="0.35">
      <c r="A5420" s="1">
        <v>5419</v>
      </c>
      <c r="B5420" s="1">
        <v>1066</v>
      </c>
      <c r="C5420" s="1">
        <v>20</v>
      </c>
      <c r="D5420" t="str">
        <f>VLOOKUP(B5420,Заказы!A:C,3,0)</f>
        <v>2023-11-18 17:54:00</v>
      </c>
      <c r="E5420" t="str">
        <f>VLOOKUP(C5420,Меню!A:E,4,0)</f>
        <v>Первое</v>
      </c>
      <c r="F5420">
        <f>VLOOKUP(C5420,Меню!A:E,5,0)</f>
        <v>250</v>
      </c>
    </row>
    <row r="5421" spans="1:6" ht="15.75" hidden="1" customHeight="1" x14ac:dyDescent="0.35">
      <c r="A5421" s="1">
        <v>5420</v>
      </c>
      <c r="B5421" s="1">
        <v>1066</v>
      </c>
      <c r="C5421" s="1">
        <v>40</v>
      </c>
      <c r="D5421" t="str">
        <f>VLOOKUP(B5421,Заказы!A:C,3,0)</f>
        <v>2023-11-18 17:54:00</v>
      </c>
      <c r="E5421" t="str">
        <f>VLOOKUP(C5421,Меню!A:E,4,0)</f>
        <v>Десерт</v>
      </c>
      <c r="F5421">
        <f>VLOOKUP(C5421,Меню!A:E,5,0)</f>
        <v>150</v>
      </c>
    </row>
    <row r="5422" spans="1:6" ht="15.75" hidden="1" customHeight="1" x14ac:dyDescent="0.35">
      <c r="A5422" s="1">
        <v>5421</v>
      </c>
      <c r="B5422" s="1">
        <v>1067</v>
      </c>
      <c r="C5422" s="1">
        <v>36</v>
      </c>
      <c r="D5422" t="str">
        <f>VLOOKUP(B5422,Заказы!A:C,3,0)</f>
        <v>2023-11-18 19:27:00</v>
      </c>
      <c r="E5422" t="str">
        <f>VLOOKUP(C5422,Меню!A:E,4,0)</f>
        <v>Десерт</v>
      </c>
      <c r="F5422">
        <f>VLOOKUP(C5422,Меню!A:E,5,0)</f>
        <v>150</v>
      </c>
    </row>
    <row r="5423" spans="1:6" ht="15.75" hidden="1" customHeight="1" x14ac:dyDescent="0.35">
      <c r="A5423" s="1">
        <v>5422</v>
      </c>
      <c r="B5423" s="1">
        <v>1067</v>
      </c>
      <c r="C5423" s="1">
        <v>53</v>
      </c>
      <c r="D5423" t="str">
        <f>VLOOKUP(B5423,Заказы!A:C,3,0)</f>
        <v>2023-11-18 19:27:00</v>
      </c>
      <c r="E5423" t="str">
        <f>VLOOKUP(C5423,Меню!A:E,4,0)</f>
        <v>Суши</v>
      </c>
      <c r="F5423">
        <f>VLOOKUP(C5423,Меню!A:E,5,0)</f>
        <v>100</v>
      </c>
    </row>
    <row r="5424" spans="1:6" ht="15.75" hidden="1" customHeight="1" x14ac:dyDescent="0.35">
      <c r="A5424" s="1">
        <v>5423</v>
      </c>
      <c r="B5424" s="1">
        <v>1067</v>
      </c>
      <c r="C5424" s="1">
        <v>29</v>
      </c>
      <c r="D5424" t="str">
        <f>VLOOKUP(B5424,Заказы!A:C,3,0)</f>
        <v>2023-11-18 19:27:00</v>
      </c>
      <c r="E5424" t="str">
        <f>VLOOKUP(C5424,Меню!A:E,4,0)</f>
        <v>Салат</v>
      </c>
      <c r="F5424">
        <f>VLOOKUP(C5424,Меню!A:E,5,0)</f>
        <v>250</v>
      </c>
    </row>
    <row r="5425" spans="1:6" ht="15.75" hidden="1" customHeight="1" x14ac:dyDescent="0.35">
      <c r="A5425" s="1">
        <v>5424</v>
      </c>
      <c r="B5425" s="1">
        <v>1067</v>
      </c>
      <c r="C5425" s="1">
        <v>44</v>
      </c>
      <c r="D5425" t="str">
        <f>VLOOKUP(B5425,Заказы!A:C,3,0)</f>
        <v>2023-11-18 19:27:00</v>
      </c>
      <c r="E5425" t="str">
        <f>VLOOKUP(C5425,Меню!A:E,4,0)</f>
        <v>Суши</v>
      </c>
      <c r="F5425">
        <f>VLOOKUP(C5425,Меню!A:E,5,0)</f>
        <v>250</v>
      </c>
    </row>
    <row r="5426" spans="1:6" ht="15.75" hidden="1" customHeight="1" x14ac:dyDescent="0.35">
      <c r="A5426" s="1">
        <v>5425</v>
      </c>
      <c r="B5426" s="1">
        <v>1068</v>
      </c>
      <c r="C5426" s="1">
        <v>37</v>
      </c>
      <c r="D5426" t="str">
        <f>VLOOKUP(B5426,Заказы!A:C,3,0)</f>
        <v>2023-11-18 21:04:00</v>
      </c>
      <c r="E5426" t="str">
        <f>VLOOKUP(C5426,Меню!A:E,4,0)</f>
        <v>Десерт</v>
      </c>
      <c r="F5426">
        <f>VLOOKUP(C5426,Меню!A:E,5,0)</f>
        <v>100</v>
      </c>
    </row>
    <row r="5427" spans="1:6" ht="15.75" hidden="1" customHeight="1" x14ac:dyDescent="0.35">
      <c r="A5427" s="1">
        <v>5426</v>
      </c>
      <c r="B5427" s="1">
        <v>1068</v>
      </c>
      <c r="C5427" s="1">
        <v>34</v>
      </c>
      <c r="D5427" t="str">
        <f>VLOOKUP(B5427,Заказы!A:C,3,0)</f>
        <v>2023-11-18 21:04:00</v>
      </c>
      <c r="E5427" t="str">
        <f>VLOOKUP(C5427,Меню!A:E,4,0)</f>
        <v>Десерт</v>
      </c>
      <c r="F5427">
        <f>VLOOKUP(C5427,Меню!A:E,5,0)</f>
        <v>150</v>
      </c>
    </row>
    <row r="5428" spans="1:6" ht="15.75" hidden="1" customHeight="1" x14ac:dyDescent="0.35">
      <c r="A5428" s="1">
        <v>5427</v>
      </c>
      <c r="B5428" s="1">
        <v>1068</v>
      </c>
      <c r="C5428" s="1">
        <v>35</v>
      </c>
      <c r="D5428" t="str">
        <f>VLOOKUP(B5428,Заказы!A:C,3,0)</f>
        <v>2023-11-18 21:04:00</v>
      </c>
      <c r="E5428" t="str">
        <f>VLOOKUP(C5428,Меню!A:E,4,0)</f>
        <v>Десерт</v>
      </c>
      <c r="F5428">
        <f>VLOOKUP(C5428,Меню!A:E,5,0)</f>
        <v>150</v>
      </c>
    </row>
    <row r="5429" spans="1:6" ht="15.75" hidden="1" customHeight="1" x14ac:dyDescent="0.35">
      <c r="A5429" s="1">
        <v>5428</v>
      </c>
      <c r="B5429" s="1">
        <v>1068</v>
      </c>
      <c r="C5429" s="1">
        <v>37</v>
      </c>
      <c r="D5429" t="str">
        <f>VLOOKUP(B5429,Заказы!A:C,3,0)</f>
        <v>2023-11-18 21:04:00</v>
      </c>
      <c r="E5429" t="str">
        <f>VLOOKUP(C5429,Меню!A:E,4,0)</f>
        <v>Десерт</v>
      </c>
      <c r="F5429">
        <f>VLOOKUP(C5429,Меню!A:E,5,0)</f>
        <v>100</v>
      </c>
    </row>
    <row r="5430" spans="1:6" ht="15.75" hidden="1" customHeight="1" x14ac:dyDescent="0.35">
      <c r="A5430" s="1">
        <v>5429</v>
      </c>
      <c r="B5430" s="1">
        <v>1068</v>
      </c>
      <c r="C5430" s="1">
        <v>20</v>
      </c>
      <c r="D5430" t="str">
        <f>VLOOKUP(B5430,Заказы!A:C,3,0)</f>
        <v>2023-11-18 21:04:00</v>
      </c>
      <c r="E5430" t="str">
        <f>VLOOKUP(C5430,Меню!A:E,4,0)</f>
        <v>Первое</v>
      </c>
      <c r="F5430">
        <f>VLOOKUP(C5430,Меню!A:E,5,0)</f>
        <v>250</v>
      </c>
    </row>
    <row r="5431" spans="1:6" ht="15.75" hidden="1" customHeight="1" x14ac:dyDescent="0.35">
      <c r="A5431" s="1">
        <v>5430</v>
      </c>
      <c r="B5431" s="1">
        <v>1068</v>
      </c>
      <c r="C5431" s="1">
        <v>1</v>
      </c>
      <c r="D5431" t="str">
        <f>VLOOKUP(B5431,Заказы!A:C,3,0)</f>
        <v>2023-11-18 21:04:00</v>
      </c>
      <c r="E5431" t="str">
        <f>VLOOKUP(C5431,Меню!A:E,4,0)</f>
        <v>Завтрак</v>
      </c>
      <c r="F5431">
        <f>VLOOKUP(C5431,Меню!A:E,5,0)</f>
        <v>200</v>
      </c>
    </row>
    <row r="5432" spans="1:6" ht="15.75" hidden="1" customHeight="1" x14ac:dyDescent="0.35">
      <c r="A5432" s="1">
        <v>5431</v>
      </c>
      <c r="B5432" s="1">
        <v>1068</v>
      </c>
      <c r="C5432" s="1">
        <v>35</v>
      </c>
      <c r="D5432" t="str">
        <f>VLOOKUP(B5432,Заказы!A:C,3,0)</f>
        <v>2023-11-18 21:04:00</v>
      </c>
      <c r="E5432" t="str">
        <f>VLOOKUP(C5432,Меню!A:E,4,0)</f>
        <v>Десерт</v>
      </c>
      <c r="F5432">
        <f>VLOOKUP(C5432,Меню!A:E,5,0)</f>
        <v>150</v>
      </c>
    </row>
    <row r="5433" spans="1:6" ht="15.75" hidden="1" customHeight="1" x14ac:dyDescent="0.35">
      <c r="A5433" s="1">
        <v>5432</v>
      </c>
      <c r="B5433" s="1">
        <v>1069</v>
      </c>
      <c r="C5433" s="1">
        <v>34</v>
      </c>
      <c r="D5433" t="str">
        <f>VLOOKUP(B5433,Заказы!A:C,3,0)</f>
        <v>2023-11-18 22:34:00</v>
      </c>
      <c r="E5433" t="str">
        <f>VLOOKUP(C5433,Меню!A:E,4,0)</f>
        <v>Десерт</v>
      </c>
      <c r="F5433">
        <f>VLOOKUP(C5433,Меню!A:E,5,0)</f>
        <v>150</v>
      </c>
    </row>
    <row r="5434" spans="1:6" ht="15.75" hidden="1" customHeight="1" x14ac:dyDescent="0.35">
      <c r="A5434" s="1">
        <v>5433</v>
      </c>
      <c r="B5434" s="1">
        <v>1069</v>
      </c>
      <c r="C5434" s="1">
        <v>60</v>
      </c>
      <c r="D5434" t="str">
        <f>VLOOKUP(B5434,Заказы!A:C,3,0)</f>
        <v>2023-11-18 22:34:00</v>
      </c>
      <c r="E5434" t="str">
        <f>VLOOKUP(C5434,Меню!A:E,4,0)</f>
        <v>Суши</v>
      </c>
      <c r="F5434">
        <f>VLOOKUP(C5434,Меню!A:E,5,0)</f>
        <v>250</v>
      </c>
    </row>
    <row r="5435" spans="1:6" ht="15.75" hidden="1" customHeight="1" x14ac:dyDescent="0.35">
      <c r="A5435" s="1">
        <v>5434</v>
      </c>
      <c r="B5435" s="1">
        <v>1069</v>
      </c>
      <c r="C5435" s="1">
        <v>46</v>
      </c>
      <c r="D5435" t="str">
        <f>VLOOKUP(B5435,Заказы!A:C,3,0)</f>
        <v>2023-11-18 22:34:00</v>
      </c>
      <c r="E5435" t="str">
        <f>VLOOKUP(C5435,Меню!A:E,4,0)</f>
        <v>Суши</v>
      </c>
      <c r="F5435">
        <f>VLOOKUP(C5435,Меню!A:E,5,0)</f>
        <v>200</v>
      </c>
    </row>
    <row r="5436" spans="1:6" ht="15.75" hidden="1" customHeight="1" x14ac:dyDescent="0.35">
      <c r="A5436" s="1">
        <v>5435</v>
      </c>
      <c r="B5436" s="1">
        <v>1069</v>
      </c>
      <c r="C5436" s="1">
        <v>13</v>
      </c>
      <c r="D5436" t="str">
        <f>VLOOKUP(B5436,Заказы!A:C,3,0)</f>
        <v>2023-11-18 22:34:00</v>
      </c>
      <c r="E5436" t="str">
        <f>VLOOKUP(C5436,Меню!A:E,4,0)</f>
        <v>Первое</v>
      </c>
      <c r="F5436">
        <f>VLOOKUP(C5436,Меню!A:E,5,0)</f>
        <v>280</v>
      </c>
    </row>
    <row r="5437" spans="1:6" ht="15.75" hidden="1" customHeight="1" x14ac:dyDescent="0.35">
      <c r="A5437" s="1">
        <v>5436</v>
      </c>
      <c r="B5437" s="1">
        <v>1069</v>
      </c>
      <c r="C5437" s="1">
        <v>23</v>
      </c>
      <c r="D5437" t="str">
        <f>VLOOKUP(B5437,Заказы!A:C,3,0)</f>
        <v>2023-11-18 22:34:00</v>
      </c>
      <c r="E5437" t="str">
        <f>VLOOKUP(C5437,Меню!A:E,4,0)</f>
        <v>Салат</v>
      </c>
      <c r="F5437">
        <f>VLOOKUP(C5437,Меню!A:E,5,0)</f>
        <v>250</v>
      </c>
    </row>
    <row r="5438" spans="1:6" ht="15.75" hidden="1" customHeight="1" x14ac:dyDescent="0.35">
      <c r="A5438" s="1">
        <v>5437</v>
      </c>
      <c r="B5438" s="1">
        <v>1069</v>
      </c>
      <c r="C5438" s="1">
        <v>19</v>
      </c>
      <c r="D5438" t="str">
        <f>VLOOKUP(B5438,Заказы!A:C,3,0)</f>
        <v>2023-11-18 22:34:00</v>
      </c>
      <c r="E5438" t="str">
        <f>VLOOKUP(C5438,Меню!A:E,4,0)</f>
        <v>Первое</v>
      </c>
      <c r="F5438">
        <f>VLOOKUP(C5438,Меню!A:E,5,0)</f>
        <v>300</v>
      </c>
    </row>
    <row r="5439" spans="1:6" ht="15.75" hidden="1" customHeight="1" x14ac:dyDescent="0.35">
      <c r="A5439" s="1">
        <v>5438</v>
      </c>
      <c r="B5439" s="1">
        <v>1070</v>
      </c>
      <c r="C5439" s="1">
        <v>33</v>
      </c>
      <c r="D5439" t="str">
        <f>VLOOKUP(B5439,Заказы!A:C,3,0)</f>
        <v>2023-11-19 16:55:00</v>
      </c>
      <c r="E5439" t="str">
        <f>VLOOKUP(C5439,Меню!A:E,4,0)</f>
        <v>Десерт</v>
      </c>
      <c r="F5439">
        <f>VLOOKUP(C5439,Меню!A:E,5,0)</f>
        <v>150</v>
      </c>
    </row>
    <row r="5440" spans="1:6" ht="15.75" hidden="1" customHeight="1" x14ac:dyDescent="0.35">
      <c r="A5440" s="1">
        <v>5439</v>
      </c>
      <c r="B5440" s="1">
        <v>1070</v>
      </c>
      <c r="C5440" s="1">
        <v>26</v>
      </c>
      <c r="D5440" t="str">
        <f>VLOOKUP(B5440,Заказы!A:C,3,0)</f>
        <v>2023-11-19 16:55:00</v>
      </c>
      <c r="E5440" t="str">
        <f>VLOOKUP(C5440,Меню!A:E,4,0)</f>
        <v>Салат</v>
      </c>
      <c r="F5440">
        <f>VLOOKUP(C5440,Меню!A:E,5,0)</f>
        <v>250</v>
      </c>
    </row>
    <row r="5441" spans="1:6" ht="15.75" hidden="1" customHeight="1" x14ac:dyDescent="0.35">
      <c r="A5441" s="1">
        <v>5440</v>
      </c>
      <c r="B5441" s="1">
        <v>1070</v>
      </c>
      <c r="C5441" s="1">
        <v>24</v>
      </c>
      <c r="D5441" t="str">
        <f>VLOOKUP(B5441,Заказы!A:C,3,0)</f>
        <v>2023-11-19 16:55:00</v>
      </c>
      <c r="E5441" t="str">
        <f>VLOOKUP(C5441,Меню!A:E,4,0)</f>
        <v>Салат</v>
      </c>
      <c r="F5441">
        <f>VLOOKUP(C5441,Меню!A:E,5,0)</f>
        <v>250</v>
      </c>
    </row>
    <row r="5442" spans="1:6" ht="15.75" hidden="1" customHeight="1" x14ac:dyDescent="0.35">
      <c r="A5442" s="1">
        <v>5441</v>
      </c>
      <c r="B5442" s="1">
        <v>1070</v>
      </c>
      <c r="C5442" s="1">
        <v>20</v>
      </c>
      <c r="D5442" t="str">
        <f>VLOOKUP(B5442,Заказы!A:C,3,0)</f>
        <v>2023-11-19 16:55:00</v>
      </c>
      <c r="E5442" t="str">
        <f>VLOOKUP(C5442,Меню!A:E,4,0)</f>
        <v>Первое</v>
      </c>
      <c r="F5442">
        <f>VLOOKUP(C5442,Меню!A:E,5,0)</f>
        <v>250</v>
      </c>
    </row>
    <row r="5443" spans="1:6" ht="15.75" hidden="1" customHeight="1" x14ac:dyDescent="0.35">
      <c r="A5443" s="1">
        <v>5442</v>
      </c>
      <c r="B5443" s="1">
        <v>1070</v>
      </c>
      <c r="C5443" s="1">
        <v>43</v>
      </c>
      <c r="D5443" t="str">
        <f>VLOOKUP(B5443,Заказы!A:C,3,0)</f>
        <v>2023-11-19 16:55:00</v>
      </c>
      <c r="E5443" t="str">
        <f>VLOOKUP(C5443,Меню!A:E,4,0)</f>
        <v>Суши</v>
      </c>
      <c r="F5443">
        <f>VLOOKUP(C5443,Меню!A:E,5,0)</f>
        <v>250</v>
      </c>
    </row>
    <row r="5444" spans="1:6" ht="15.75" hidden="1" customHeight="1" x14ac:dyDescent="0.35">
      <c r="A5444" s="1">
        <v>5443</v>
      </c>
      <c r="B5444" s="1">
        <v>1071</v>
      </c>
      <c r="C5444" s="1">
        <v>46</v>
      </c>
      <c r="D5444" t="str">
        <f>VLOOKUP(B5444,Заказы!A:C,3,0)</f>
        <v>2023-11-20 15:54:00</v>
      </c>
      <c r="E5444" t="str">
        <f>VLOOKUP(C5444,Меню!A:E,4,0)</f>
        <v>Суши</v>
      </c>
      <c r="F5444">
        <f>VLOOKUP(C5444,Меню!A:E,5,0)</f>
        <v>200</v>
      </c>
    </row>
    <row r="5445" spans="1:6" ht="15.75" hidden="1" customHeight="1" x14ac:dyDescent="0.35">
      <c r="A5445" s="1">
        <v>5444</v>
      </c>
      <c r="B5445" s="1">
        <v>1071</v>
      </c>
      <c r="C5445" s="1">
        <v>8</v>
      </c>
      <c r="D5445" t="str">
        <f>VLOOKUP(B5445,Заказы!A:C,3,0)</f>
        <v>2023-11-20 15:54:00</v>
      </c>
      <c r="E5445" t="str">
        <f>VLOOKUP(C5445,Меню!A:E,4,0)</f>
        <v>Завтрак</v>
      </c>
      <c r="F5445">
        <f>VLOOKUP(C5445,Меню!A:E,5,0)</f>
        <v>180</v>
      </c>
    </row>
    <row r="5446" spans="1:6" ht="15.75" hidden="1" customHeight="1" x14ac:dyDescent="0.35">
      <c r="A5446" s="1">
        <v>5445</v>
      </c>
      <c r="B5446" s="1">
        <v>1071</v>
      </c>
      <c r="C5446" s="1">
        <v>60</v>
      </c>
      <c r="D5446" t="str">
        <f>VLOOKUP(B5446,Заказы!A:C,3,0)</f>
        <v>2023-11-20 15:54:00</v>
      </c>
      <c r="E5446" t="str">
        <f>VLOOKUP(C5446,Меню!A:E,4,0)</f>
        <v>Суши</v>
      </c>
      <c r="F5446">
        <f>VLOOKUP(C5446,Меню!A:E,5,0)</f>
        <v>250</v>
      </c>
    </row>
    <row r="5447" spans="1:6" ht="15.75" hidden="1" customHeight="1" x14ac:dyDescent="0.35">
      <c r="A5447" s="1">
        <v>5446</v>
      </c>
      <c r="B5447" s="1">
        <v>1071</v>
      </c>
      <c r="C5447" s="1">
        <v>17</v>
      </c>
      <c r="D5447" t="str">
        <f>VLOOKUP(B5447,Заказы!A:C,3,0)</f>
        <v>2023-11-20 15:54:00</v>
      </c>
      <c r="E5447" t="str">
        <f>VLOOKUP(C5447,Меню!A:E,4,0)</f>
        <v>Первое</v>
      </c>
      <c r="F5447">
        <f>VLOOKUP(C5447,Меню!A:E,5,0)</f>
        <v>250</v>
      </c>
    </row>
    <row r="5448" spans="1:6" ht="15.75" hidden="1" customHeight="1" x14ac:dyDescent="0.35">
      <c r="A5448" s="1">
        <v>5447</v>
      </c>
      <c r="B5448" s="1">
        <v>1071</v>
      </c>
      <c r="C5448" s="1">
        <v>17</v>
      </c>
      <c r="D5448" t="str">
        <f>VLOOKUP(B5448,Заказы!A:C,3,0)</f>
        <v>2023-11-20 15:54:00</v>
      </c>
      <c r="E5448" t="str">
        <f>VLOOKUP(C5448,Меню!A:E,4,0)</f>
        <v>Первое</v>
      </c>
      <c r="F5448">
        <f>VLOOKUP(C5448,Меню!A:E,5,0)</f>
        <v>250</v>
      </c>
    </row>
    <row r="5449" spans="1:6" ht="15.75" hidden="1" customHeight="1" x14ac:dyDescent="0.35">
      <c r="A5449" s="1">
        <v>5448</v>
      </c>
      <c r="B5449" s="1">
        <v>1071</v>
      </c>
      <c r="C5449" s="1">
        <v>18</v>
      </c>
      <c r="D5449" t="str">
        <f>VLOOKUP(B5449,Заказы!A:C,3,0)</f>
        <v>2023-11-20 15:54:00</v>
      </c>
      <c r="E5449" t="str">
        <f>VLOOKUP(C5449,Меню!A:E,4,0)</f>
        <v>Первое</v>
      </c>
      <c r="F5449">
        <f>VLOOKUP(C5449,Меню!A:E,5,0)</f>
        <v>300</v>
      </c>
    </row>
    <row r="5450" spans="1:6" ht="15.75" hidden="1" customHeight="1" x14ac:dyDescent="0.35">
      <c r="A5450" s="1">
        <v>5449</v>
      </c>
      <c r="B5450" s="1">
        <v>1071</v>
      </c>
      <c r="C5450" s="1">
        <v>37</v>
      </c>
      <c r="D5450" t="str">
        <f>VLOOKUP(B5450,Заказы!A:C,3,0)</f>
        <v>2023-11-20 15:54:00</v>
      </c>
      <c r="E5450" t="str">
        <f>VLOOKUP(C5450,Меню!A:E,4,0)</f>
        <v>Десерт</v>
      </c>
      <c r="F5450">
        <f>VLOOKUP(C5450,Меню!A:E,5,0)</f>
        <v>100</v>
      </c>
    </row>
    <row r="5451" spans="1:6" ht="15.75" hidden="1" customHeight="1" x14ac:dyDescent="0.35">
      <c r="A5451" s="1">
        <v>5450</v>
      </c>
      <c r="B5451" s="1">
        <v>1071</v>
      </c>
      <c r="C5451" s="1">
        <v>1</v>
      </c>
      <c r="D5451" t="str">
        <f>VLOOKUP(B5451,Заказы!A:C,3,0)</f>
        <v>2023-11-20 15:54:00</v>
      </c>
      <c r="E5451" t="str">
        <f>VLOOKUP(C5451,Меню!A:E,4,0)</f>
        <v>Завтрак</v>
      </c>
      <c r="F5451">
        <f>VLOOKUP(C5451,Меню!A:E,5,0)</f>
        <v>200</v>
      </c>
    </row>
    <row r="5452" spans="1:6" ht="15.75" hidden="1" customHeight="1" x14ac:dyDescent="0.35">
      <c r="A5452" s="1">
        <v>5451</v>
      </c>
      <c r="B5452" s="1">
        <v>1071</v>
      </c>
      <c r="C5452" s="1">
        <v>27</v>
      </c>
      <c r="D5452" t="str">
        <f>VLOOKUP(B5452,Заказы!A:C,3,0)</f>
        <v>2023-11-20 15:54:00</v>
      </c>
      <c r="E5452" t="str">
        <f>VLOOKUP(C5452,Меню!A:E,4,0)</f>
        <v>Салат</v>
      </c>
      <c r="F5452">
        <f>VLOOKUP(C5452,Меню!A:E,5,0)</f>
        <v>250</v>
      </c>
    </row>
    <row r="5453" spans="1:6" ht="15.75" hidden="1" customHeight="1" x14ac:dyDescent="0.35">
      <c r="A5453" s="1">
        <v>5452</v>
      </c>
      <c r="B5453" s="1">
        <v>1072</v>
      </c>
      <c r="C5453" s="1">
        <v>43</v>
      </c>
      <c r="D5453" t="str">
        <f>VLOOKUP(B5453,Заказы!A:C,3,0)</f>
        <v>2023-11-20 16:27:00</v>
      </c>
      <c r="E5453" t="str">
        <f>VLOOKUP(C5453,Меню!A:E,4,0)</f>
        <v>Суши</v>
      </c>
      <c r="F5453">
        <f>VLOOKUP(C5453,Меню!A:E,5,0)</f>
        <v>250</v>
      </c>
    </row>
    <row r="5454" spans="1:6" ht="15.75" hidden="1" customHeight="1" x14ac:dyDescent="0.35">
      <c r="A5454" s="1">
        <v>5453</v>
      </c>
      <c r="B5454" s="1">
        <v>1072</v>
      </c>
      <c r="C5454" s="1">
        <v>19</v>
      </c>
      <c r="D5454" t="str">
        <f>VLOOKUP(B5454,Заказы!A:C,3,0)</f>
        <v>2023-11-20 16:27:00</v>
      </c>
      <c r="E5454" t="str">
        <f>VLOOKUP(C5454,Меню!A:E,4,0)</f>
        <v>Первое</v>
      </c>
      <c r="F5454">
        <f>VLOOKUP(C5454,Меню!A:E,5,0)</f>
        <v>300</v>
      </c>
    </row>
    <row r="5455" spans="1:6" ht="15.75" hidden="1" customHeight="1" x14ac:dyDescent="0.35">
      <c r="A5455" s="1">
        <v>5454</v>
      </c>
      <c r="B5455" s="1">
        <v>1073</v>
      </c>
      <c r="C5455" s="1">
        <v>45</v>
      </c>
      <c r="D5455" t="str">
        <f>VLOOKUP(B5455,Заказы!A:C,3,0)</f>
        <v>2023-11-20 18:40:00</v>
      </c>
      <c r="E5455" t="str">
        <f>VLOOKUP(C5455,Меню!A:E,4,0)</f>
        <v>Суши</v>
      </c>
      <c r="F5455">
        <f>VLOOKUP(C5455,Меню!A:E,5,0)</f>
        <v>200</v>
      </c>
    </row>
    <row r="5456" spans="1:6" ht="15.75" hidden="1" customHeight="1" x14ac:dyDescent="0.35">
      <c r="A5456" s="1">
        <v>5455</v>
      </c>
      <c r="B5456" s="1">
        <v>1073</v>
      </c>
      <c r="C5456" s="1">
        <v>2</v>
      </c>
      <c r="D5456" t="str">
        <f>VLOOKUP(B5456,Заказы!A:C,3,0)</f>
        <v>2023-11-20 18:40:00</v>
      </c>
      <c r="E5456" t="str">
        <f>VLOOKUP(C5456,Меню!A:E,4,0)</f>
        <v>Завтрак</v>
      </c>
      <c r="F5456">
        <f>VLOOKUP(C5456,Меню!A:E,5,0)</f>
        <v>250</v>
      </c>
    </row>
    <row r="5457" spans="1:6" ht="15.75" hidden="1" customHeight="1" x14ac:dyDescent="0.35">
      <c r="A5457" s="1">
        <v>5456</v>
      </c>
      <c r="B5457" s="1">
        <v>1073</v>
      </c>
      <c r="C5457" s="1">
        <v>33</v>
      </c>
      <c r="D5457" t="str">
        <f>VLOOKUP(B5457,Заказы!A:C,3,0)</f>
        <v>2023-11-20 18:40:00</v>
      </c>
      <c r="E5457" t="str">
        <f>VLOOKUP(C5457,Меню!A:E,4,0)</f>
        <v>Десерт</v>
      </c>
      <c r="F5457">
        <f>VLOOKUP(C5457,Меню!A:E,5,0)</f>
        <v>150</v>
      </c>
    </row>
    <row r="5458" spans="1:6" ht="15.75" hidden="1" customHeight="1" x14ac:dyDescent="0.35">
      <c r="A5458" s="1">
        <v>5457</v>
      </c>
      <c r="B5458" s="1">
        <v>1073</v>
      </c>
      <c r="C5458" s="1">
        <v>26</v>
      </c>
      <c r="D5458" t="str">
        <f>VLOOKUP(B5458,Заказы!A:C,3,0)</f>
        <v>2023-11-20 18:40:00</v>
      </c>
      <c r="E5458" t="str">
        <f>VLOOKUP(C5458,Меню!A:E,4,0)</f>
        <v>Салат</v>
      </c>
      <c r="F5458">
        <f>VLOOKUP(C5458,Меню!A:E,5,0)</f>
        <v>250</v>
      </c>
    </row>
    <row r="5459" spans="1:6" ht="15.75" hidden="1" customHeight="1" x14ac:dyDescent="0.35">
      <c r="A5459" s="1">
        <v>5458</v>
      </c>
      <c r="B5459" s="1">
        <v>1073</v>
      </c>
      <c r="C5459" s="1">
        <v>51</v>
      </c>
      <c r="D5459" t="str">
        <f>VLOOKUP(B5459,Заказы!A:C,3,0)</f>
        <v>2023-11-20 18:40:00</v>
      </c>
      <c r="E5459" t="str">
        <f>VLOOKUP(C5459,Меню!A:E,4,0)</f>
        <v>Суши</v>
      </c>
      <c r="F5459">
        <f>VLOOKUP(C5459,Меню!A:E,5,0)</f>
        <v>100</v>
      </c>
    </row>
    <row r="5460" spans="1:6" ht="15.75" hidden="1" customHeight="1" x14ac:dyDescent="0.35">
      <c r="A5460" s="1">
        <v>5459</v>
      </c>
      <c r="B5460" s="1">
        <v>1074</v>
      </c>
      <c r="C5460" s="1">
        <v>15</v>
      </c>
      <c r="D5460" t="str">
        <f>VLOOKUP(B5460,Заказы!A:C,3,0)</f>
        <v>2023-11-20 19:21:00</v>
      </c>
      <c r="E5460" t="str">
        <f>VLOOKUP(C5460,Меню!A:E,4,0)</f>
        <v>Первое</v>
      </c>
      <c r="F5460">
        <f>VLOOKUP(C5460,Меню!A:E,5,0)</f>
        <v>250</v>
      </c>
    </row>
    <row r="5461" spans="1:6" ht="15.75" hidden="1" customHeight="1" x14ac:dyDescent="0.35">
      <c r="A5461" s="1">
        <v>5460</v>
      </c>
      <c r="B5461" s="1">
        <v>1074</v>
      </c>
      <c r="C5461" s="1">
        <v>48</v>
      </c>
      <c r="D5461" t="str">
        <f>VLOOKUP(B5461,Заказы!A:C,3,0)</f>
        <v>2023-11-20 19:21:00</v>
      </c>
      <c r="E5461" t="str">
        <f>VLOOKUP(C5461,Меню!A:E,4,0)</f>
        <v>Суши</v>
      </c>
      <c r="F5461">
        <f>VLOOKUP(C5461,Меню!A:E,5,0)</f>
        <v>200</v>
      </c>
    </row>
    <row r="5462" spans="1:6" ht="15.75" hidden="1" customHeight="1" x14ac:dyDescent="0.35">
      <c r="A5462" s="1">
        <v>5461</v>
      </c>
      <c r="B5462" s="1">
        <v>1075</v>
      </c>
      <c r="C5462" s="1">
        <v>6</v>
      </c>
      <c r="D5462" t="str">
        <f>VLOOKUP(B5462,Заказы!A:C,3,0)</f>
        <v>2023-11-21 15:21:00</v>
      </c>
      <c r="E5462" t="str">
        <f>VLOOKUP(C5462,Меню!A:E,4,0)</f>
        <v>Завтрак</v>
      </c>
      <c r="F5462">
        <f>VLOOKUP(C5462,Меню!A:E,5,0)</f>
        <v>300</v>
      </c>
    </row>
    <row r="5463" spans="1:6" ht="15.75" hidden="1" customHeight="1" x14ac:dyDescent="0.35">
      <c r="A5463" s="1">
        <v>5462</v>
      </c>
      <c r="B5463" s="1">
        <v>1075</v>
      </c>
      <c r="C5463" s="1">
        <v>38</v>
      </c>
      <c r="D5463" t="str">
        <f>VLOOKUP(B5463,Заказы!A:C,3,0)</f>
        <v>2023-11-21 15:21:00</v>
      </c>
      <c r="E5463" t="str">
        <f>VLOOKUP(C5463,Меню!A:E,4,0)</f>
        <v>Десерт</v>
      </c>
      <c r="F5463">
        <f>VLOOKUP(C5463,Меню!A:E,5,0)</f>
        <v>150</v>
      </c>
    </row>
    <row r="5464" spans="1:6" ht="15.75" hidden="1" customHeight="1" x14ac:dyDescent="0.35">
      <c r="A5464" s="1">
        <v>5463</v>
      </c>
      <c r="B5464" s="1">
        <v>1075</v>
      </c>
      <c r="C5464" s="1">
        <v>35</v>
      </c>
      <c r="D5464" t="str">
        <f>VLOOKUP(B5464,Заказы!A:C,3,0)</f>
        <v>2023-11-21 15:21:00</v>
      </c>
      <c r="E5464" t="str">
        <f>VLOOKUP(C5464,Меню!A:E,4,0)</f>
        <v>Десерт</v>
      </c>
      <c r="F5464">
        <f>VLOOKUP(C5464,Меню!A:E,5,0)</f>
        <v>150</v>
      </c>
    </row>
    <row r="5465" spans="1:6" ht="15.75" hidden="1" customHeight="1" x14ac:dyDescent="0.35">
      <c r="A5465" s="1">
        <v>5464</v>
      </c>
      <c r="B5465" s="1">
        <v>1075</v>
      </c>
      <c r="C5465" s="1">
        <v>43</v>
      </c>
      <c r="D5465" t="str">
        <f>VLOOKUP(B5465,Заказы!A:C,3,0)</f>
        <v>2023-11-21 15:21:00</v>
      </c>
      <c r="E5465" t="str">
        <f>VLOOKUP(C5465,Меню!A:E,4,0)</f>
        <v>Суши</v>
      </c>
      <c r="F5465">
        <f>VLOOKUP(C5465,Меню!A:E,5,0)</f>
        <v>250</v>
      </c>
    </row>
    <row r="5466" spans="1:6" ht="15.75" hidden="1" customHeight="1" x14ac:dyDescent="0.35">
      <c r="A5466" s="1">
        <v>5465</v>
      </c>
      <c r="B5466" s="1">
        <v>1075</v>
      </c>
      <c r="C5466" s="1">
        <v>39</v>
      </c>
      <c r="D5466" t="str">
        <f>VLOOKUP(B5466,Заказы!A:C,3,0)</f>
        <v>2023-11-21 15:21:00</v>
      </c>
      <c r="E5466" t="str">
        <f>VLOOKUP(C5466,Меню!A:E,4,0)</f>
        <v>Десерт</v>
      </c>
      <c r="F5466">
        <f>VLOOKUP(C5466,Меню!A:E,5,0)</f>
        <v>150</v>
      </c>
    </row>
    <row r="5467" spans="1:6" ht="15.75" hidden="1" customHeight="1" x14ac:dyDescent="0.35">
      <c r="A5467" s="1">
        <v>5466</v>
      </c>
      <c r="B5467" s="1">
        <v>1075</v>
      </c>
      <c r="C5467" s="1">
        <v>29</v>
      </c>
      <c r="D5467" t="str">
        <f>VLOOKUP(B5467,Заказы!A:C,3,0)</f>
        <v>2023-11-21 15:21:00</v>
      </c>
      <c r="E5467" t="str">
        <f>VLOOKUP(C5467,Меню!A:E,4,0)</f>
        <v>Салат</v>
      </c>
      <c r="F5467">
        <f>VLOOKUP(C5467,Меню!A:E,5,0)</f>
        <v>250</v>
      </c>
    </row>
    <row r="5468" spans="1:6" ht="15.75" hidden="1" customHeight="1" x14ac:dyDescent="0.35">
      <c r="A5468" s="1">
        <v>5467</v>
      </c>
      <c r="B5468" s="1">
        <v>1076</v>
      </c>
      <c r="C5468" s="1">
        <v>35</v>
      </c>
      <c r="D5468" t="str">
        <f>VLOOKUP(B5468,Заказы!A:C,3,0)</f>
        <v>2023-11-21 16:55:00</v>
      </c>
      <c r="E5468" t="str">
        <f>VLOOKUP(C5468,Меню!A:E,4,0)</f>
        <v>Десерт</v>
      </c>
      <c r="F5468">
        <f>VLOOKUP(C5468,Меню!A:E,5,0)</f>
        <v>150</v>
      </c>
    </row>
    <row r="5469" spans="1:6" ht="15.75" hidden="1" customHeight="1" x14ac:dyDescent="0.35">
      <c r="A5469" s="1">
        <v>5468</v>
      </c>
      <c r="B5469" s="1">
        <v>1076</v>
      </c>
      <c r="C5469" s="1">
        <v>50</v>
      </c>
      <c r="D5469" t="str">
        <f>VLOOKUP(B5469,Заказы!A:C,3,0)</f>
        <v>2023-11-21 16:55:00</v>
      </c>
      <c r="E5469" t="str">
        <f>VLOOKUP(C5469,Меню!A:E,4,0)</f>
        <v>Суши</v>
      </c>
      <c r="F5469">
        <f>VLOOKUP(C5469,Меню!A:E,5,0)</f>
        <v>200</v>
      </c>
    </row>
    <row r="5470" spans="1:6" ht="15.75" hidden="1" customHeight="1" x14ac:dyDescent="0.35">
      <c r="A5470" s="1">
        <v>5469</v>
      </c>
      <c r="B5470" s="1">
        <v>1076</v>
      </c>
      <c r="C5470" s="1">
        <v>17</v>
      </c>
      <c r="D5470" t="str">
        <f>VLOOKUP(B5470,Заказы!A:C,3,0)</f>
        <v>2023-11-21 16:55:00</v>
      </c>
      <c r="E5470" t="str">
        <f>VLOOKUP(C5470,Меню!A:E,4,0)</f>
        <v>Первое</v>
      </c>
      <c r="F5470">
        <f>VLOOKUP(C5470,Меню!A:E,5,0)</f>
        <v>250</v>
      </c>
    </row>
    <row r="5471" spans="1:6" ht="15.75" hidden="1" customHeight="1" x14ac:dyDescent="0.35">
      <c r="A5471" s="1">
        <v>5470</v>
      </c>
      <c r="B5471" s="1">
        <v>1077</v>
      </c>
      <c r="C5471" s="1">
        <v>20</v>
      </c>
      <c r="D5471" t="str">
        <f>VLOOKUP(B5471,Заказы!A:C,3,0)</f>
        <v>2023-11-21 17:36:00</v>
      </c>
      <c r="E5471" t="str">
        <f>VLOOKUP(C5471,Меню!A:E,4,0)</f>
        <v>Первое</v>
      </c>
      <c r="F5471">
        <f>VLOOKUP(C5471,Меню!A:E,5,0)</f>
        <v>250</v>
      </c>
    </row>
    <row r="5472" spans="1:6" ht="15.75" hidden="1" customHeight="1" x14ac:dyDescent="0.35">
      <c r="A5472" s="1">
        <v>5471</v>
      </c>
      <c r="B5472" s="1">
        <v>1077</v>
      </c>
      <c r="C5472" s="1">
        <v>52</v>
      </c>
      <c r="D5472" t="str">
        <f>VLOOKUP(B5472,Заказы!A:C,3,0)</f>
        <v>2023-11-21 17:36:00</v>
      </c>
      <c r="E5472" t="str">
        <f>VLOOKUP(C5472,Меню!A:E,4,0)</f>
        <v>Суши</v>
      </c>
      <c r="F5472">
        <f>VLOOKUP(C5472,Меню!A:E,5,0)</f>
        <v>100</v>
      </c>
    </row>
    <row r="5473" spans="1:6" ht="15.75" hidden="1" customHeight="1" x14ac:dyDescent="0.35">
      <c r="A5473" s="1">
        <v>5472</v>
      </c>
      <c r="B5473" s="1">
        <v>1077</v>
      </c>
      <c r="C5473" s="1">
        <v>32</v>
      </c>
      <c r="D5473" t="str">
        <f>VLOOKUP(B5473,Заказы!A:C,3,0)</f>
        <v>2023-11-21 17:36:00</v>
      </c>
      <c r="E5473" t="str">
        <f>VLOOKUP(C5473,Меню!A:E,4,0)</f>
        <v>Десерт</v>
      </c>
      <c r="F5473">
        <f>VLOOKUP(C5473,Меню!A:E,5,0)</f>
        <v>150</v>
      </c>
    </row>
    <row r="5474" spans="1:6" ht="15.75" hidden="1" customHeight="1" x14ac:dyDescent="0.35">
      <c r="A5474" s="1">
        <v>5473</v>
      </c>
      <c r="B5474" s="1">
        <v>1077</v>
      </c>
      <c r="C5474" s="1">
        <v>42</v>
      </c>
      <c r="D5474" t="str">
        <f>VLOOKUP(B5474,Заказы!A:C,3,0)</f>
        <v>2023-11-21 17:36:00</v>
      </c>
      <c r="E5474" t="str">
        <f>VLOOKUP(C5474,Меню!A:E,4,0)</f>
        <v>Суши</v>
      </c>
      <c r="F5474">
        <f>VLOOKUP(C5474,Меню!A:E,5,0)</f>
        <v>250</v>
      </c>
    </row>
    <row r="5475" spans="1:6" ht="15.75" hidden="1" customHeight="1" x14ac:dyDescent="0.35">
      <c r="A5475" s="1">
        <v>5474</v>
      </c>
      <c r="B5475" s="1">
        <v>1077</v>
      </c>
      <c r="C5475" s="1">
        <v>39</v>
      </c>
      <c r="D5475" t="str">
        <f>VLOOKUP(B5475,Заказы!A:C,3,0)</f>
        <v>2023-11-21 17:36:00</v>
      </c>
      <c r="E5475" t="str">
        <f>VLOOKUP(C5475,Меню!A:E,4,0)</f>
        <v>Десерт</v>
      </c>
      <c r="F5475">
        <f>VLOOKUP(C5475,Меню!A:E,5,0)</f>
        <v>150</v>
      </c>
    </row>
    <row r="5476" spans="1:6" ht="15.75" hidden="1" customHeight="1" x14ac:dyDescent="0.35">
      <c r="A5476" s="1">
        <v>5475</v>
      </c>
      <c r="B5476" s="1">
        <v>1077</v>
      </c>
      <c r="C5476" s="1">
        <v>18</v>
      </c>
      <c r="D5476" t="str">
        <f>VLOOKUP(B5476,Заказы!A:C,3,0)</f>
        <v>2023-11-21 17:36:00</v>
      </c>
      <c r="E5476" t="str">
        <f>VLOOKUP(C5476,Меню!A:E,4,0)</f>
        <v>Первое</v>
      </c>
      <c r="F5476">
        <f>VLOOKUP(C5476,Меню!A:E,5,0)</f>
        <v>300</v>
      </c>
    </row>
    <row r="5477" spans="1:6" ht="15.75" hidden="1" customHeight="1" x14ac:dyDescent="0.35">
      <c r="A5477" s="1">
        <v>5476</v>
      </c>
      <c r="B5477" s="1">
        <v>1077</v>
      </c>
      <c r="C5477" s="1">
        <v>33</v>
      </c>
      <c r="D5477" t="str">
        <f>VLOOKUP(B5477,Заказы!A:C,3,0)</f>
        <v>2023-11-21 17:36:00</v>
      </c>
      <c r="E5477" t="str">
        <f>VLOOKUP(C5477,Меню!A:E,4,0)</f>
        <v>Десерт</v>
      </c>
      <c r="F5477">
        <f>VLOOKUP(C5477,Меню!A:E,5,0)</f>
        <v>150</v>
      </c>
    </row>
    <row r="5478" spans="1:6" ht="15.75" hidden="1" customHeight="1" x14ac:dyDescent="0.35">
      <c r="A5478" s="1">
        <v>5477</v>
      </c>
      <c r="B5478" s="1">
        <v>1078</v>
      </c>
      <c r="C5478" s="1">
        <v>3</v>
      </c>
      <c r="D5478" t="str">
        <f>VLOOKUP(B5478,Заказы!A:C,3,0)</f>
        <v>2023-11-21 18:47:00</v>
      </c>
      <c r="E5478" t="str">
        <f>VLOOKUP(C5478,Меню!A:E,4,0)</f>
        <v>Завтрак</v>
      </c>
      <c r="F5478">
        <f>VLOOKUP(C5478,Меню!A:E,5,0)</f>
        <v>150</v>
      </c>
    </row>
    <row r="5479" spans="1:6" ht="15.75" hidden="1" customHeight="1" x14ac:dyDescent="0.35">
      <c r="A5479" s="1">
        <v>5478</v>
      </c>
      <c r="B5479" s="1">
        <v>1078</v>
      </c>
      <c r="C5479" s="1">
        <v>47</v>
      </c>
      <c r="D5479" t="str">
        <f>VLOOKUP(B5479,Заказы!A:C,3,0)</f>
        <v>2023-11-21 18:47:00</v>
      </c>
      <c r="E5479" t="str">
        <f>VLOOKUP(C5479,Меню!A:E,4,0)</f>
        <v>Суши</v>
      </c>
      <c r="F5479">
        <f>VLOOKUP(C5479,Меню!A:E,5,0)</f>
        <v>200</v>
      </c>
    </row>
    <row r="5480" spans="1:6" ht="15.75" hidden="1" customHeight="1" x14ac:dyDescent="0.35">
      <c r="A5480" s="1">
        <v>5479</v>
      </c>
      <c r="B5480" s="1">
        <v>1078</v>
      </c>
      <c r="C5480" s="1">
        <v>48</v>
      </c>
      <c r="D5480" t="str">
        <f>VLOOKUP(B5480,Заказы!A:C,3,0)</f>
        <v>2023-11-21 18:47:00</v>
      </c>
      <c r="E5480" t="str">
        <f>VLOOKUP(C5480,Меню!A:E,4,0)</f>
        <v>Суши</v>
      </c>
      <c r="F5480">
        <f>VLOOKUP(C5480,Меню!A:E,5,0)</f>
        <v>200</v>
      </c>
    </row>
    <row r="5481" spans="1:6" ht="15.75" hidden="1" customHeight="1" x14ac:dyDescent="0.35">
      <c r="A5481" s="1">
        <v>5480</v>
      </c>
      <c r="B5481" s="1">
        <v>1078</v>
      </c>
      <c r="C5481" s="1">
        <v>47</v>
      </c>
      <c r="D5481" t="str">
        <f>VLOOKUP(B5481,Заказы!A:C,3,0)</f>
        <v>2023-11-21 18:47:00</v>
      </c>
      <c r="E5481" t="str">
        <f>VLOOKUP(C5481,Меню!A:E,4,0)</f>
        <v>Суши</v>
      </c>
      <c r="F5481">
        <f>VLOOKUP(C5481,Меню!A:E,5,0)</f>
        <v>200</v>
      </c>
    </row>
    <row r="5482" spans="1:6" ht="15.75" hidden="1" customHeight="1" x14ac:dyDescent="0.35">
      <c r="A5482" s="1">
        <v>5481</v>
      </c>
      <c r="B5482" s="1">
        <v>1078</v>
      </c>
      <c r="C5482" s="1">
        <v>8</v>
      </c>
      <c r="D5482" t="str">
        <f>VLOOKUP(B5482,Заказы!A:C,3,0)</f>
        <v>2023-11-21 18:47:00</v>
      </c>
      <c r="E5482" t="str">
        <f>VLOOKUP(C5482,Меню!A:E,4,0)</f>
        <v>Завтрак</v>
      </c>
      <c r="F5482">
        <f>VLOOKUP(C5482,Меню!A:E,5,0)</f>
        <v>180</v>
      </c>
    </row>
    <row r="5483" spans="1:6" ht="15.75" hidden="1" customHeight="1" x14ac:dyDescent="0.35">
      <c r="A5483" s="1">
        <v>5482</v>
      </c>
      <c r="B5483" s="1">
        <v>1078</v>
      </c>
      <c r="C5483" s="1">
        <v>29</v>
      </c>
      <c r="D5483" t="str">
        <f>VLOOKUP(B5483,Заказы!A:C,3,0)</f>
        <v>2023-11-21 18:47:00</v>
      </c>
      <c r="E5483" t="str">
        <f>VLOOKUP(C5483,Меню!A:E,4,0)</f>
        <v>Салат</v>
      </c>
      <c r="F5483">
        <f>VLOOKUP(C5483,Меню!A:E,5,0)</f>
        <v>250</v>
      </c>
    </row>
    <row r="5484" spans="1:6" ht="15.75" hidden="1" customHeight="1" x14ac:dyDescent="0.35">
      <c r="A5484" s="1">
        <v>5483</v>
      </c>
      <c r="B5484" s="1">
        <v>1078</v>
      </c>
      <c r="C5484" s="1">
        <v>26</v>
      </c>
      <c r="D5484" t="str">
        <f>VLOOKUP(B5484,Заказы!A:C,3,0)</f>
        <v>2023-11-21 18:47:00</v>
      </c>
      <c r="E5484" t="str">
        <f>VLOOKUP(C5484,Меню!A:E,4,0)</f>
        <v>Салат</v>
      </c>
      <c r="F5484">
        <f>VLOOKUP(C5484,Меню!A:E,5,0)</f>
        <v>250</v>
      </c>
    </row>
    <row r="5485" spans="1:6" ht="15.75" hidden="1" customHeight="1" x14ac:dyDescent="0.35">
      <c r="A5485" s="1">
        <v>5484</v>
      </c>
      <c r="B5485" s="1">
        <v>1079</v>
      </c>
      <c r="C5485" s="1">
        <v>40</v>
      </c>
      <c r="D5485" t="str">
        <f>VLOOKUP(B5485,Заказы!A:C,3,0)</f>
        <v>2023-11-21 21:22:00</v>
      </c>
      <c r="E5485" t="str">
        <f>VLOOKUP(C5485,Меню!A:E,4,0)</f>
        <v>Десерт</v>
      </c>
      <c r="F5485">
        <f>VLOOKUP(C5485,Меню!A:E,5,0)</f>
        <v>150</v>
      </c>
    </row>
    <row r="5486" spans="1:6" ht="15.75" hidden="1" customHeight="1" x14ac:dyDescent="0.35">
      <c r="A5486" s="1">
        <v>5485</v>
      </c>
      <c r="B5486" s="1">
        <v>1079</v>
      </c>
      <c r="C5486" s="1">
        <v>24</v>
      </c>
      <c r="D5486" t="str">
        <f>VLOOKUP(B5486,Заказы!A:C,3,0)</f>
        <v>2023-11-21 21:22:00</v>
      </c>
      <c r="E5486" t="str">
        <f>VLOOKUP(C5486,Меню!A:E,4,0)</f>
        <v>Салат</v>
      </c>
      <c r="F5486">
        <f>VLOOKUP(C5486,Меню!A:E,5,0)</f>
        <v>250</v>
      </c>
    </row>
    <row r="5487" spans="1:6" ht="15.75" hidden="1" customHeight="1" x14ac:dyDescent="0.35">
      <c r="A5487" s="1">
        <v>5486</v>
      </c>
      <c r="B5487" s="1">
        <v>1079</v>
      </c>
      <c r="C5487" s="1">
        <v>19</v>
      </c>
      <c r="D5487" t="str">
        <f>VLOOKUP(B5487,Заказы!A:C,3,0)</f>
        <v>2023-11-21 21:22:00</v>
      </c>
      <c r="E5487" t="str">
        <f>VLOOKUP(C5487,Меню!A:E,4,0)</f>
        <v>Первое</v>
      </c>
      <c r="F5487">
        <f>VLOOKUP(C5487,Меню!A:E,5,0)</f>
        <v>300</v>
      </c>
    </row>
    <row r="5488" spans="1:6" ht="15.75" hidden="1" customHeight="1" x14ac:dyDescent="0.35">
      <c r="A5488" s="1">
        <v>5487</v>
      </c>
      <c r="B5488" s="1">
        <v>1079</v>
      </c>
      <c r="C5488" s="1">
        <v>28</v>
      </c>
      <c r="D5488" t="str">
        <f>VLOOKUP(B5488,Заказы!A:C,3,0)</f>
        <v>2023-11-21 21:22:00</v>
      </c>
      <c r="E5488" t="str">
        <f>VLOOKUP(C5488,Меню!A:E,4,0)</f>
        <v>Салат</v>
      </c>
      <c r="F5488">
        <f>VLOOKUP(C5488,Меню!A:E,5,0)</f>
        <v>250</v>
      </c>
    </row>
    <row r="5489" spans="1:6" ht="15.75" hidden="1" customHeight="1" x14ac:dyDescent="0.35">
      <c r="A5489" s="1">
        <v>5488</v>
      </c>
      <c r="B5489" s="1">
        <v>1079</v>
      </c>
      <c r="C5489" s="1">
        <v>36</v>
      </c>
      <c r="D5489" t="str">
        <f>VLOOKUP(B5489,Заказы!A:C,3,0)</f>
        <v>2023-11-21 21:22:00</v>
      </c>
      <c r="E5489" t="str">
        <f>VLOOKUP(C5489,Меню!A:E,4,0)</f>
        <v>Десерт</v>
      </c>
      <c r="F5489">
        <f>VLOOKUP(C5489,Меню!A:E,5,0)</f>
        <v>150</v>
      </c>
    </row>
    <row r="5490" spans="1:6" ht="15.75" hidden="1" customHeight="1" x14ac:dyDescent="0.35">
      <c r="A5490" s="1">
        <v>5489</v>
      </c>
      <c r="B5490" s="1">
        <v>1079</v>
      </c>
      <c r="C5490" s="1">
        <v>48</v>
      </c>
      <c r="D5490" t="str">
        <f>VLOOKUP(B5490,Заказы!A:C,3,0)</f>
        <v>2023-11-21 21:22:00</v>
      </c>
      <c r="E5490" t="str">
        <f>VLOOKUP(C5490,Меню!A:E,4,0)</f>
        <v>Суши</v>
      </c>
      <c r="F5490">
        <f>VLOOKUP(C5490,Меню!A:E,5,0)</f>
        <v>200</v>
      </c>
    </row>
    <row r="5491" spans="1:6" ht="15.75" hidden="1" customHeight="1" x14ac:dyDescent="0.35">
      <c r="A5491" s="1">
        <v>5490</v>
      </c>
      <c r="B5491" s="1">
        <v>1079</v>
      </c>
      <c r="C5491" s="1">
        <v>45</v>
      </c>
      <c r="D5491" t="str">
        <f>VLOOKUP(B5491,Заказы!A:C,3,0)</f>
        <v>2023-11-21 21:22:00</v>
      </c>
      <c r="E5491" t="str">
        <f>VLOOKUP(C5491,Меню!A:E,4,0)</f>
        <v>Суши</v>
      </c>
      <c r="F5491">
        <f>VLOOKUP(C5491,Меню!A:E,5,0)</f>
        <v>200</v>
      </c>
    </row>
    <row r="5492" spans="1:6" ht="15.75" hidden="1" customHeight="1" x14ac:dyDescent="0.35">
      <c r="A5492" s="1">
        <v>5491</v>
      </c>
      <c r="B5492" s="1">
        <v>1079</v>
      </c>
      <c r="C5492" s="1">
        <v>36</v>
      </c>
      <c r="D5492" t="str">
        <f>VLOOKUP(B5492,Заказы!A:C,3,0)</f>
        <v>2023-11-21 21:22:00</v>
      </c>
      <c r="E5492" t="str">
        <f>VLOOKUP(C5492,Меню!A:E,4,0)</f>
        <v>Десерт</v>
      </c>
      <c r="F5492">
        <f>VLOOKUP(C5492,Меню!A:E,5,0)</f>
        <v>150</v>
      </c>
    </row>
    <row r="5493" spans="1:6" ht="15.75" hidden="1" customHeight="1" x14ac:dyDescent="0.35">
      <c r="A5493" s="1">
        <v>5492</v>
      </c>
      <c r="B5493" s="1">
        <v>1079</v>
      </c>
      <c r="C5493" s="1">
        <v>8</v>
      </c>
      <c r="D5493" t="str">
        <f>VLOOKUP(B5493,Заказы!A:C,3,0)</f>
        <v>2023-11-21 21:22:00</v>
      </c>
      <c r="E5493" t="str">
        <f>VLOOKUP(C5493,Меню!A:E,4,0)</f>
        <v>Завтрак</v>
      </c>
      <c r="F5493">
        <f>VLOOKUP(C5493,Меню!A:E,5,0)</f>
        <v>180</v>
      </c>
    </row>
    <row r="5494" spans="1:6" ht="15.75" hidden="1" customHeight="1" x14ac:dyDescent="0.35">
      <c r="A5494" s="1">
        <v>5493</v>
      </c>
      <c r="B5494" s="1">
        <v>1080</v>
      </c>
      <c r="C5494" s="1">
        <v>30</v>
      </c>
      <c r="D5494" t="str">
        <f>VLOOKUP(B5494,Заказы!A:C,3,0)</f>
        <v>2023-11-21 22:25:00</v>
      </c>
      <c r="E5494" t="str">
        <f>VLOOKUP(C5494,Меню!A:E,4,0)</f>
        <v>Салат</v>
      </c>
      <c r="F5494">
        <f>VLOOKUP(C5494,Меню!A:E,5,0)</f>
        <v>250</v>
      </c>
    </row>
    <row r="5495" spans="1:6" ht="15.75" hidden="1" customHeight="1" x14ac:dyDescent="0.35">
      <c r="A5495" s="1">
        <v>5494</v>
      </c>
      <c r="B5495" s="1">
        <v>1080</v>
      </c>
      <c r="C5495" s="1">
        <v>22</v>
      </c>
      <c r="D5495" t="str">
        <f>VLOOKUP(B5495,Заказы!A:C,3,0)</f>
        <v>2023-11-21 22:25:00</v>
      </c>
      <c r="E5495" t="str">
        <f>VLOOKUP(C5495,Меню!A:E,4,0)</f>
        <v>Салат</v>
      </c>
      <c r="F5495">
        <f>VLOOKUP(C5495,Меню!A:E,5,0)</f>
        <v>250</v>
      </c>
    </row>
    <row r="5496" spans="1:6" ht="15.75" hidden="1" customHeight="1" x14ac:dyDescent="0.35">
      <c r="A5496" s="1">
        <v>5495</v>
      </c>
      <c r="B5496" s="1">
        <v>1080</v>
      </c>
      <c r="C5496" s="1">
        <v>2</v>
      </c>
      <c r="D5496" t="str">
        <f>VLOOKUP(B5496,Заказы!A:C,3,0)</f>
        <v>2023-11-21 22:25:00</v>
      </c>
      <c r="E5496" t="str">
        <f>VLOOKUP(C5496,Меню!A:E,4,0)</f>
        <v>Завтрак</v>
      </c>
      <c r="F5496">
        <f>VLOOKUP(C5496,Меню!A:E,5,0)</f>
        <v>250</v>
      </c>
    </row>
    <row r="5497" spans="1:6" ht="15.75" hidden="1" customHeight="1" x14ac:dyDescent="0.35">
      <c r="A5497" s="1">
        <v>5496</v>
      </c>
      <c r="B5497" s="1">
        <v>1080</v>
      </c>
      <c r="C5497" s="1">
        <v>56</v>
      </c>
      <c r="D5497" t="str">
        <f>VLOOKUP(B5497,Заказы!A:C,3,0)</f>
        <v>2023-11-21 22:25:00</v>
      </c>
      <c r="E5497" t="str">
        <f>VLOOKUP(C5497,Меню!A:E,4,0)</f>
        <v>Суши</v>
      </c>
      <c r="F5497">
        <f>VLOOKUP(C5497,Меню!A:E,5,0)</f>
        <v>200</v>
      </c>
    </row>
    <row r="5498" spans="1:6" ht="15.75" hidden="1" customHeight="1" x14ac:dyDescent="0.35">
      <c r="A5498" s="1">
        <v>5497</v>
      </c>
      <c r="B5498" s="1">
        <v>1081</v>
      </c>
      <c r="C5498" s="1">
        <v>28</v>
      </c>
      <c r="D5498" t="str">
        <f>VLOOKUP(B5498,Заказы!A:C,3,0)</f>
        <v>2023-11-22 16:48:00</v>
      </c>
      <c r="E5498" t="str">
        <f>VLOOKUP(C5498,Меню!A:E,4,0)</f>
        <v>Салат</v>
      </c>
      <c r="F5498">
        <f>VLOOKUP(C5498,Меню!A:E,5,0)</f>
        <v>250</v>
      </c>
    </row>
    <row r="5499" spans="1:6" ht="15.75" hidden="1" customHeight="1" x14ac:dyDescent="0.35">
      <c r="A5499" s="1">
        <v>5498</v>
      </c>
      <c r="B5499" s="1">
        <v>1081</v>
      </c>
      <c r="C5499" s="1">
        <v>51</v>
      </c>
      <c r="D5499" t="str">
        <f>VLOOKUP(B5499,Заказы!A:C,3,0)</f>
        <v>2023-11-22 16:48:00</v>
      </c>
      <c r="E5499" t="str">
        <f>VLOOKUP(C5499,Меню!A:E,4,0)</f>
        <v>Суши</v>
      </c>
      <c r="F5499">
        <f>VLOOKUP(C5499,Меню!A:E,5,0)</f>
        <v>100</v>
      </c>
    </row>
    <row r="5500" spans="1:6" ht="15.75" hidden="1" customHeight="1" x14ac:dyDescent="0.35">
      <c r="A5500" s="1">
        <v>5499</v>
      </c>
      <c r="B5500" s="1">
        <v>1081</v>
      </c>
      <c r="C5500" s="1">
        <v>13</v>
      </c>
      <c r="D5500" t="str">
        <f>VLOOKUP(B5500,Заказы!A:C,3,0)</f>
        <v>2023-11-22 16:48:00</v>
      </c>
      <c r="E5500" t="str">
        <f>VLOOKUP(C5500,Меню!A:E,4,0)</f>
        <v>Первое</v>
      </c>
      <c r="F5500">
        <f>VLOOKUP(C5500,Меню!A:E,5,0)</f>
        <v>280</v>
      </c>
    </row>
    <row r="5501" spans="1:6" ht="15.75" hidden="1" customHeight="1" x14ac:dyDescent="0.35">
      <c r="A5501" s="1">
        <v>5500</v>
      </c>
      <c r="B5501" s="1">
        <v>1081</v>
      </c>
      <c r="C5501" s="1">
        <v>47</v>
      </c>
      <c r="D5501" t="str">
        <f>VLOOKUP(B5501,Заказы!A:C,3,0)</f>
        <v>2023-11-22 16:48:00</v>
      </c>
      <c r="E5501" t="str">
        <f>VLOOKUP(C5501,Меню!A:E,4,0)</f>
        <v>Суши</v>
      </c>
      <c r="F5501">
        <f>VLOOKUP(C5501,Меню!A:E,5,0)</f>
        <v>200</v>
      </c>
    </row>
    <row r="5502" spans="1:6" ht="15.75" hidden="1" customHeight="1" x14ac:dyDescent="0.35">
      <c r="A5502" s="1">
        <v>5501</v>
      </c>
      <c r="B5502" s="1">
        <v>1081</v>
      </c>
      <c r="C5502" s="1">
        <v>58</v>
      </c>
      <c r="D5502" t="str">
        <f>VLOOKUP(B5502,Заказы!A:C,3,0)</f>
        <v>2023-11-22 16:48:00</v>
      </c>
      <c r="E5502" t="str">
        <f>VLOOKUP(C5502,Меню!A:E,4,0)</f>
        <v>Суши</v>
      </c>
      <c r="F5502">
        <f>VLOOKUP(C5502,Меню!A:E,5,0)</f>
        <v>200</v>
      </c>
    </row>
    <row r="5503" spans="1:6" ht="15.75" hidden="1" customHeight="1" x14ac:dyDescent="0.35">
      <c r="A5503" s="1">
        <v>5502</v>
      </c>
      <c r="B5503" s="1">
        <v>1082</v>
      </c>
      <c r="C5503" s="1">
        <v>44</v>
      </c>
      <c r="D5503" t="str">
        <f>VLOOKUP(B5503,Заказы!A:C,3,0)</f>
        <v>2023-11-23 15:26:00</v>
      </c>
      <c r="E5503" t="str">
        <f>VLOOKUP(C5503,Меню!A:E,4,0)</f>
        <v>Суши</v>
      </c>
      <c r="F5503">
        <f>VLOOKUP(C5503,Меню!A:E,5,0)</f>
        <v>250</v>
      </c>
    </row>
    <row r="5504" spans="1:6" ht="15.75" hidden="1" customHeight="1" x14ac:dyDescent="0.35">
      <c r="A5504" s="1">
        <v>5503</v>
      </c>
      <c r="B5504" s="1">
        <v>1082</v>
      </c>
      <c r="C5504" s="1">
        <v>52</v>
      </c>
      <c r="D5504" t="str">
        <f>VLOOKUP(B5504,Заказы!A:C,3,0)</f>
        <v>2023-11-23 15:26:00</v>
      </c>
      <c r="E5504" t="str">
        <f>VLOOKUP(C5504,Меню!A:E,4,0)</f>
        <v>Суши</v>
      </c>
      <c r="F5504">
        <f>VLOOKUP(C5504,Меню!A:E,5,0)</f>
        <v>100</v>
      </c>
    </row>
    <row r="5505" spans="1:6" ht="15.75" hidden="1" customHeight="1" x14ac:dyDescent="0.35">
      <c r="A5505" s="1">
        <v>5504</v>
      </c>
      <c r="B5505" s="1">
        <v>1082</v>
      </c>
      <c r="C5505" s="1">
        <v>34</v>
      </c>
      <c r="D5505" t="str">
        <f>VLOOKUP(B5505,Заказы!A:C,3,0)</f>
        <v>2023-11-23 15:26:00</v>
      </c>
      <c r="E5505" t="str">
        <f>VLOOKUP(C5505,Меню!A:E,4,0)</f>
        <v>Десерт</v>
      </c>
      <c r="F5505">
        <f>VLOOKUP(C5505,Меню!A:E,5,0)</f>
        <v>150</v>
      </c>
    </row>
    <row r="5506" spans="1:6" ht="15.75" hidden="1" customHeight="1" x14ac:dyDescent="0.35">
      <c r="A5506" s="1">
        <v>5505</v>
      </c>
      <c r="B5506" s="1">
        <v>1082</v>
      </c>
      <c r="C5506" s="1">
        <v>15</v>
      </c>
      <c r="D5506" t="str">
        <f>VLOOKUP(B5506,Заказы!A:C,3,0)</f>
        <v>2023-11-23 15:26:00</v>
      </c>
      <c r="E5506" t="str">
        <f>VLOOKUP(C5506,Меню!A:E,4,0)</f>
        <v>Первое</v>
      </c>
      <c r="F5506">
        <f>VLOOKUP(C5506,Меню!A:E,5,0)</f>
        <v>250</v>
      </c>
    </row>
    <row r="5507" spans="1:6" ht="15.75" hidden="1" customHeight="1" x14ac:dyDescent="0.35">
      <c r="A5507" s="1">
        <v>5506</v>
      </c>
      <c r="B5507" s="1">
        <v>1082</v>
      </c>
      <c r="C5507" s="1">
        <v>55</v>
      </c>
      <c r="D5507" t="str">
        <f>VLOOKUP(B5507,Заказы!A:C,3,0)</f>
        <v>2023-11-23 15:26:00</v>
      </c>
      <c r="E5507" t="str">
        <f>VLOOKUP(C5507,Меню!A:E,4,0)</f>
        <v>Суши</v>
      </c>
      <c r="F5507">
        <f>VLOOKUP(C5507,Меню!A:E,5,0)</f>
        <v>100</v>
      </c>
    </row>
    <row r="5508" spans="1:6" ht="15.75" hidden="1" customHeight="1" x14ac:dyDescent="0.35">
      <c r="A5508" s="1">
        <v>5507</v>
      </c>
      <c r="B5508" s="1">
        <v>1082</v>
      </c>
      <c r="C5508" s="1">
        <v>51</v>
      </c>
      <c r="D5508" t="str">
        <f>VLOOKUP(B5508,Заказы!A:C,3,0)</f>
        <v>2023-11-23 15:26:00</v>
      </c>
      <c r="E5508" t="str">
        <f>VLOOKUP(C5508,Меню!A:E,4,0)</f>
        <v>Суши</v>
      </c>
      <c r="F5508">
        <f>VLOOKUP(C5508,Меню!A:E,5,0)</f>
        <v>100</v>
      </c>
    </row>
    <row r="5509" spans="1:6" ht="15.75" hidden="1" customHeight="1" x14ac:dyDescent="0.35">
      <c r="A5509" s="1">
        <v>5508</v>
      </c>
      <c r="B5509" s="1">
        <v>1082</v>
      </c>
      <c r="C5509" s="1">
        <v>37</v>
      </c>
      <c r="D5509" t="str">
        <f>VLOOKUP(B5509,Заказы!A:C,3,0)</f>
        <v>2023-11-23 15:26:00</v>
      </c>
      <c r="E5509" t="str">
        <f>VLOOKUP(C5509,Меню!A:E,4,0)</f>
        <v>Десерт</v>
      </c>
      <c r="F5509">
        <f>VLOOKUP(C5509,Меню!A:E,5,0)</f>
        <v>100</v>
      </c>
    </row>
    <row r="5510" spans="1:6" ht="15.75" hidden="1" customHeight="1" x14ac:dyDescent="0.35">
      <c r="A5510" s="1">
        <v>5509</v>
      </c>
      <c r="B5510" s="1">
        <v>1082</v>
      </c>
      <c r="C5510" s="1">
        <v>10</v>
      </c>
      <c r="D5510" t="str">
        <f>VLOOKUP(B5510,Заказы!A:C,3,0)</f>
        <v>2023-11-23 15:26:00</v>
      </c>
      <c r="E5510" t="str">
        <f>VLOOKUP(C5510,Меню!A:E,4,0)</f>
        <v>Завтрак</v>
      </c>
      <c r="F5510">
        <f>VLOOKUP(C5510,Меню!A:E,5,0)</f>
        <v>200</v>
      </c>
    </row>
    <row r="5511" spans="1:6" ht="15.75" hidden="1" customHeight="1" x14ac:dyDescent="0.35">
      <c r="A5511" s="1">
        <v>5510</v>
      </c>
      <c r="B5511" s="1">
        <v>1082</v>
      </c>
      <c r="C5511" s="1">
        <v>41</v>
      </c>
      <c r="D5511" t="str">
        <f>VLOOKUP(B5511,Заказы!A:C,3,0)</f>
        <v>2023-11-23 15:26:00</v>
      </c>
      <c r="E5511" t="str">
        <f>VLOOKUP(C5511,Меню!A:E,4,0)</f>
        <v>Суши</v>
      </c>
      <c r="F5511">
        <f>VLOOKUP(C5511,Меню!A:E,5,0)</f>
        <v>220</v>
      </c>
    </row>
    <row r="5512" spans="1:6" ht="15.75" hidden="1" customHeight="1" x14ac:dyDescent="0.35">
      <c r="A5512" s="1">
        <v>5511</v>
      </c>
      <c r="B5512" s="1">
        <v>1083</v>
      </c>
      <c r="C5512" s="1">
        <v>26</v>
      </c>
      <c r="D5512" t="str">
        <f>VLOOKUP(B5512,Заказы!A:C,3,0)</f>
        <v>2023-11-23 18:06:00</v>
      </c>
      <c r="E5512" t="str">
        <f>VLOOKUP(C5512,Меню!A:E,4,0)</f>
        <v>Салат</v>
      </c>
      <c r="F5512">
        <f>VLOOKUP(C5512,Меню!A:E,5,0)</f>
        <v>250</v>
      </c>
    </row>
    <row r="5513" spans="1:6" ht="15.75" hidden="1" customHeight="1" x14ac:dyDescent="0.35">
      <c r="A5513" s="1">
        <v>5512</v>
      </c>
      <c r="B5513" s="1">
        <v>1083</v>
      </c>
      <c r="C5513" s="1">
        <v>27</v>
      </c>
      <c r="D5513" t="str">
        <f>VLOOKUP(B5513,Заказы!A:C,3,0)</f>
        <v>2023-11-23 18:06:00</v>
      </c>
      <c r="E5513" t="str">
        <f>VLOOKUP(C5513,Меню!A:E,4,0)</f>
        <v>Салат</v>
      </c>
      <c r="F5513">
        <f>VLOOKUP(C5513,Меню!A:E,5,0)</f>
        <v>250</v>
      </c>
    </row>
    <row r="5514" spans="1:6" ht="15.75" hidden="1" customHeight="1" x14ac:dyDescent="0.35">
      <c r="A5514" s="1">
        <v>5513</v>
      </c>
      <c r="B5514" s="1">
        <v>1083</v>
      </c>
      <c r="C5514" s="1">
        <v>53</v>
      </c>
      <c r="D5514" t="str">
        <f>VLOOKUP(B5514,Заказы!A:C,3,0)</f>
        <v>2023-11-23 18:06:00</v>
      </c>
      <c r="E5514" t="str">
        <f>VLOOKUP(C5514,Меню!A:E,4,0)</f>
        <v>Суши</v>
      </c>
      <c r="F5514">
        <f>VLOOKUP(C5514,Меню!A:E,5,0)</f>
        <v>100</v>
      </c>
    </row>
    <row r="5515" spans="1:6" ht="15.75" hidden="1" customHeight="1" x14ac:dyDescent="0.35">
      <c r="A5515" s="1">
        <v>5514</v>
      </c>
      <c r="B5515" s="1">
        <v>1083</v>
      </c>
      <c r="C5515" s="1">
        <v>52</v>
      </c>
      <c r="D5515" t="str">
        <f>VLOOKUP(B5515,Заказы!A:C,3,0)</f>
        <v>2023-11-23 18:06:00</v>
      </c>
      <c r="E5515" t="str">
        <f>VLOOKUP(C5515,Меню!A:E,4,0)</f>
        <v>Суши</v>
      </c>
      <c r="F5515">
        <f>VLOOKUP(C5515,Меню!A:E,5,0)</f>
        <v>100</v>
      </c>
    </row>
    <row r="5516" spans="1:6" ht="15.75" hidden="1" customHeight="1" x14ac:dyDescent="0.35">
      <c r="A5516" s="1">
        <v>5515</v>
      </c>
      <c r="B5516" s="1">
        <v>1083</v>
      </c>
      <c r="C5516" s="1">
        <v>55</v>
      </c>
      <c r="D5516" t="str">
        <f>VLOOKUP(B5516,Заказы!A:C,3,0)</f>
        <v>2023-11-23 18:06:00</v>
      </c>
      <c r="E5516" t="str">
        <f>VLOOKUP(C5516,Меню!A:E,4,0)</f>
        <v>Суши</v>
      </c>
      <c r="F5516">
        <f>VLOOKUP(C5516,Меню!A:E,5,0)</f>
        <v>100</v>
      </c>
    </row>
    <row r="5517" spans="1:6" ht="15.75" hidden="1" customHeight="1" x14ac:dyDescent="0.35">
      <c r="A5517" s="1">
        <v>5516</v>
      </c>
      <c r="B5517" s="1">
        <v>1084</v>
      </c>
      <c r="C5517" s="1">
        <v>35</v>
      </c>
      <c r="D5517" t="str">
        <f>VLOOKUP(B5517,Заказы!A:C,3,0)</f>
        <v>2023-11-23 21:58:00</v>
      </c>
      <c r="E5517" t="str">
        <f>VLOOKUP(C5517,Меню!A:E,4,0)</f>
        <v>Десерт</v>
      </c>
      <c r="F5517">
        <f>VLOOKUP(C5517,Меню!A:E,5,0)</f>
        <v>150</v>
      </c>
    </row>
    <row r="5518" spans="1:6" ht="15.75" hidden="1" customHeight="1" x14ac:dyDescent="0.35">
      <c r="A5518" s="1">
        <v>5517</v>
      </c>
      <c r="B5518" s="1">
        <v>1084</v>
      </c>
      <c r="C5518" s="1">
        <v>24</v>
      </c>
      <c r="D5518" t="str">
        <f>VLOOKUP(B5518,Заказы!A:C,3,0)</f>
        <v>2023-11-23 21:58:00</v>
      </c>
      <c r="E5518" t="str">
        <f>VLOOKUP(C5518,Меню!A:E,4,0)</f>
        <v>Салат</v>
      </c>
      <c r="F5518">
        <f>VLOOKUP(C5518,Меню!A:E,5,0)</f>
        <v>250</v>
      </c>
    </row>
    <row r="5519" spans="1:6" ht="15.75" hidden="1" customHeight="1" x14ac:dyDescent="0.35">
      <c r="A5519" s="1">
        <v>5518</v>
      </c>
      <c r="B5519" s="1">
        <v>1084</v>
      </c>
      <c r="C5519" s="1">
        <v>52</v>
      </c>
      <c r="D5519" t="str">
        <f>VLOOKUP(B5519,Заказы!A:C,3,0)</f>
        <v>2023-11-23 21:58:00</v>
      </c>
      <c r="E5519" t="str">
        <f>VLOOKUP(C5519,Меню!A:E,4,0)</f>
        <v>Суши</v>
      </c>
      <c r="F5519">
        <f>VLOOKUP(C5519,Меню!A:E,5,0)</f>
        <v>100</v>
      </c>
    </row>
    <row r="5520" spans="1:6" ht="15.75" hidden="1" customHeight="1" x14ac:dyDescent="0.35">
      <c r="A5520" s="1">
        <v>5519</v>
      </c>
      <c r="B5520" s="1">
        <v>1084</v>
      </c>
      <c r="C5520" s="1">
        <v>40</v>
      </c>
      <c r="D5520" t="str">
        <f>VLOOKUP(B5520,Заказы!A:C,3,0)</f>
        <v>2023-11-23 21:58:00</v>
      </c>
      <c r="E5520" t="str">
        <f>VLOOKUP(C5520,Меню!A:E,4,0)</f>
        <v>Десерт</v>
      </c>
      <c r="F5520">
        <f>VLOOKUP(C5520,Меню!A:E,5,0)</f>
        <v>150</v>
      </c>
    </row>
    <row r="5521" spans="1:6" ht="15.75" hidden="1" customHeight="1" x14ac:dyDescent="0.35">
      <c r="A5521" s="1">
        <v>5520</v>
      </c>
      <c r="B5521" s="1">
        <v>1084</v>
      </c>
      <c r="C5521" s="1">
        <v>19</v>
      </c>
      <c r="D5521" t="str">
        <f>VLOOKUP(B5521,Заказы!A:C,3,0)</f>
        <v>2023-11-23 21:58:00</v>
      </c>
      <c r="E5521" t="str">
        <f>VLOOKUP(C5521,Меню!A:E,4,0)</f>
        <v>Первое</v>
      </c>
      <c r="F5521">
        <f>VLOOKUP(C5521,Меню!A:E,5,0)</f>
        <v>300</v>
      </c>
    </row>
    <row r="5522" spans="1:6" ht="15.75" hidden="1" customHeight="1" x14ac:dyDescent="0.35">
      <c r="A5522" s="1">
        <v>5521</v>
      </c>
      <c r="B5522" s="1">
        <v>1084</v>
      </c>
      <c r="C5522" s="1">
        <v>32</v>
      </c>
      <c r="D5522" t="str">
        <f>VLOOKUP(B5522,Заказы!A:C,3,0)</f>
        <v>2023-11-23 21:58:00</v>
      </c>
      <c r="E5522" t="str">
        <f>VLOOKUP(C5522,Меню!A:E,4,0)</f>
        <v>Десерт</v>
      </c>
      <c r="F5522">
        <f>VLOOKUP(C5522,Меню!A:E,5,0)</f>
        <v>150</v>
      </c>
    </row>
    <row r="5523" spans="1:6" ht="15.75" hidden="1" customHeight="1" x14ac:dyDescent="0.35">
      <c r="A5523" s="1">
        <v>5522</v>
      </c>
      <c r="B5523" s="1">
        <v>1084</v>
      </c>
      <c r="C5523" s="1">
        <v>11</v>
      </c>
      <c r="D5523" t="str">
        <f>VLOOKUP(B5523,Заказы!A:C,3,0)</f>
        <v>2023-11-23 21:58:00</v>
      </c>
      <c r="E5523" t="str">
        <f>VLOOKUP(C5523,Меню!A:E,4,0)</f>
        <v>Первое</v>
      </c>
      <c r="F5523">
        <f>VLOOKUP(C5523,Меню!A:E,5,0)</f>
        <v>300</v>
      </c>
    </row>
    <row r="5524" spans="1:6" ht="15.75" hidden="1" customHeight="1" x14ac:dyDescent="0.35">
      <c r="A5524" s="1">
        <v>5523</v>
      </c>
      <c r="B5524" s="1">
        <v>1085</v>
      </c>
      <c r="C5524" s="1">
        <v>23</v>
      </c>
      <c r="D5524" t="str">
        <f>VLOOKUP(B5524,Заказы!A:C,3,0)</f>
        <v>2023-11-24 16:18:00</v>
      </c>
      <c r="E5524" t="str">
        <f>VLOOKUP(C5524,Меню!A:E,4,0)</f>
        <v>Салат</v>
      </c>
      <c r="F5524">
        <f>VLOOKUP(C5524,Меню!A:E,5,0)</f>
        <v>250</v>
      </c>
    </row>
    <row r="5525" spans="1:6" ht="15.75" hidden="1" customHeight="1" x14ac:dyDescent="0.35">
      <c r="A5525" s="1">
        <v>5524</v>
      </c>
      <c r="B5525" s="1">
        <v>1085</v>
      </c>
      <c r="C5525" s="1">
        <v>34</v>
      </c>
      <c r="D5525" t="str">
        <f>VLOOKUP(B5525,Заказы!A:C,3,0)</f>
        <v>2023-11-24 16:18:00</v>
      </c>
      <c r="E5525" t="str">
        <f>VLOOKUP(C5525,Меню!A:E,4,0)</f>
        <v>Десерт</v>
      </c>
      <c r="F5525">
        <f>VLOOKUP(C5525,Меню!A:E,5,0)</f>
        <v>150</v>
      </c>
    </row>
    <row r="5526" spans="1:6" ht="15.75" hidden="1" customHeight="1" x14ac:dyDescent="0.35">
      <c r="A5526" s="1">
        <v>5525</v>
      </c>
      <c r="B5526" s="1">
        <v>1085</v>
      </c>
      <c r="C5526" s="1">
        <v>3</v>
      </c>
      <c r="D5526" t="str">
        <f>VLOOKUP(B5526,Заказы!A:C,3,0)</f>
        <v>2023-11-24 16:18:00</v>
      </c>
      <c r="E5526" t="str">
        <f>VLOOKUP(C5526,Меню!A:E,4,0)</f>
        <v>Завтрак</v>
      </c>
      <c r="F5526">
        <f>VLOOKUP(C5526,Меню!A:E,5,0)</f>
        <v>150</v>
      </c>
    </row>
    <row r="5527" spans="1:6" ht="15.75" hidden="1" customHeight="1" x14ac:dyDescent="0.35">
      <c r="A5527" s="1">
        <v>5526</v>
      </c>
      <c r="B5527" s="1">
        <v>1085</v>
      </c>
      <c r="C5527" s="1">
        <v>10</v>
      </c>
      <c r="D5527" t="str">
        <f>VLOOKUP(B5527,Заказы!A:C,3,0)</f>
        <v>2023-11-24 16:18:00</v>
      </c>
      <c r="E5527" t="str">
        <f>VLOOKUP(C5527,Меню!A:E,4,0)</f>
        <v>Завтрак</v>
      </c>
      <c r="F5527">
        <f>VLOOKUP(C5527,Меню!A:E,5,0)</f>
        <v>200</v>
      </c>
    </row>
    <row r="5528" spans="1:6" ht="15.75" hidden="1" customHeight="1" x14ac:dyDescent="0.35">
      <c r="A5528" s="1">
        <v>5527</v>
      </c>
      <c r="B5528" s="1">
        <v>1085</v>
      </c>
      <c r="C5528" s="1">
        <v>52</v>
      </c>
      <c r="D5528" t="str">
        <f>VLOOKUP(B5528,Заказы!A:C,3,0)</f>
        <v>2023-11-24 16:18:00</v>
      </c>
      <c r="E5528" t="str">
        <f>VLOOKUP(C5528,Меню!A:E,4,0)</f>
        <v>Суши</v>
      </c>
      <c r="F5528">
        <f>VLOOKUP(C5528,Меню!A:E,5,0)</f>
        <v>100</v>
      </c>
    </row>
    <row r="5529" spans="1:6" ht="15.75" hidden="1" customHeight="1" x14ac:dyDescent="0.35">
      <c r="A5529" s="1">
        <v>5528</v>
      </c>
      <c r="B5529" s="1">
        <v>1085</v>
      </c>
      <c r="C5529" s="1">
        <v>2</v>
      </c>
      <c r="D5529" t="str">
        <f>VLOOKUP(B5529,Заказы!A:C,3,0)</f>
        <v>2023-11-24 16:18:00</v>
      </c>
      <c r="E5529" t="str">
        <f>VLOOKUP(C5529,Меню!A:E,4,0)</f>
        <v>Завтрак</v>
      </c>
      <c r="F5529">
        <f>VLOOKUP(C5529,Меню!A:E,5,0)</f>
        <v>250</v>
      </c>
    </row>
    <row r="5530" spans="1:6" ht="15.75" hidden="1" customHeight="1" x14ac:dyDescent="0.35">
      <c r="A5530" s="1">
        <v>5529</v>
      </c>
      <c r="B5530" s="1">
        <v>1085</v>
      </c>
      <c r="C5530" s="1">
        <v>38</v>
      </c>
      <c r="D5530" t="str">
        <f>VLOOKUP(B5530,Заказы!A:C,3,0)</f>
        <v>2023-11-24 16:18:00</v>
      </c>
      <c r="E5530" t="str">
        <f>VLOOKUP(C5530,Меню!A:E,4,0)</f>
        <v>Десерт</v>
      </c>
      <c r="F5530">
        <f>VLOOKUP(C5530,Меню!A:E,5,0)</f>
        <v>150</v>
      </c>
    </row>
    <row r="5531" spans="1:6" ht="15.75" hidden="1" customHeight="1" x14ac:dyDescent="0.35">
      <c r="A5531" s="1">
        <v>5530</v>
      </c>
      <c r="B5531" s="1">
        <v>1085</v>
      </c>
      <c r="C5531" s="1">
        <v>60</v>
      </c>
      <c r="D5531" t="str">
        <f>VLOOKUP(B5531,Заказы!A:C,3,0)</f>
        <v>2023-11-24 16:18:00</v>
      </c>
      <c r="E5531" t="str">
        <f>VLOOKUP(C5531,Меню!A:E,4,0)</f>
        <v>Суши</v>
      </c>
      <c r="F5531">
        <f>VLOOKUP(C5531,Меню!A:E,5,0)</f>
        <v>250</v>
      </c>
    </row>
    <row r="5532" spans="1:6" ht="15.75" hidden="1" customHeight="1" x14ac:dyDescent="0.35">
      <c r="A5532" s="1">
        <v>5531</v>
      </c>
      <c r="B5532" s="1">
        <v>1086</v>
      </c>
      <c r="C5532" s="1">
        <v>49</v>
      </c>
      <c r="D5532" t="str">
        <f>VLOOKUP(B5532,Заказы!A:C,3,0)</f>
        <v>2023-11-24 17:07:00</v>
      </c>
      <c r="E5532" t="str">
        <f>VLOOKUP(C5532,Меню!A:E,4,0)</f>
        <v>Суши</v>
      </c>
      <c r="F5532">
        <f>VLOOKUP(C5532,Меню!A:E,5,0)</f>
        <v>200</v>
      </c>
    </row>
    <row r="5533" spans="1:6" ht="15.75" hidden="1" customHeight="1" x14ac:dyDescent="0.35">
      <c r="A5533" s="1">
        <v>5532</v>
      </c>
      <c r="B5533" s="1">
        <v>1086</v>
      </c>
      <c r="C5533" s="1">
        <v>41</v>
      </c>
      <c r="D5533" t="str">
        <f>VLOOKUP(B5533,Заказы!A:C,3,0)</f>
        <v>2023-11-24 17:07:00</v>
      </c>
      <c r="E5533" t="str">
        <f>VLOOKUP(C5533,Меню!A:E,4,0)</f>
        <v>Суши</v>
      </c>
      <c r="F5533">
        <f>VLOOKUP(C5533,Меню!A:E,5,0)</f>
        <v>220</v>
      </c>
    </row>
    <row r="5534" spans="1:6" ht="15.75" hidden="1" customHeight="1" x14ac:dyDescent="0.35">
      <c r="A5534" s="1">
        <v>5533</v>
      </c>
      <c r="B5534" s="1">
        <v>1086</v>
      </c>
      <c r="C5534" s="1">
        <v>42</v>
      </c>
      <c r="D5534" t="str">
        <f>VLOOKUP(B5534,Заказы!A:C,3,0)</f>
        <v>2023-11-24 17:07:00</v>
      </c>
      <c r="E5534" t="str">
        <f>VLOOKUP(C5534,Меню!A:E,4,0)</f>
        <v>Суши</v>
      </c>
      <c r="F5534">
        <f>VLOOKUP(C5534,Меню!A:E,5,0)</f>
        <v>250</v>
      </c>
    </row>
    <row r="5535" spans="1:6" ht="15.75" hidden="1" customHeight="1" x14ac:dyDescent="0.35">
      <c r="A5535" s="1">
        <v>5534</v>
      </c>
      <c r="B5535" s="1">
        <v>1086</v>
      </c>
      <c r="C5535" s="1">
        <v>32</v>
      </c>
      <c r="D5535" t="str">
        <f>VLOOKUP(B5535,Заказы!A:C,3,0)</f>
        <v>2023-11-24 17:07:00</v>
      </c>
      <c r="E5535" t="str">
        <f>VLOOKUP(C5535,Меню!A:E,4,0)</f>
        <v>Десерт</v>
      </c>
      <c r="F5535">
        <f>VLOOKUP(C5535,Меню!A:E,5,0)</f>
        <v>150</v>
      </c>
    </row>
    <row r="5536" spans="1:6" ht="15.75" hidden="1" customHeight="1" x14ac:dyDescent="0.35">
      <c r="A5536" s="1">
        <v>5535</v>
      </c>
      <c r="B5536" s="1">
        <v>1086</v>
      </c>
      <c r="C5536" s="1">
        <v>17</v>
      </c>
      <c r="D5536" t="str">
        <f>VLOOKUP(B5536,Заказы!A:C,3,0)</f>
        <v>2023-11-24 17:07:00</v>
      </c>
      <c r="E5536" t="str">
        <f>VLOOKUP(C5536,Меню!A:E,4,0)</f>
        <v>Первое</v>
      </c>
      <c r="F5536">
        <f>VLOOKUP(C5536,Меню!A:E,5,0)</f>
        <v>250</v>
      </c>
    </row>
    <row r="5537" spans="1:6" ht="15.75" hidden="1" customHeight="1" x14ac:dyDescent="0.35">
      <c r="A5537" s="1">
        <v>5536</v>
      </c>
      <c r="B5537" s="1">
        <v>1086</v>
      </c>
      <c r="C5537" s="1">
        <v>59</v>
      </c>
      <c r="D5537" t="str">
        <f>VLOOKUP(B5537,Заказы!A:C,3,0)</f>
        <v>2023-11-24 17:07:00</v>
      </c>
      <c r="E5537" t="str">
        <f>VLOOKUP(C5537,Меню!A:E,4,0)</f>
        <v>Суши</v>
      </c>
      <c r="F5537">
        <f>VLOOKUP(C5537,Меню!A:E,5,0)</f>
        <v>300</v>
      </c>
    </row>
    <row r="5538" spans="1:6" ht="15.75" hidden="1" customHeight="1" x14ac:dyDescent="0.35">
      <c r="A5538" s="1">
        <v>5537</v>
      </c>
      <c r="B5538" s="1">
        <v>1086</v>
      </c>
      <c r="C5538" s="1">
        <v>8</v>
      </c>
      <c r="D5538" t="str">
        <f>VLOOKUP(B5538,Заказы!A:C,3,0)</f>
        <v>2023-11-24 17:07:00</v>
      </c>
      <c r="E5538" t="str">
        <f>VLOOKUP(C5538,Меню!A:E,4,0)</f>
        <v>Завтрак</v>
      </c>
      <c r="F5538">
        <f>VLOOKUP(C5538,Меню!A:E,5,0)</f>
        <v>180</v>
      </c>
    </row>
    <row r="5539" spans="1:6" ht="15.75" hidden="1" customHeight="1" x14ac:dyDescent="0.35">
      <c r="A5539" s="1">
        <v>5538</v>
      </c>
      <c r="B5539" s="1">
        <v>1086</v>
      </c>
      <c r="C5539" s="1">
        <v>55</v>
      </c>
      <c r="D5539" t="str">
        <f>VLOOKUP(B5539,Заказы!A:C,3,0)</f>
        <v>2023-11-24 17:07:00</v>
      </c>
      <c r="E5539" t="str">
        <f>VLOOKUP(C5539,Меню!A:E,4,0)</f>
        <v>Суши</v>
      </c>
      <c r="F5539">
        <f>VLOOKUP(C5539,Меню!A:E,5,0)</f>
        <v>100</v>
      </c>
    </row>
    <row r="5540" spans="1:6" ht="15.75" hidden="1" customHeight="1" x14ac:dyDescent="0.35">
      <c r="A5540" s="1">
        <v>5539</v>
      </c>
      <c r="B5540" s="1">
        <v>1087</v>
      </c>
      <c r="C5540" s="1">
        <v>4</v>
      </c>
      <c r="D5540" t="str">
        <f>VLOOKUP(B5540,Заказы!A:C,3,0)</f>
        <v>2023-11-24 21:53:00</v>
      </c>
      <c r="E5540" t="str">
        <f>VLOOKUP(C5540,Меню!A:E,4,0)</f>
        <v>Завтрак</v>
      </c>
      <c r="F5540">
        <f>VLOOKUP(C5540,Меню!A:E,5,0)</f>
        <v>180</v>
      </c>
    </row>
    <row r="5541" spans="1:6" ht="15.75" hidden="1" customHeight="1" x14ac:dyDescent="0.35">
      <c r="A5541" s="1">
        <v>5540</v>
      </c>
      <c r="B5541" s="1">
        <v>1087</v>
      </c>
      <c r="C5541" s="1">
        <v>9</v>
      </c>
      <c r="D5541" t="str">
        <f>VLOOKUP(B5541,Заказы!A:C,3,0)</f>
        <v>2023-11-24 21:53:00</v>
      </c>
      <c r="E5541" t="str">
        <f>VLOOKUP(C5541,Меню!A:E,4,0)</f>
        <v>Завтрак</v>
      </c>
      <c r="F5541">
        <f>VLOOKUP(C5541,Меню!A:E,5,0)</f>
        <v>220</v>
      </c>
    </row>
    <row r="5542" spans="1:6" ht="15.75" hidden="1" customHeight="1" x14ac:dyDescent="0.35">
      <c r="A5542" s="1">
        <v>5541</v>
      </c>
      <c r="B5542" s="1">
        <v>1088</v>
      </c>
      <c r="C5542" s="1">
        <v>21</v>
      </c>
      <c r="D5542" t="str">
        <f>VLOOKUP(B5542,Заказы!A:C,3,0)</f>
        <v>2023-11-24 22:28:00</v>
      </c>
      <c r="E5542" t="str">
        <f>VLOOKUP(C5542,Меню!A:E,4,0)</f>
        <v>Салат</v>
      </c>
      <c r="F5542">
        <f>VLOOKUP(C5542,Меню!A:E,5,0)</f>
        <v>250</v>
      </c>
    </row>
    <row r="5543" spans="1:6" ht="15.75" hidden="1" customHeight="1" x14ac:dyDescent="0.35">
      <c r="A5543" s="1">
        <v>5542</v>
      </c>
      <c r="B5543" s="1">
        <v>1088</v>
      </c>
      <c r="C5543" s="1">
        <v>14</v>
      </c>
      <c r="D5543" t="str">
        <f>VLOOKUP(B5543,Заказы!A:C,3,0)</f>
        <v>2023-11-24 22:28:00</v>
      </c>
      <c r="E5543" t="str">
        <f>VLOOKUP(C5543,Меню!A:E,4,0)</f>
        <v>Первое</v>
      </c>
      <c r="F5543">
        <f>VLOOKUP(C5543,Меню!A:E,5,0)</f>
        <v>350</v>
      </c>
    </row>
    <row r="5544" spans="1:6" ht="15.75" hidden="1" customHeight="1" x14ac:dyDescent="0.35">
      <c r="A5544" s="1">
        <v>5543</v>
      </c>
      <c r="B5544" s="1">
        <v>1088</v>
      </c>
      <c r="C5544" s="1">
        <v>53</v>
      </c>
      <c r="D5544" t="str">
        <f>VLOOKUP(B5544,Заказы!A:C,3,0)</f>
        <v>2023-11-24 22:28:00</v>
      </c>
      <c r="E5544" t="str">
        <f>VLOOKUP(C5544,Меню!A:E,4,0)</f>
        <v>Суши</v>
      </c>
      <c r="F5544">
        <f>VLOOKUP(C5544,Меню!A:E,5,0)</f>
        <v>100</v>
      </c>
    </row>
    <row r="5545" spans="1:6" ht="15.75" hidden="1" customHeight="1" x14ac:dyDescent="0.35">
      <c r="A5545" s="1">
        <v>5544</v>
      </c>
      <c r="B5545" s="1">
        <v>1088</v>
      </c>
      <c r="C5545" s="1">
        <v>46</v>
      </c>
      <c r="D5545" t="str">
        <f>VLOOKUP(B5545,Заказы!A:C,3,0)</f>
        <v>2023-11-24 22:28:00</v>
      </c>
      <c r="E5545" t="str">
        <f>VLOOKUP(C5545,Меню!A:E,4,0)</f>
        <v>Суши</v>
      </c>
      <c r="F5545">
        <f>VLOOKUP(C5545,Меню!A:E,5,0)</f>
        <v>200</v>
      </c>
    </row>
    <row r="5546" spans="1:6" ht="15.75" hidden="1" customHeight="1" x14ac:dyDescent="0.35">
      <c r="A5546" s="1">
        <v>5545</v>
      </c>
      <c r="B5546" s="1">
        <v>1088</v>
      </c>
      <c r="C5546" s="1">
        <v>38</v>
      </c>
      <c r="D5546" t="str">
        <f>VLOOKUP(B5546,Заказы!A:C,3,0)</f>
        <v>2023-11-24 22:28:00</v>
      </c>
      <c r="E5546" t="str">
        <f>VLOOKUP(C5546,Меню!A:E,4,0)</f>
        <v>Десерт</v>
      </c>
      <c r="F5546">
        <f>VLOOKUP(C5546,Меню!A:E,5,0)</f>
        <v>150</v>
      </c>
    </row>
    <row r="5547" spans="1:6" ht="15.75" hidden="1" customHeight="1" x14ac:dyDescent="0.35">
      <c r="A5547" s="1">
        <v>5546</v>
      </c>
      <c r="B5547" s="1">
        <v>1088</v>
      </c>
      <c r="C5547" s="1">
        <v>18</v>
      </c>
      <c r="D5547" t="str">
        <f>VLOOKUP(B5547,Заказы!A:C,3,0)</f>
        <v>2023-11-24 22:28:00</v>
      </c>
      <c r="E5547" t="str">
        <f>VLOOKUP(C5547,Меню!A:E,4,0)</f>
        <v>Первое</v>
      </c>
      <c r="F5547">
        <f>VLOOKUP(C5547,Меню!A:E,5,0)</f>
        <v>300</v>
      </c>
    </row>
    <row r="5548" spans="1:6" ht="15.75" hidden="1" customHeight="1" x14ac:dyDescent="0.35">
      <c r="A5548" s="1">
        <v>5547</v>
      </c>
      <c r="B5548" s="1">
        <v>1088</v>
      </c>
      <c r="C5548" s="1">
        <v>19</v>
      </c>
      <c r="D5548" t="str">
        <f>VLOOKUP(B5548,Заказы!A:C,3,0)</f>
        <v>2023-11-24 22:28:00</v>
      </c>
      <c r="E5548" t="str">
        <f>VLOOKUP(C5548,Меню!A:E,4,0)</f>
        <v>Первое</v>
      </c>
      <c r="F5548">
        <f>VLOOKUP(C5548,Меню!A:E,5,0)</f>
        <v>300</v>
      </c>
    </row>
    <row r="5549" spans="1:6" ht="15.75" hidden="1" customHeight="1" x14ac:dyDescent="0.35">
      <c r="A5549" s="1">
        <v>5548</v>
      </c>
      <c r="B5549" s="1">
        <v>1088</v>
      </c>
      <c r="C5549" s="1">
        <v>49</v>
      </c>
      <c r="D5549" t="str">
        <f>VLOOKUP(B5549,Заказы!A:C,3,0)</f>
        <v>2023-11-24 22:28:00</v>
      </c>
      <c r="E5549" t="str">
        <f>VLOOKUP(C5549,Меню!A:E,4,0)</f>
        <v>Суши</v>
      </c>
      <c r="F5549">
        <f>VLOOKUP(C5549,Меню!A:E,5,0)</f>
        <v>200</v>
      </c>
    </row>
    <row r="5550" spans="1:6" ht="15.75" hidden="1" customHeight="1" x14ac:dyDescent="0.35">
      <c r="A5550" s="1">
        <v>5549</v>
      </c>
      <c r="B5550" s="1">
        <v>1088</v>
      </c>
      <c r="C5550" s="1">
        <v>23</v>
      </c>
      <c r="D5550" t="str">
        <f>VLOOKUP(B5550,Заказы!A:C,3,0)</f>
        <v>2023-11-24 22:28:00</v>
      </c>
      <c r="E5550" t="str">
        <f>VLOOKUP(C5550,Меню!A:E,4,0)</f>
        <v>Салат</v>
      </c>
      <c r="F5550">
        <f>VLOOKUP(C5550,Меню!A:E,5,0)</f>
        <v>250</v>
      </c>
    </row>
    <row r="5551" spans="1:6" ht="15.75" hidden="1" customHeight="1" x14ac:dyDescent="0.35">
      <c r="A5551" s="1">
        <v>5550</v>
      </c>
      <c r="B5551" s="1">
        <v>1089</v>
      </c>
      <c r="C5551" s="1">
        <v>33</v>
      </c>
      <c r="D5551" t="str">
        <f>VLOOKUP(B5551,Заказы!A:C,3,0)</f>
        <v>2023-11-25 18:05:00</v>
      </c>
      <c r="E5551" t="str">
        <f>VLOOKUP(C5551,Меню!A:E,4,0)</f>
        <v>Десерт</v>
      </c>
      <c r="F5551">
        <f>VLOOKUP(C5551,Меню!A:E,5,0)</f>
        <v>150</v>
      </c>
    </row>
    <row r="5552" spans="1:6" ht="15.75" hidden="1" customHeight="1" x14ac:dyDescent="0.35">
      <c r="A5552" s="1">
        <v>5551</v>
      </c>
      <c r="B5552" s="1">
        <v>1089</v>
      </c>
      <c r="C5552" s="1">
        <v>11</v>
      </c>
      <c r="D5552" t="str">
        <f>VLOOKUP(B5552,Заказы!A:C,3,0)</f>
        <v>2023-11-25 18:05:00</v>
      </c>
      <c r="E5552" t="str">
        <f>VLOOKUP(C5552,Меню!A:E,4,0)</f>
        <v>Первое</v>
      </c>
      <c r="F5552">
        <f>VLOOKUP(C5552,Меню!A:E,5,0)</f>
        <v>300</v>
      </c>
    </row>
    <row r="5553" spans="1:6" ht="15.75" hidden="1" customHeight="1" x14ac:dyDescent="0.35">
      <c r="A5553" s="1">
        <v>5552</v>
      </c>
      <c r="B5553" s="1">
        <v>1090</v>
      </c>
      <c r="C5553" s="1">
        <v>6</v>
      </c>
      <c r="D5553" t="str">
        <f>VLOOKUP(B5553,Заказы!A:C,3,0)</f>
        <v>2023-11-25 19:56:00</v>
      </c>
      <c r="E5553" t="str">
        <f>VLOOKUP(C5553,Меню!A:E,4,0)</f>
        <v>Завтрак</v>
      </c>
      <c r="F5553">
        <f>VLOOKUP(C5553,Меню!A:E,5,0)</f>
        <v>300</v>
      </c>
    </row>
    <row r="5554" spans="1:6" ht="15.75" hidden="1" customHeight="1" x14ac:dyDescent="0.35">
      <c r="A5554" s="1">
        <v>5553</v>
      </c>
      <c r="B5554" s="1">
        <v>1090</v>
      </c>
      <c r="C5554" s="1">
        <v>46</v>
      </c>
      <c r="D5554" t="str">
        <f>VLOOKUP(B5554,Заказы!A:C,3,0)</f>
        <v>2023-11-25 19:56:00</v>
      </c>
      <c r="E5554" t="str">
        <f>VLOOKUP(C5554,Меню!A:E,4,0)</f>
        <v>Суши</v>
      </c>
      <c r="F5554">
        <f>VLOOKUP(C5554,Меню!A:E,5,0)</f>
        <v>200</v>
      </c>
    </row>
    <row r="5555" spans="1:6" ht="15.75" hidden="1" customHeight="1" x14ac:dyDescent="0.35">
      <c r="A5555" s="1">
        <v>5554</v>
      </c>
      <c r="B5555" s="1">
        <v>1090</v>
      </c>
      <c r="C5555" s="1">
        <v>35</v>
      </c>
      <c r="D5555" t="str">
        <f>VLOOKUP(B5555,Заказы!A:C,3,0)</f>
        <v>2023-11-25 19:56:00</v>
      </c>
      <c r="E5555" t="str">
        <f>VLOOKUP(C5555,Меню!A:E,4,0)</f>
        <v>Десерт</v>
      </c>
      <c r="F5555">
        <f>VLOOKUP(C5555,Меню!A:E,5,0)</f>
        <v>150</v>
      </c>
    </row>
    <row r="5556" spans="1:6" ht="15.75" hidden="1" customHeight="1" x14ac:dyDescent="0.35">
      <c r="A5556" s="1">
        <v>5555</v>
      </c>
      <c r="B5556" s="1">
        <v>1090</v>
      </c>
      <c r="C5556" s="1">
        <v>37</v>
      </c>
      <c r="D5556" t="str">
        <f>VLOOKUP(B5556,Заказы!A:C,3,0)</f>
        <v>2023-11-25 19:56:00</v>
      </c>
      <c r="E5556" t="str">
        <f>VLOOKUP(C5556,Меню!A:E,4,0)</f>
        <v>Десерт</v>
      </c>
      <c r="F5556">
        <f>VLOOKUP(C5556,Меню!A:E,5,0)</f>
        <v>100</v>
      </c>
    </row>
    <row r="5557" spans="1:6" ht="15.75" hidden="1" customHeight="1" x14ac:dyDescent="0.35">
      <c r="A5557" s="1">
        <v>5556</v>
      </c>
      <c r="B5557" s="1">
        <v>1090</v>
      </c>
      <c r="C5557" s="1">
        <v>4</v>
      </c>
      <c r="D5557" t="str">
        <f>VLOOKUP(B5557,Заказы!A:C,3,0)</f>
        <v>2023-11-25 19:56:00</v>
      </c>
      <c r="E5557" t="str">
        <f>VLOOKUP(C5557,Меню!A:E,4,0)</f>
        <v>Завтрак</v>
      </c>
      <c r="F5557">
        <f>VLOOKUP(C5557,Меню!A:E,5,0)</f>
        <v>180</v>
      </c>
    </row>
    <row r="5558" spans="1:6" ht="15.75" hidden="1" customHeight="1" x14ac:dyDescent="0.35">
      <c r="A5558" s="1">
        <v>5557</v>
      </c>
      <c r="B5558" s="1">
        <v>1091</v>
      </c>
      <c r="C5558" s="1">
        <v>4</v>
      </c>
      <c r="D5558" t="str">
        <f>VLOOKUP(B5558,Заказы!A:C,3,0)</f>
        <v>2023-11-25 21:28:00</v>
      </c>
      <c r="E5558" t="str">
        <f>VLOOKUP(C5558,Меню!A:E,4,0)</f>
        <v>Завтрак</v>
      </c>
      <c r="F5558">
        <f>VLOOKUP(C5558,Меню!A:E,5,0)</f>
        <v>180</v>
      </c>
    </row>
    <row r="5559" spans="1:6" ht="15.75" hidden="1" customHeight="1" x14ac:dyDescent="0.35">
      <c r="A5559" s="1">
        <v>5558</v>
      </c>
      <c r="B5559" s="1">
        <v>1091</v>
      </c>
      <c r="C5559" s="1">
        <v>48</v>
      </c>
      <c r="D5559" t="str">
        <f>VLOOKUP(B5559,Заказы!A:C,3,0)</f>
        <v>2023-11-25 21:28:00</v>
      </c>
      <c r="E5559" t="str">
        <f>VLOOKUP(C5559,Меню!A:E,4,0)</f>
        <v>Суши</v>
      </c>
      <c r="F5559">
        <f>VLOOKUP(C5559,Меню!A:E,5,0)</f>
        <v>200</v>
      </c>
    </row>
    <row r="5560" spans="1:6" ht="15.75" hidden="1" customHeight="1" x14ac:dyDescent="0.35">
      <c r="A5560" s="1">
        <v>5559</v>
      </c>
      <c r="B5560" s="1">
        <v>1091</v>
      </c>
      <c r="C5560" s="1">
        <v>21</v>
      </c>
      <c r="D5560" t="str">
        <f>VLOOKUP(B5560,Заказы!A:C,3,0)</f>
        <v>2023-11-25 21:28:00</v>
      </c>
      <c r="E5560" t="str">
        <f>VLOOKUP(C5560,Меню!A:E,4,0)</f>
        <v>Салат</v>
      </c>
      <c r="F5560">
        <f>VLOOKUP(C5560,Меню!A:E,5,0)</f>
        <v>250</v>
      </c>
    </row>
    <row r="5561" spans="1:6" ht="15.75" hidden="1" customHeight="1" x14ac:dyDescent="0.35">
      <c r="A5561" s="1">
        <v>5560</v>
      </c>
      <c r="B5561" s="1">
        <v>1091</v>
      </c>
      <c r="C5561" s="1">
        <v>5</v>
      </c>
      <c r="D5561" t="str">
        <f>VLOOKUP(B5561,Заказы!A:C,3,0)</f>
        <v>2023-11-25 21:28:00</v>
      </c>
      <c r="E5561" t="str">
        <f>VLOOKUP(C5561,Меню!A:E,4,0)</f>
        <v>Завтрак</v>
      </c>
      <c r="F5561">
        <f>VLOOKUP(C5561,Меню!A:E,5,0)</f>
        <v>220</v>
      </c>
    </row>
    <row r="5562" spans="1:6" ht="15.75" hidden="1" customHeight="1" x14ac:dyDescent="0.35">
      <c r="A5562" s="1">
        <v>5561</v>
      </c>
      <c r="B5562" s="1">
        <v>1091</v>
      </c>
      <c r="C5562" s="1">
        <v>40</v>
      </c>
      <c r="D5562" t="str">
        <f>VLOOKUP(B5562,Заказы!A:C,3,0)</f>
        <v>2023-11-25 21:28:00</v>
      </c>
      <c r="E5562" t="str">
        <f>VLOOKUP(C5562,Меню!A:E,4,0)</f>
        <v>Десерт</v>
      </c>
      <c r="F5562">
        <f>VLOOKUP(C5562,Меню!A:E,5,0)</f>
        <v>150</v>
      </c>
    </row>
    <row r="5563" spans="1:6" ht="15.75" hidden="1" customHeight="1" x14ac:dyDescent="0.35">
      <c r="A5563" s="1">
        <v>5562</v>
      </c>
      <c r="B5563" s="1">
        <v>1091</v>
      </c>
      <c r="C5563" s="1">
        <v>60</v>
      </c>
      <c r="D5563" t="str">
        <f>VLOOKUP(B5563,Заказы!A:C,3,0)</f>
        <v>2023-11-25 21:28:00</v>
      </c>
      <c r="E5563" t="str">
        <f>VLOOKUP(C5563,Меню!A:E,4,0)</f>
        <v>Суши</v>
      </c>
      <c r="F5563">
        <f>VLOOKUP(C5563,Меню!A:E,5,0)</f>
        <v>250</v>
      </c>
    </row>
    <row r="5564" spans="1:6" ht="15.75" hidden="1" customHeight="1" x14ac:dyDescent="0.35">
      <c r="A5564" s="1">
        <v>5563</v>
      </c>
      <c r="B5564" s="1">
        <v>1091</v>
      </c>
      <c r="C5564" s="1">
        <v>9</v>
      </c>
      <c r="D5564" t="str">
        <f>VLOOKUP(B5564,Заказы!A:C,3,0)</f>
        <v>2023-11-25 21:28:00</v>
      </c>
      <c r="E5564" t="str">
        <f>VLOOKUP(C5564,Меню!A:E,4,0)</f>
        <v>Завтрак</v>
      </c>
      <c r="F5564">
        <f>VLOOKUP(C5564,Меню!A:E,5,0)</f>
        <v>220</v>
      </c>
    </row>
    <row r="5565" spans="1:6" ht="15.75" hidden="1" customHeight="1" x14ac:dyDescent="0.35">
      <c r="A5565" s="1">
        <v>5564</v>
      </c>
      <c r="B5565" s="1">
        <v>1091</v>
      </c>
      <c r="C5565" s="1">
        <v>59</v>
      </c>
      <c r="D5565" t="str">
        <f>VLOOKUP(B5565,Заказы!A:C,3,0)</f>
        <v>2023-11-25 21:28:00</v>
      </c>
      <c r="E5565" t="str">
        <f>VLOOKUP(C5565,Меню!A:E,4,0)</f>
        <v>Суши</v>
      </c>
      <c r="F5565">
        <f>VLOOKUP(C5565,Меню!A:E,5,0)</f>
        <v>300</v>
      </c>
    </row>
    <row r="5566" spans="1:6" ht="15.75" hidden="1" customHeight="1" x14ac:dyDescent="0.35">
      <c r="A5566" s="1">
        <v>5565</v>
      </c>
      <c r="B5566" s="1">
        <v>1092</v>
      </c>
      <c r="C5566" s="1">
        <v>23</v>
      </c>
      <c r="D5566" t="str">
        <f>VLOOKUP(B5566,Заказы!A:C,3,0)</f>
        <v>2023-11-25 21:52:00</v>
      </c>
      <c r="E5566" t="str">
        <f>VLOOKUP(C5566,Меню!A:E,4,0)</f>
        <v>Салат</v>
      </c>
      <c r="F5566">
        <f>VLOOKUP(C5566,Меню!A:E,5,0)</f>
        <v>250</v>
      </c>
    </row>
    <row r="5567" spans="1:6" ht="15.75" hidden="1" customHeight="1" x14ac:dyDescent="0.35">
      <c r="A5567" s="1">
        <v>5566</v>
      </c>
      <c r="B5567" s="1">
        <v>1092</v>
      </c>
      <c r="C5567" s="1">
        <v>6</v>
      </c>
      <c r="D5567" t="str">
        <f>VLOOKUP(B5567,Заказы!A:C,3,0)</f>
        <v>2023-11-25 21:52:00</v>
      </c>
      <c r="E5567" t="str">
        <f>VLOOKUP(C5567,Меню!A:E,4,0)</f>
        <v>Завтрак</v>
      </c>
      <c r="F5567">
        <f>VLOOKUP(C5567,Меню!A:E,5,0)</f>
        <v>300</v>
      </c>
    </row>
    <row r="5568" spans="1:6" ht="15.75" hidden="1" customHeight="1" x14ac:dyDescent="0.35">
      <c r="A5568" s="1">
        <v>5567</v>
      </c>
      <c r="B5568" s="1">
        <v>1092</v>
      </c>
      <c r="C5568" s="1">
        <v>55</v>
      </c>
      <c r="D5568" t="str">
        <f>VLOOKUP(B5568,Заказы!A:C,3,0)</f>
        <v>2023-11-25 21:52:00</v>
      </c>
      <c r="E5568" t="str">
        <f>VLOOKUP(C5568,Меню!A:E,4,0)</f>
        <v>Суши</v>
      </c>
      <c r="F5568">
        <f>VLOOKUP(C5568,Меню!A:E,5,0)</f>
        <v>100</v>
      </c>
    </row>
    <row r="5569" spans="1:6" ht="15.75" hidden="1" customHeight="1" x14ac:dyDescent="0.35">
      <c r="A5569" s="1">
        <v>5568</v>
      </c>
      <c r="B5569" s="1">
        <v>1092</v>
      </c>
      <c r="C5569" s="1">
        <v>17</v>
      </c>
      <c r="D5569" t="str">
        <f>VLOOKUP(B5569,Заказы!A:C,3,0)</f>
        <v>2023-11-25 21:52:00</v>
      </c>
      <c r="E5569" t="str">
        <f>VLOOKUP(C5569,Меню!A:E,4,0)</f>
        <v>Первое</v>
      </c>
      <c r="F5569">
        <f>VLOOKUP(C5569,Меню!A:E,5,0)</f>
        <v>250</v>
      </c>
    </row>
    <row r="5570" spans="1:6" ht="15.75" hidden="1" customHeight="1" x14ac:dyDescent="0.35">
      <c r="A5570" s="1">
        <v>5569</v>
      </c>
      <c r="B5570" s="1">
        <v>1093</v>
      </c>
      <c r="C5570" s="1">
        <v>11</v>
      </c>
      <c r="D5570" t="str">
        <f>VLOOKUP(B5570,Заказы!A:C,3,0)</f>
        <v>2023-11-25 22:18:00</v>
      </c>
      <c r="E5570" t="str">
        <f>VLOOKUP(C5570,Меню!A:E,4,0)</f>
        <v>Первое</v>
      </c>
      <c r="F5570">
        <f>VLOOKUP(C5570,Меню!A:E,5,0)</f>
        <v>300</v>
      </c>
    </row>
    <row r="5571" spans="1:6" ht="15.75" hidden="1" customHeight="1" x14ac:dyDescent="0.35">
      <c r="A5571" s="1">
        <v>5570</v>
      </c>
      <c r="B5571" s="1">
        <v>1093</v>
      </c>
      <c r="C5571" s="1">
        <v>23</v>
      </c>
      <c r="D5571" t="str">
        <f>VLOOKUP(B5571,Заказы!A:C,3,0)</f>
        <v>2023-11-25 22:18:00</v>
      </c>
      <c r="E5571" t="str">
        <f>VLOOKUP(C5571,Меню!A:E,4,0)</f>
        <v>Салат</v>
      </c>
      <c r="F5571">
        <f>VLOOKUP(C5571,Меню!A:E,5,0)</f>
        <v>250</v>
      </c>
    </row>
    <row r="5572" spans="1:6" ht="15.75" hidden="1" customHeight="1" x14ac:dyDescent="0.35">
      <c r="A5572" s="1">
        <v>5571</v>
      </c>
      <c r="B5572" s="1">
        <v>1093</v>
      </c>
      <c r="C5572" s="1">
        <v>59</v>
      </c>
      <c r="D5572" t="str">
        <f>VLOOKUP(B5572,Заказы!A:C,3,0)</f>
        <v>2023-11-25 22:18:00</v>
      </c>
      <c r="E5572" t="str">
        <f>VLOOKUP(C5572,Меню!A:E,4,0)</f>
        <v>Суши</v>
      </c>
      <c r="F5572">
        <f>VLOOKUP(C5572,Меню!A:E,5,0)</f>
        <v>300</v>
      </c>
    </row>
    <row r="5573" spans="1:6" ht="15.75" hidden="1" customHeight="1" x14ac:dyDescent="0.35">
      <c r="A5573" s="1">
        <v>5572</v>
      </c>
      <c r="B5573" s="1">
        <v>1093</v>
      </c>
      <c r="C5573" s="1">
        <v>48</v>
      </c>
      <c r="D5573" t="str">
        <f>VLOOKUP(B5573,Заказы!A:C,3,0)</f>
        <v>2023-11-25 22:18:00</v>
      </c>
      <c r="E5573" t="str">
        <f>VLOOKUP(C5573,Меню!A:E,4,0)</f>
        <v>Суши</v>
      </c>
      <c r="F5573">
        <f>VLOOKUP(C5573,Меню!A:E,5,0)</f>
        <v>200</v>
      </c>
    </row>
    <row r="5574" spans="1:6" ht="15.75" hidden="1" customHeight="1" x14ac:dyDescent="0.35">
      <c r="A5574" s="1">
        <v>5573</v>
      </c>
      <c r="B5574" s="1">
        <v>1093</v>
      </c>
      <c r="C5574" s="1">
        <v>14</v>
      </c>
      <c r="D5574" t="str">
        <f>VLOOKUP(B5574,Заказы!A:C,3,0)</f>
        <v>2023-11-25 22:18:00</v>
      </c>
      <c r="E5574" t="str">
        <f>VLOOKUP(C5574,Меню!A:E,4,0)</f>
        <v>Первое</v>
      </c>
      <c r="F5574">
        <f>VLOOKUP(C5574,Меню!A:E,5,0)</f>
        <v>350</v>
      </c>
    </row>
    <row r="5575" spans="1:6" ht="15.75" hidden="1" customHeight="1" x14ac:dyDescent="0.35">
      <c r="A5575" s="1">
        <v>5574</v>
      </c>
      <c r="B5575" s="1">
        <v>1093</v>
      </c>
      <c r="C5575" s="1">
        <v>19</v>
      </c>
      <c r="D5575" t="str">
        <f>VLOOKUP(B5575,Заказы!A:C,3,0)</f>
        <v>2023-11-25 22:18:00</v>
      </c>
      <c r="E5575" t="str">
        <f>VLOOKUP(C5575,Меню!A:E,4,0)</f>
        <v>Первое</v>
      </c>
      <c r="F5575">
        <f>VLOOKUP(C5575,Меню!A:E,5,0)</f>
        <v>300</v>
      </c>
    </row>
    <row r="5576" spans="1:6" ht="15.75" hidden="1" customHeight="1" x14ac:dyDescent="0.35">
      <c r="A5576" s="1">
        <v>5575</v>
      </c>
      <c r="B5576" s="1">
        <v>1094</v>
      </c>
      <c r="C5576" s="1">
        <v>34</v>
      </c>
      <c r="D5576" t="str">
        <f>VLOOKUP(B5576,Заказы!A:C,3,0)</f>
        <v>2023-11-26 15:08:00</v>
      </c>
      <c r="E5576" t="str">
        <f>VLOOKUP(C5576,Меню!A:E,4,0)</f>
        <v>Десерт</v>
      </c>
      <c r="F5576">
        <f>VLOOKUP(C5576,Меню!A:E,5,0)</f>
        <v>150</v>
      </c>
    </row>
    <row r="5577" spans="1:6" ht="15.75" hidden="1" customHeight="1" x14ac:dyDescent="0.35">
      <c r="A5577" s="1">
        <v>5576</v>
      </c>
      <c r="B5577" s="1">
        <v>1094</v>
      </c>
      <c r="C5577" s="1">
        <v>55</v>
      </c>
      <c r="D5577" t="str">
        <f>VLOOKUP(B5577,Заказы!A:C,3,0)</f>
        <v>2023-11-26 15:08:00</v>
      </c>
      <c r="E5577" t="str">
        <f>VLOOKUP(C5577,Меню!A:E,4,0)</f>
        <v>Суши</v>
      </c>
      <c r="F5577">
        <f>VLOOKUP(C5577,Меню!A:E,5,0)</f>
        <v>100</v>
      </c>
    </row>
    <row r="5578" spans="1:6" ht="15.75" hidden="1" customHeight="1" x14ac:dyDescent="0.35">
      <c r="A5578" s="1">
        <v>5577</v>
      </c>
      <c r="B5578" s="1">
        <v>1094</v>
      </c>
      <c r="C5578" s="1">
        <v>4</v>
      </c>
      <c r="D5578" t="str">
        <f>VLOOKUP(B5578,Заказы!A:C,3,0)</f>
        <v>2023-11-26 15:08:00</v>
      </c>
      <c r="E5578" t="str">
        <f>VLOOKUP(C5578,Меню!A:E,4,0)</f>
        <v>Завтрак</v>
      </c>
      <c r="F5578">
        <f>VLOOKUP(C5578,Меню!A:E,5,0)</f>
        <v>180</v>
      </c>
    </row>
    <row r="5579" spans="1:6" ht="15.75" hidden="1" customHeight="1" x14ac:dyDescent="0.35">
      <c r="A5579" s="1">
        <v>5578</v>
      </c>
      <c r="B5579" s="1">
        <v>1094</v>
      </c>
      <c r="C5579" s="1">
        <v>16</v>
      </c>
      <c r="D5579" t="str">
        <f>VLOOKUP(B5579,Заказы!A:C,3,0)</f>
        <v>2023-11-26 15:08:00</v>
      </c>
      <c r="E5579" t="str">
        <f>VLOOKUP(C5579,Меню!A:E,4,0)</f>
        <v>Первое</v>
      </c>
      <c r="F5579">
        <f>VLOOKUP(C5579,Меню!A:E,5,0)</f>
        <v>250</v>
      </c>
    </row>
    <row r="5580" spans="1:6" ht="15.75" hidden="1" customHeight="1" x14ac:dyDescent="0.35">
      <c r="A5580" s="1">
        <v>5579</v>
      </c>
      <c r="B5580" s="1">
        <v>1094</v>
      </c>
      <c r="C5580" s="1">
        <v>57</v>
      </c>
      <c r="D5580" t="str">
        <f>VLOOKUP(B5580,Заказы!A:C,3,0)</f>
        <v>2023-11-26 15:08:00</v>
      </c>
      <c r="E5580" t="str">
        <f>VLOOKUP(C5580,Меню!A:E,4,0)</f>
        <v>Суши</v>
      </c>
      <c r="F5580">
        <f>VLOOKUP(C5580,Меню!A:E,5,0)</f>
        <v>200</v>
      </c>
    </row>
    <row r="5581" spans="1:6" ht="15.75" hidden="1" customHeight="1" x14ac:dyDescent="0.35">
      <c r="A5581" s="1">
        <v>5580</v>
      </c>
      <c r="B5581" s="1">
        <v>1095</v>
      </c>
      <c r="C5581" s="1">
        <v>8</v>
      </c>
      <c r="D5581" t="str">
        <f>VLOOKUP(B5581,Заказы!A:C,3,0)</f>
        <v>2023-11-26 17:21:00</v>
      </c>
      <c r="E5581" t="str">
        <f>VLOOKUP(C5581,Меню!A:E,4,0)</f>
        <v>Завтрак</v>
      </c>
      <c r="F5581">
        <f>VLOOKUP(C5581,Меню!A:E,5,0)</f>
        <v>180</v>
      </c>
    </row>
    <row r="5582" spans="1:6" ht="15.75" hidden="1" customHeight="1" x14ac:dyDescent="0.35">
      <c r="A5582" s="1">
        <v>5581</v>
      </c>
      <c r="B5582" s="1">
        <v>1095</v>
      </c>
      <c r="C5582" s="1">
        <v>30</v>
      </c>
      <c r="D5582" t="str">
        <f>VLOOKUP(B5582,Заказы!A:C,3,0)</f>
        <v>2023-11-26 17:21:00</v>
      </c>
      <c r="E5582" t="str">
        <f>VLOOKUP(C5582,Меню!A:E,4,0)</f>
        <v>Салат</v>
      </c>
      <c r="F5582">
        <f>VLOOKUP(C5582,Меню!A:E,5,0)</f>
        <v>250</v>
      </c>
    </row>
    <row r="5583" spans="1:6" ht="15.75" hidden="1" customHeight="1" x14ac:dyDescent="0.35">
      <c r="A5583" s="1">
        <v>5582</v>
      </c>
      <c r="B5583" s="1">
        <v>1095</v>
      </c>
      <c r="C5583" s="1">
        <v>49</v>
      </c>
      <c r="D5583" t="str">
        <f>VLOOKUP(B5583,Заказы!A:C,3,0)</f>
        <v>2023-11-26 17:21:00</v>
      </c>
      <c r="E5583" t="str">
        <f>VLOOKUP(C5583,Меню!A:E,4,0)</f>
        <v>Суши</v>
      </c>
      <c r="F5583">
        <f>VLOOKUP(C5583,Меню!A:E,5,0)</f>
        <v>200</v>
      </c>
    </row>
    <row r="5584" spans="1:6" ht="15.75" hidden="1" customHeight="1" x14ac:dyDescent="0.35">
      <c r="A5584" s="1">
        <v>5583</v>
      </c>
      <c r="B5584" s="1">
        <v>1095</v>
      </c>
      <c r="C5584" s="1">
        <v>23</v>
      </c>
      <c r="D5584" t="str">
        <f>VLOOKUP(B5584,Заказы!A:C,3,0)</f>
        <v>2023-11-26 17:21:00</v>
      </c>
      <c r="E5584" t="str">
        <f>VLOOKUP(C5584,Меню!A:E,4,0)</f>
        <v>Салат</v>
      </c>
      <c r="F5584">
        <f>VLOOKUP(C5584,Меню!A:E,5,0)</f>
        <v>250</v>
      </c>
    </row>
    <row r="5585" spans="1:6" ht="15.75" hidden="1" customHeight="1" x14ac:dyDescent="0.35">
      <c r="A5585" s="1">
        <v>5584</v>
      </c>
      <c r="B5585" s="1">
        <v>1096</v>
      </c>
      <c r="C5585" s="1">
        <v>3</v>
      </c>
      <c r="D5585" t="str">
        <f>VLOOKUP(B5585,Заказы!A:C,3,0)</f>
        <v>2023-11-26 17:47:00</v>
      </c>
      <c r="E5585" t="str">
        <f>VLOOKUP(C5585,Меню!A:E,4,0)</f>
        <v>Завтрак</v>
      </c>
      <c r="F5585">
        <f>VLOOKUP(C5585,Меню!A:E,5,0)</f>
        <v>150</v>
      </c>
    </row>
    <row r="5586" spans="1:6" ht="15.75" hidden="1" customHeight="1" x14ac:dyDescent="0.35">
      <c r="A5586" s="1">
        <v>5585</v>
      </c>
      <c r="B5586" s="1">
        <v>1096</v>
      </c>
      <c r="C5586" s="1">
        <v>5</v>
      </c>
      <c r="D5586" t="str">
        <f>VLOOKUP(B5586,Заказы!A:C,3,0)</f>
        <v>2023-11-26 17:47:00</v>
      </c>
      <c r="E5586" t="str">
        <f>VLOOKUP(C5586,Меню!A:E,4,0)</f>
        <v>Завтрак</v>
      </c>
      <c r="F5586">
        <f>VLOOKUP(C5586,Меню!A:E,5,0)</f>
        <v>220</v>
      </c>
    </row>
    <row r="5587" spans="1:6" ht="15.75" hidden="1" customHeight="1" x14ac:dyDescent="0.35">
      <c r="A5587" s="1">
        <v>5586</v>
      </c>
      <c r="B5587" s="1">
        <v>1096</v>
      </c>
      <c r="C5587" s="1">
        <v>22</v>
      </c>
      <c r="D5587" t="str">
        <f>VLOOKUP(B5587,Заказы!A:C,3,0)</f>
        <v>2023-11-26 17:47:00</v>
      </c>
      <c r="E5587" t="str">
        <f>VLOOKUP(C5587,Меню!A:E,4,0)</f>
        <v>Салат</v>
      </c>
      <c r="F5587">
        <f>VLOOKUP(C5587,Меню!A:E,5,0)</f>
        <v>250</v>
      </c>
    </row>
    <row r="5588" spans="1:6" ht="15.75" hidden="1" customHeight="1" x14ac:dyDescent="0.35">
      <c r="A5588" s="1">
        <v>5587</v>
      </c>
      <c r="B5588" s="1">
        <v>1096</v>
      </c>
      <c r="C5588" s="1">
        <v>29</v>
      </c>
      <c r="D5588" t="str">
        <f>VLOOKUP(B5588,Заказы!A:C,3,0)</f>
        <v>2023-11-26 17:47:00</v>
      </c>
      <c r="E5588" t="str">
        <f>VLOOKUP(C5588,Меню!A:E,4,0)</f>
        <v>Салат</v>
      </c>
      <c r="F5588">
        <f>VLOOKUP(C5588,Меню!A:E,5,0)</f>
        <v>250</v>
      </c>
    </row>
    <row r="5589" spans="1:6" ht="15.75" hidden="1" customHeight="1" x14ac:dyDescent="0.35">
      <c r="A5589" s="1">
        <v>5588</v>
      </c>
      <c r="B5589" s="1">
        <v>1096</v>
      </c>
      <c r="C5589" s="1">
        <v>27</v>
      </c>
      <c r="D5589" t="str">
        <f>VLOOKUP(B5589,Заказы!A:C,3,0)</f>
        <v>2023-11-26 17:47:00</v>
      </c>
      <c r="E5589" t="str">
        <f>VLOOKUP(C5589,Меню!A:E,4,0)</f>
        <v>Салат</v>
      </c>
      <c r="F5589">
        <f>VLOOKUP(C5589,Меню!A:E,5,0)</f>
        <v>250</v>
      </c>
    </row>
    <row r="5590" spans="1:6" ht="15.75" hidden="1" customHeight="1" x14ac:dyDescent="0.35">
      <c r="A5590" s="1">
        <v>5589</v>
      </c>
      <c r="B5590" s="1">
        <v>1096</v>
      </c>
      <c r="C5590" s="1">
        <v>49</v>
      </c>
      <c r="D5590" t="str">
        <f>VLOOKUP(B5590,Заказы!A:C,3,0)</f>
        <v>2023-11-26 17:47:00</v>
      </c>
      <c r="E5590" t="str">
        <f>VLOOKUP(C5590,Меню!A:E,4,0)</f>
        <v>Суши</v>
      </c>
      <c r="F5590">
        <f>VLOOKUP(C5590,Меню!A:E,5,0)</f>
        <v>200</v>
      </c>
    </row>
    <row r="5591" spans="1:6" ht="15.75" hidden="1" customHeight="1" x14ac:dyDescent="0.35">
      <c r="A5591" s="1">
        <v>5590</v>
      </c>
      <c r="B5591" s="1">
        <v>1097</v>
      </c>
      <c r="C5591" s="1">
        <v>16</v>
      </c>
      <c r="D5591" t="str">
        <f>VLOOKUP(B5591,Заказы!A:C,3,0)</f>
        <v>2023-11-26 18:58:00</v>
      </c>
      <c r="E5591" t="str">
        <f>VLOOKUP(C5591,Меню!A:E,4,0)</f>
        <v>Первое</v>
      </c>
      <c r="F5591">
        <f>VLOOKUP(C5591,Меню!A:E,5,0)</f>
        <v>250</v>
      </c>
    </row>
    <row r="5592" spans="1:6" ht="15.75" hidden="1" customHeight="1" x14ac:dyDescent="0.35">
      <c r="A5592" s="1">
        <v>5591</v>
      </c>
      <c r="B5592" s="1">
        <v>1097</v>
      </c>
      <c r="C5592" s="1">
        <v>57</v>
      </c>
      <c r="D5592" t="str">
        <f>VLOOKUP(B5592,Заказы!A:C,3,0)</f>
        <v>2023-11-26 18:58:00</v>
      </c>
      <c r="E5592" t="str">
        <f>VLOOKUP(C5592,Меню!A:E,4,0)</f>
        <v>Суши</v>
      </c>
      <c r="F5592">
        <f>VLOOKUP(C5592,Меню!A:E,5,0)</f>
        <v>200</v>
      </c>
    </row>
    <row r="5593" spans="1:6" ht="15.75" hidden="1" customHeight="1" x14ac:dyDescent="0.35">
      <c r="A5593" s="1">
        <v>5592</v>
      </c>
      <c r="B5593" s="1">
        <v>1097</v>
      </c>
      <c r="C5593" s="1">
        <v>38</v>
      </c>
      <c r="D5593" t="str">
        <f>VLOOKUP(B5593,Заказы!A:C,3,0)</f>
        <v>2023-11-26 18:58:00</v>
      </c>
      <c r="E5593" t="str">
        <f>VLOOKUP(C5593,Меню!A:E,4,0)</f>
        <v>Десерт</v>
      </c>
      <c r="F5593">
        <f>VLOOKUP(C5593,Меню!A:E,5,0)</f>
        <v>150</v>
      </c>
    </row>
    <row r="5594" spans="1:6" ht="15.75" hidden="1" customHeight="1" x14ac:dyDescent="0.35">
      <c r="A5594" s="1">
        <v>5593</v>
      </c>
      <c r="B5594" s="1">
        <v>1097</v>
      </c>
      <c r="C5594" s="1">
        <v>4</v>
      </c>
      <c r="D5594" t="str">
        <f>VLOOKUP(B5594,Заказы!A:C,3,0)</f>
        <v>2023-11-26 18:58:00</v>
      </c>
      <c r="E5594" t="str">
        <f>VLOOKUP(C5594,Меню!A:E,4,0)</f>
        <v>Завтрак</v>
      </c>
      <c r="F5594">
        <f>VLOOKUP(C5594,Меню!A:E,5,0)</f>
        <v>180</v>
      </c>
    </row>
    <row r="5595" spans="1:6" ht="15.75" hidden="1" customHeight="1" x14ac:dyDescent="0.35">
      <c r="A5595" s="1">
        <v>5594</v>
      </c>
      <c r="B5595" s="1">
        <v>1098</v>
      </c>
      <c r="C5595" s="1">
        <v>50</v>
      </c>
      <c r="D5595" t="str">
        <f>VLOOKUP(B5595,Заказы!A:C,3,0)</f>
        <v>2023-11-26 20:33:00</v>
      </c>
      <c r="E5595" t="str">
        <f>VLOOKUP(C5595,Меню!A:E,4,0)</f>
        <v>Суши</v>
      </c>
      <c r="F5595">
        <f>VLOOKUP(C5595,Меню!A:E,5,0)</f>
        <v>200</v>
      </c>
    </row>
    <row r="5596" spans="1:6" ht="15.75" hidden="1" customHeight="1" x14ac:dyDescent="0.35">
      <c r="A5596" s="1">
        <v>5595</v>
      </c>
      <c r="B5596" s="1">
        <v>1098</v>
      </c>
      <c r="C5596" s="1">
        <v>39</v>
      </c>
      <c r="D5596" t="str">
        <f>VLOOKUP(B5596,Заказы!A:C,3,0)</f>
        <v>2023-11-26 20:33:00</v>
      </c>
      <c r="E5596" t="str">
        <f>VLOOKUP(C5596,Меню!A:E,4,0)</f>
        <v>Десерт</v>
      </c>
      <c r="F5596">
        <f>VLOOKUP(C5596,Меню!A:E,5,0)</f>
        <v>150</v>
      </c>
    </row>
    <row r="5597" spans="1:6" ht="15.75" hidden="1" customHeight="1" x14ac:dyDescent="0.35">
      <c r="A5597" s="1">
        <v>5596</v>
      </c>
      <c r="B5597" s="1">
        <v>1098</v>
      </c>
      <c r="C5597" s="1">
        <v>40</v>
      </c>
      <c r="D5597" t="str">
        <f>VLOOKUP(B5597,Заказы!A:C,3,0)</f>
        <v>2023-11-26 20:33:00</v>
      </c>
      <c r="E5597" t="str">
        <f>VLOOKUP(C5597,Меню!A:E,4,0)</f>
        <v>Десерт</v>
      </c>
      <c r="F5597">
        <f>VLOOKUP(C5597,Меню!A:E,5,0)</f>
        <v>150</v>
      </c>
    </row>
    <row r="5598" spans="1:6" ht="15.75" hidden="1" customHeight="1" x14ac:dyDescent="0.35">
      <c r="A5598" s="1">
        <v>5597</v>
      </c>
      <c r="B5598" s="1">
        <v>1098</v>
      </c>
      <c r="C5598" s="1">
        <v>53</v>
      </c>
      <c r="D5598" t="str">
        <f>VLOOKUP(B5598,Заказы!A:C,3,0)</f>
        <v>2023-11-26 20:33:00</v>
      </c>
      <c r="E5598" t="str">
        <f>VLOOKUP(C5598,Меню!A:E,4,0)</f>
        <v>Суши</v>
      </c>
      <c r="F5598">
        <f>VLOOKUP(C5598,Меню!A:E,5,0)</f>
        <v>100</v>
      </c>
    </row>
    <row r="5599" spans="1:6" ht="15.75" hidden="1" customHeight="1" x14ac:dyDescent="0.35">
      <c r="A5599" s="1">
        <v>5598</v>
      </c>
      <c r="B5599" s="1">
        <v>1099</v>
      </c>
      <c r="C5599" s="1">
        <v>2</v>
      </c>
      <c r="D5599" t="str">
        <f>VLOOKUP(B5599,Заказы!A:C,3,0)</f>
        <v>2023-11-26 21:34:00</v>
      </c>
      <c r="E5599" t="str">
        <f>VLOOKUP(C5599,Меню!A:E,4,0)</f>
        <v>Завтрак</v>
      </c>
      <c r="F5599">
        <f>VLOOKUP(C5599,Меню!A:E,5,0)</f>
        <v>250</v>
      </c>
    </row>
    <row r="5600" spans="1:6" ht="15.75" hidden="1" customHeight="1" x14ac:dyDescent="0.35">
      <c r="A5600" s="1">
        <v>5599</v>
      </c>
      <c r="B5600" s="1">
        <v>1099</v>
      </c>
      <c r="C5600" s="1">
        <v>9</v>
      </c>
      <c r="D5600" t="str">
        <f>VLOOKUP(B5600,Заказы!A:C,3,0)</f>
        <v>2023-11-26 21:34:00</v>
      </c>
      <c r="E5600" t="str">
        <f>VLOOKUP(C5600,Меню!A:E,4,0)</f>
        <v>Завтрак</v>
      </c>
      <c r="F5600">
        <f>VLOOKUP(C5600,Меню!A:E,5,0)</f>
        <v>220</v>
      </c>
    </row>
    <row r="5601" spans="1:6" ht="15.75" hidden="1" customHeight="1" x14ac:dyDescent="0.35">
      <c r="A5601" s="1">
        <v>5600</v>
      </c>
      <c r="B5601" s="1">
        <v>1099</v>
      </c>
      <c r="C5601" s="1">
        <v>9</v>
      </c>
      <c r="D5601" t="str">
        <f>VLOOKUP(B5601,Заказы!A:C,3,0)</f>
        <v>2023-11-26 21:34:00</v>
      </c>
      <c r="E5601" t="str">
        <f>VLOOKUP(C5601,Меню!A:E,4,0)</f>
        <v>Завтрак</v>
      </c>
      <c r="F5601">
        <f>VLOOKUP(C5601,Меню!A:E,5,0)</f>
        <v>220</v>
      </c>
    </row>
    <row r="5602" spans="1:6" ht="15.75" hidden="1" customHeight="1" x14ac:dyDescent="0.35">
      <c r="A5602" s="1">
        <v>5601</v>
      </c>
      <c r="B5602" s="1">
        <v>1099</v>
      </c>
      <c r="C5602" s="1">
        <v>30</v>
      </c>
      <c r="D5602" t="str">
        <f>VLOOKUP(B5602,Заказы!A:C,3,0)</f>
        <v>2023-11-26 21:34:00</v>
      </c>
      <c r="E5602" t="str">
        <f>VLOOKUP(C5602,Меню!A:E,4,0)</f>
        <v>Салат</v>
      </c>
      <c r="F5602">
        <f>VLOOKUP(C5602,Меню!A:E,5,0)</f>
        <v>250</v>
      </c>
    </row>
    <row r="5603" spans="1:6" ht="15.75" hidden="1" customHeight="1" x14ac:dyDescent="0.35">
      <c r="A5603" s="1">
        <v>5602</v>
      </c>
      <c r="B5603" s="1">
        <v>1100</v>
      </c>
      <c r="C5603" s="1">
        <v>59</v>
      </c>
      <c r="D5603" t="str">
        <f>VLOOKUP(B5603,Заказы!A:C,3,0)</f>
        <v>2023-11-27 19:29:00</v>
      </c>
      <c r="E5603" t="str">
        <f>VLOOKUP(C5603,Меню!A:E,4,0)</f>
        <v>Суши</v>
      </c>
      <c r="F5603">
        <f>VLOOKUP(C5603,Меню!A:E,5,0)</f>
        <v>300</v>
      </c>
    </row>
    <row r="5604" spans="1:6" ht="15.75" hidden="1" customHeight="1" x14ac:dyDescent="0.35">
      <c r="A5604" s="1">
        <v>5603</v>
      </c>
      <c r="B5604" s="1">
        <v>1100</v>
      </c>
      <c r="C5604" s="1">
        <v>14</v>
      </c>
      <c r="D5604" t="str">
        <f>VLOOKUP(B5604,Заказы!A:C,3,0)</f>
        <v>2023-11-27 19:29:00</v>
      </c>
      <c r="E5604" t="str">
        <f>VLOOKUP(C5604,Меню!A:E,4,0)</f>
        <v>Первое</v>
      </c>
      <c r="F5604">
        <f>VLOOKUP(C5604,Меню!A:E,5,0)</f>
        <v>350</v>
      </c>
    </row>
    <row r="5605" spans="1:6" ht="15.75" hidden="1" customHeight="1" x14ac:dyDescent="0.35">
      <c r="A5605" s="1">
        <v>5604</v>
      </c>
      <c r="B5605" s="1">
        <v>1100</v>
      </c>
      <c r="C5605" s="1">
        <v>6</v>
      </c>
      <c r="D5605" t="str">
        <f>VLOOKUP(B5605,Заказы!A:C,3,0)</f>
        <v>2023-11-27 19:29:00</v>
      </c>
      <c r="E5605" t="str">
        <f>VLOOKUP(C5605,Меню!A:E,4,0)</f>
        <v>Завтрак</v>
      </c>
      <c r="F5605">
        <f>VLOOKUP(C5605,Меню!A:E,5,0)</f>
        <v>300</v>
      </c>
    </row>
    <row r="5606" spans="1:6" ht="15.75" hidden="1" customHeight="1" x14ac:dyDescent="0.35">
      <c r="A5606" s="1">
        <v>5605</v>
      </c>
      <c r="B5606" s="1">
        <v>1100</v>
      </c>
      <c r="C5606" s="1">
        <v>9</v>
      </c>
      <c r="D5606" t="str">
        <f>VLOOKUP(B5606,Заказы!A:C,3,0)</f>
        <v>2023-11-27 19:29:00</v>
      </c>
      <c r="E5606" t="str">
        <f>VLOOKUP(C5606,Меню!A:E,4,0)</f>
        <v>Завтрак</v>
      </c>
      <c r="F5606">
        <f>VLOOKUP(C5606,Меню!A:E,5,0)</f>
        <v>220</v>
      </c>
    </row>
    <row r="5607" spans="1:6" ht="15.75" hidden="1" customHeight="1" x14ac:dyDescent="0.35">
      <c r="A5607" s="1">
        <v>5606</v>
      </c>
      <c r="B5607" s="1">
        <v>1100</v>
      </c>
      <c r="C5607" s="1">
        <v>23</v>
      </c>
      <c r="D5607" t="str">
        <f>VLOOKUP(B5607,Заказы!A:C,3,0)</f>
        <v>2023-11-27 19:29:00</v>
      </c>
      <c r="E5607" t="str">
        <f>VLOOKUP(C5607,Меню!A:E,4,0)</f>
        <v>Салат</v>
      </c>
      <c r="F5607">
        <f>VLOOKUP(C5607,Меню!A:E,5,0)</f>
        <v>250</v>
      </c>
    </row>
    <row r="5608" spans="1:6" ht="15.75" hidden="1" customHeight="1" x14ac:dyDescent="0.35">
      <c r="A5608" s="1">
        <v>5607</v>
      </c>
      <c r="B5608" s="1">
        <v>1101</v>
      </c>
      <c r="C5608" s="1">
        <v>24</v>
      </c>
      <c r="D5608" t="str">
        <f>VLOOKUP(B5608,Заказы!A:C,3,0)</f>
        <v>2023-11-27 19:36:00</v>
      </c>
      <c r="E5608" t="str">
        <f>VLOOKUP(C5608,Меню!A:E,4,0)</f>
        <v>Салат</v>
      </c>
      <c r="F5608">
        <f>VLOOKUP(C5608,Меню!A:E,5,0)</f>
        <v>250</v>
      </c>
    </row>
    <row r="5609" spans="1:6" ht="15.75" hidden="1" customHeight="1" x14ac:dyDescent="0.35">
      <c r="A5609" s="1">
        <v>5608</v>
      </c>
      <c r="B5609" s="1">
        <v>1101</v>
      </c>
      <c r="C5609" s="1">
        <v>30</v>
      </c>
      <c r="D5609" t="str">
        <f>VLOOKUP(B5609,Заказы!A:C,3,0)</f>
        <v>2023-11-27 19:36:00</v>
      </c>
      <c r="E5609" t="str">
        <f>VLOOKUP(C5609,Меню!A:E,4,0)</f>
        <v>Салат</v>
      </c>
      <c r="F5609">
        <f>VLOOKUP(C5609,Меню!A:E,5,0)</f>
        <v>250</v>
      </c>
    </row>
    <row r="5610" spans="1:6" ht="15.75" hidden="1" customHeight="1" x14ac:dyDescent="0.35">
      <c r="A5610" s="1">
        <v>5609</v>
      </c>
      <c r="B5610" s="1">
        <v>1102</v>
      </c>
      <c r="C5610" s="1">
        <v>54</v>
      </c>
      <c r="D5610" t="str">
        <f>VLOOKUP(B5610,Заказы!A:C,3,0)</f>
        <v>2023-11-27 20:10:00</v>
      </c>
      <c r="E5610" t="str">
        <f>VLOOKUP(C5610,Меню!A:E,4,0)</f>
        <v>Суши</v>
      </c>
      <c r="F5610">
        <f>VLOOKUP(C5610,Меню!A:E,5,0)</f>
        <v>100</v>
      </c>
    </row>
    <row r="5611" spans="1:6" ht="15.75" hidden="1" customHeight="1" x14ac:dyDescent="0.35">
      <c r="A5611" s="1">
        <v>5610</v>
      </c>
      <c r="B5611" s="1">
        <v>1102</v>
      </c>
      <c r="C5611" s="1">
        <v>24</v>
      </c>
      <c r="D5611" t="str">
        <f>VLOOKUP(B5611,Заказы!A:C,3,0)</f>
        <v>2023-11-27 20:10:00</v>
      </c>
      <c r="E5611" t="str">
        <f>VLOOKUP(C5611,Меню!A:E,4,0)</f>
        <v>Салат</v>
      </c>
      <c r="F5611">
        <f>VLOOKUP(C5611,Меню!A:E,5,0)</f>
        <v>250</v>
      </c>
    </row>
    <row r="5612" spans="1:6" ht="15.75" hidden="1" customHeight="1" x14ac:dyDescent="0.35">
      <c r="A5612" s="1">
        <v>5611</v>
      </c>
      <c r="B5612" s="1">
        <v>1102</v>
      </c>
      <c r="C5612" s="1">
        <v>52</v>
      </c>
      <c r="D5612" t="str">
        <f>VLOOKUP(B5612,Заказы!A:C,3,0)</f>
        <v>2023-11-27 20:10:00</v>
      </c>
      <c r="E5612" t="str">
        <f>VLOOKUP(C5612,Меню!A:E,4,0)</f>
        <v>Суши</v>
      </c>
      <c r="F5612">
        <f>VLOOKUP(C5612,Меню!A:E,5,0)</f>
        <v>100</v>
      </c>
    </row>
    <row r="5613" spans="1:6" ht="15.75" hidden="1" customHeight="1" x14ac:dyDescent="0.35">
      <c r="A5613" s="1">
        <v>5612</v>
      </c>
      <c r="B5613" s="1">
        <v>1103</v>
      </c>
      <c r="C5613" s="1">
        <v>42</v>
      </c>
      <c r="D5613" t="str">
        <f>VLOOKUP(B5613,Заказы!A:C,3,0)</f>
        <v>2023-11-28 16:38:00</v>
      </c>
      <c r="E5613" t="str">
        <f>VLOOKUP(C5613,Меню!A:E,4,0)</f>
        <v>Суши</v>
      </c>
      <c r="F5613">
        <f>VLOOKUP(C5613,Меню!A:E,5,0)</f>
        <v>250</v>
      </c>
    </row>
    <row r="5614" spans="1:6" ht="15.75" hidden="1" customHeight="1" x14ac:dyDescent="0.35">
      <c r="A5614" s="1">
        <v>5613</v>
      </c>
      <c r="B5614" s="1">
        <v>1103</v>
      </c>
      <c r="C5614" s="1">
        <v>57</v>
      </c>
      <c r="D5614" t="str">
        <f>VLOOKUP(B5614,Заказы!A:C,3,0)</f>
        <v>2023-11-28 16:38:00</v>
      </c>
      <c r="E5614" t="str">
        <f>VLOOKUP(C5614,Меню!A:E,4,0)</f>
        <v>Суши</v>
      </c>
      <c r="F5614">
        <f>VLOOKUP(C5614,Меню!A:E,5,0)</f>
        <v>200</v>
      </c>
    </row>
    <row r="5615" spans="1:6" ht="15.75" hidden="1" customHeight="1" x14ac:dyDescent="0.35">
      <c r="A5615" s="1">
        <v>5614</v>
      </c>
      <c r="B5615" s="1">
        <v>1103</v>
      </c>
      <c r="C5615" s="1">
        <v>36</v>
      </c>
      <c r="D5615" t="str">
        <f>VLOOKUP(B5615,Заказы!A:C,3,0)</f>
        <v>2023-11-28 16:38:00</v>
      </c>
      <c r="E5615" t="str">
        <f>VLOOKUP(C5615,Меню!A:E,4,0)</f>
        <v>Десерт</v>
      </c>
      <c r="F5615">
        <f>VLOOKUP(C5615,Меню!A:E,5,0)</f>
        <v>150</v>
      </c>
    </row>
    <row r="5616" spans="1:6" ht="15.75" hidden="1" customHeight="1" x14ac:dyDescent="0.35">
      <c r="A5616" s="1">
        <v>5615</v>
      </c>
      <c r="B5616" s="1">
        <v>1103</v>
      </c>
      <c r="C5616" s="1">
        <v>9</v>
      </c>
      <c r="D5616" t="str">
        <f>VLOOKUP(B5616,Заказы!A:C,3,0)</f>
        <v>2023-11-28 16:38:00</v>
      </c>
      <c r="E5616" t="str">
        <f>VLOOKUP(C5616,Меню!A:E,4,0)</f>
        <v>Завтрак</v>
      </c>
      <c r="F5616">
        <f>VLOOKUP(C5616,Меню!A:E,5,0)</f>
        <v>220</v>
      </c>
    </row>
    <row r="5617" spans="1:6" ht="15.75" hidden="1" customHeight="1" x14ac:dyDescent="0.35">
      <c r="A5617" s="1">
        <v>5616</v>
      </c>
      <c r="B5617" s="1">
        <v>1103</v>
      </c>
      <c r="C5617" s="1">
        <v>54</v>
      </c>
      <c r="D5617" t="str">
        <f>VLOOKUP(B5617,Заказы!A:C,3,0)</f>
        <v>2023-11-28 16:38:00</v>
      </c>
      <c r="E5617" t="str">
        <f>VLOOKUP(C5617,Меню!A:E,4,0)</f>
        <v>Суши</v>
      </c>
      <c r="F5617">
        <f>VLOOKUP(C5617,Меню!A:E,5,0)</f>
        <v>100</v>
      </c>
    </row>
    <row r="5618" spans="1:6" ht="15.75" hidden="1" customHeight="1" x14ac:dyDescent="0.35">
      <c r="A5618" s="1">
        <v>5617</v>
      </c>
      <c r="B5618" s="1">
        <v>1103</v>
      </c>
      <c r="C5618" s="1">
        <v>57</v>
      </c>
      <c r="D5618" t="str">
        <f>VLOOKUP(B5618,Заказы!A:C,3,0)</f>
        <v>2023-11-28 16:38:00</v>
      </c>
      <c r="E5618" t="str">
        <f>VLOOKUP(C5618,Меню!A:E,4,0)</f>
        <v>Суши</v>
      </c>
      <c r="F5618">
        <f>VLOOKUP(C5618,Меню!A:E,5,0)</f>
        <v>200</v>
      </c>
    </row>
    <row r="5619" spans="1:6" ht="15.75" hidden="1" customHeight="1" x14ac:dyDescent="0.35">
      <c r="A5619" s="1">
        <v>5618</v>
      </c>
      <c r="B5619" s="1">
        <v>1104</v>
      </c>
      <c r="C5619" s="1">
        <v>3</v>
      </c>
      <c r="D5619" t="str">
        <f>VLOOKUP(B5619,Заказы!A:C,3,0)</f>
        <v>2023-11-28 18:49:00</v>
      </c>
      <c r="E5619" t="str">
        <f>VLOOKUP(C5619,Меню!A:E,4,0)</f>
        <v>Завтрак</v>
      </c>
      <c r="F5619">
        <f>VLOOKUP(C5619,Меню!A:E,5,0)</f>
        <v>150</v>
      </c>
    </row>
    <row r="5620" spans="1:6" ht="15.75" hidden="1" customHeight="1" x14ac:dyDescent="0.35">
      <c r="A5620" s="1">
        <v>5619</v>
      </c>
      <c r="B5620" s="1">
        <v>1104</v>
      </c>
      <c r="C5620" s="1">
        <v>56</v>
      </c>
      <c r="D5620" t="str">
        <f>VLOOKUP(B5620,Заказы!A:C,3,0)</f>
        <v>2023-11-28 18:49:00</v>
      </c>
      <c r="E5620" t="str">
        <f>VLOOKUP(C5620,Меню!A:E,4,0)</f>
        <v>Суши</v>
      </c>
      <c r="F5620">
        <f>VLOOKUP(C5620,Меню!A:E,5,0)</f>
        <v>200</v>
      </c>
    </row>
    <row r="5621" spans="1:6" ht="15.75" hidden="1" customHeight="1" x14ac:dyDescent="0.35">
      <c r="A5621" s="1">
        <v>5620</v>
      </c>
      <c r="B5621" s="1">
        <v>1104</v>
      </c>
      <c r="C5621" s="1">
        <v>55</v>
      </c>
      <c r="D5621" t="str">
        <f>VLOOKUP(B5621,Заказы!A:C,3,0)</f>
        <v>2023-11-28 18:49:00</v>
      </c>
      <c r="E5621" t="str">
        <f>VLOOKUP(C5621,Меню!A:E,4,0)</f>
        <v>Суши</v>
      </c>
      <c r="F5621">
        <f>VLOOKUP(C5621,Меню!A:E,5,0)</f>
        <v>100</v>
      </c>
    </row>
    <row r="5622" spans="1:6" ht="15.75" hidden="1" customHeight="1" x14ac:dyDescent="0.35">
      <c r="A5622" s="1">
        <v>5621</v>
      </c>
      <c r="B5622" s="1">
        <v>1104</v>
      </c>
      <c r="C5622" s="1">
        <v>8</v>
      </c>
      <c r="D5622" t="str">
        <f>VLOOKUP(B5622,Заказы!A:C,3,0)</f>
        <v>2023-11-28 18:49:00</v>
      </c>
      <c r="E5622" t="str">
        <f>VLOOKUP(C5622,Меню!A:E,4,0)</f>
        <v>Завтрак</v>
      </c>
      <c r="F5622">
        <f>VLOOKUP(C5622,Меню!A:E,5,0)</f>
        <v>180</v>
      </c>
    </row>
    <row r="5623" spans="1:6" ht="15.75" hidden="1" customHeight="1" x14ac:dyDescent="0.35">
      <c r="A5623" s="1">
        <v>5622</v>
      </c>
      <c r="B5623" s="1">
        <v>1104</v>
      </c>
      <c r="C5623" s="1">
        <v>14</v>
      </c>
      <c r="D5623" t="str">
        <f>VLOOKUP(B5623,Заказы!A:C,3,0)</f>
        <v>2023-11-28 18:49:00</v>
      </c>
      <c r="E5623" t="str">
        <f>VLOOKUP(C5623,Меню!A:E,4,0)</f>
        <v>Первое</v>
      </c>
      <c r="F5623">
        <f>VLOOKUP(C5623,Меню!A:E,5,0)</f>
        <v>350</v>
      </c>
    </row>
    <row r="5624" spans="1:6" ht="15.75" hidden="1" customHeight="1" x14ac:dyDescent="0.35">
      <c r="A5624" s="1">
        <v>5623</v>
      </c>
      <c r="B5624" s="1">
        <v>1104</v>
      </c>
      <c r="C5624" s="1">
        <v>35</v>
      </c>
      <c r="D5624" t="str">
        <f>VLOOKUP(B5624,Заказы!A:C,3,0)</f>
        <v>2023-11-28 18:49:00</v>
      </c>
      <c r="E5624" t="str">
        <f>VLOOKUP(C5624,Меню!A:E,4,0)</f>
        <v>Десерт</v>
      </c>
      <c r="F5624">
        <f>VLOOKUP(C5624,Меню!A:E,5,0)</f>
        <v>150</v>
      </c>
    </row>
    <row r="5625" spans="1:6" ht="15.75" hidden="1" customHeight="1" x14ac:dyDescent="0.35">
      <c r="A5625" s="1">
        <v>5624</v>
      </c>
      <c r="B5625" s="1">
        <v>1104</v>
      </c>
      <c r="C5625" s="1">
        <v>35</v>
      </c>
      <c r="D5625" t="str">
        <f>VLOOKUP(B5625,Заказы!A:C,3,0)</f>
        <v>2023-11-28 18:49:00</v>
      </c>
      <c r="E5625" t="str">
        <f>VLOOKUP(C5625,Меню!A:E,4,0)</f>
        <v>Десерт</v>
      </c>
      <c r="F5625">
        <f>VLOOKUP(C5625,Меню!A:E,5,0)</f>
        <v>150</v>
      </c>
    </row>
    <row r="5626" spans="1:6" ht="15.75" hidden="1" customHeight="1" x14ac:dyDescent="0.35">
      <c r="A5626" s="1">
        <v>5625</v>
      </c>
      <c r="B5626" s="1">
        <v>1104</v>
      </c>
      <c r="C5626" s="1">
        <v>23</v>
      </c>
      <c r="D5626" t="str">
        <f>VLOOKUP(B5626,Заказы!A:C,3,0)</f>
        <v>2023-11-28 18:49:00</v>
      </c>
      <c r="E5626" t="str">
        <f>VLOOKUP(C5626,Меню!A:E,4,0)</f>
        <v>Салат</v>
      </c>
      <c r="F5626">
        <f>VLOOKUP(C5626,Меню!A:E,5,0)</f>
        <v>250</v>
      </c>
    </row>
    <row r="5627" spans="1:6" ht="15.75" hidden="1" customHeight="1" x14ac:dyDescent="0.35">
      <c r="A5627" s="1">
        <v>5626</v>
      </c>
      <c r="B5627" s="1">
        <v>1105</v>
      </c>
      <c r="C5627" s="1">
        <v>32</v>
      </c>
      <c r="D5627" t="str">
        <f>VLOOKUP(B5627,Заказы!A:C,3,0)</f>
        <v>2023-11-28 20:28:00</v>
      </c>
      <c r="E5627" t="str">
        <f>VLOOKUP(C5627,Меню!A:E,4,0)</f>
        <v>Десерт</v>
      </c>
      <c r="F5627">
        <f>VLOOKUP(C5627,Меню!A:E,5,0)</f>
        <v>150</v>
      </c>
    </row>
    <row r="5628" spans="1:6" ht="15.75" hidden="1" customHeight="1" x14ac:dyDescent="0.35">
      <c r="A5628" s="1">
        <v>5627</v>
      </c>
      <c r="B5628" s="1">
        <v>1105</v>
      </c>
      <c r="C5628" s="1">
        <v>10</v>
      </c>
      <c r="D5628" t="str">
        <f>VLOOKUP(B5628,Заказы!A:C,3,0)</f>
        <v>2023-11-28 20:28:00</v>
      </c>
      <c r="E5628" t="str">
        <f>VLOOKUP(C5628,Меню!A:E,4,0)</f>
        <v>Завтрак</v>
      </c>
      <c r="F5628">
        <f>VLOOKUP(C5628,Меню!A:E,5,0)</f>
        <v>200</v>
      </c>
    </row>
    <row r="5629" spans="1:6" ht="15.75" hidden="1" customHeight="1" x14ac:dyDescent="0.35">
      <c r="A5629" s="1">
        <v>5628</v>
      </c>
      <c r="B5629" s="1">
        <v>1105</v>
      </c>
      <c r="C5629" s="1">
        <v>49</v>
      </c>
      <c r="D5629" t="str">
        <f>VLOOKUP(B5629,Заказы!A:C,3,0)</f>
        <v>2023-11-28 20:28:00</v>
      </c>
      <c r="E5629" t="str">
        <f>VLOOKUP(C5629,Меню!A:E,4,0)</f>
        <v>Суши</v>
      </c>
      <c r="F5629">
        <f>VLOOKUP(C5629,Меню!A:E,5,0)</f>
        <v>200</v>
      </c>
    </row>
    <row r="5630" spans="1:6" ht="15.75" hidden="1" customHeight="1" x14ac:dyDescent="0.35">
      <c r="A5630" s="1">
        <v>5629</v>
      </c>
      <c r="B5630" s="1">
        <v>1105</v>
      </c>
      <c r="C5630" s="1">
        <v>4</v>
      </c>
      <c r="D5630" t="str">
        <f>VLOOKUP(B5630,Заказы!A:C,3,0)</f>
        <v>2023-11-28 20:28:00</v>
      </c>
      <c r="E5630" t="str">
        <f>VLOOKUP(C5630,Меню!A:E,4,0)</f>
        <v>Завтрак</v>
      </c>
      <c r="F5630">
        <f>VLOOKUP(C5630,Меню!A:E,5,0)</f>
        <v>180</v>
      </c>
    </row>
    <row r="5631" spans="1:6" ht="15.75" hidden="1" customHeight="1" x14ac:dyDescent="0.35">
      <c r="A5631" s="1">
        <v>5630</v>
      </c>
      <c r="B5631" s="1">
        <v>1105</v>
      </c>
      <c r="C5631" s="1">
        <v>4</v>
      </c>
      <c r="D5631" t="str">
        <f>VLOOKUP(B5631,Заказы!A:C,3,0)</f>
        <v>2023-11-28 20:28:00</v>
      </c>
      <c r="E5631" t="str">
        <f>VLOOKUP(C5631,Меню!A:E,4,0)</f>
        <v>Завтрак</v>
      </c>
      <c r="F5631">
        <f>VLOOKUP(C5631,Меню!A:E,5,0)</f>
        <v>180</v>
      </c>
    </row>
    <row r="5632" spans="1:6" ht="15.75" hidden="1" customHeight="1" x14ac:dyDescent="0.35">
      <c r="A5632" s="1">
        <v>5631</v>
      </c>
      <c r="B5632" s="1">
        <v>1105</v>
      </c>
      <c r="C5632" s="1">
        <v>32</v>
      </c>
      <c r="D5632" t="str">
        <f>VLOOKUP(B5632,Заказы!A:C,3,0)</f>
        <v>2023-11-28 20:28:00</v>
      </c>
      <c r="E5632" t="str">
        <f>VLOOKUP(C5632,Меню!A:E,4,0)</f>
        <v>Десерт</v>
      </c>
      <c r="F5632">
        <f>VLOOKUP(C5632,Меню!A:E,5,0)</f>
        <v>150</v>
      </c>
    </row>
    <row r="5633" spans="1:6" ht="15.75" hidden="1" customHeight="1" x14ac:dyDescent="0.35">
      <c r="A5633" s="1">
        <v>5632</v>
      </c>
      <c r="B5633" s="1">
        <v>1106</v>
      </c>
      <c r="C5633" s="1">
        <v>21</v>
      </c>
      <c r="D5633" t="str">
        <f>VLOOKUP(B5633,Заказы!A:C,3,0)</f>
        <v>2023-11-29 15:56:00</v>
      </c>
      <c r="E5633" t="str">
        <f>VLOOKUP(C5633,Меню!A:E,4,0)</f>
        <v>Салат</v>
      </c>
      <c r="F5633">
        <f>VLOOKUP(C5633,Меню!A:E,5,0)</f>
        <v>250</v>
      </c>
    </row>
    <row r="5634" spans="1:6" ht="15.75" hidden="1" customHeight="1" x14ac:dyDescent="0.35">
      <c r="A5634" s="1">
        <v>5633</v>
      </c>
      <c r="B5634" s="1">
        <v>1106</v>
      </c>
      <c r="C5634" s="1">
        <v>3</v>
      </c>
      <c r="D5634" t="str">
        <f>VLOOKUP(B5634,Заказы!A:C,3,0)</f>
        <v>2023-11-29 15:56:00</v>
      </c>
      <c r="E5634" t="str">
        <f>VLOOKUP(C5634,Меню!A:E,4,0)</f>
        <v>Завтрак</v>
      </c>
      <c r="F5634">
        <f>VLOOKUP(C5634,Меню!A:E,5,0)</f>
        <v>150</v>
      </c>
    </row>
    <row r="5635" spans="1:6" ht="15.75" hidden="1" customHeight="1" x14ac:dyDescent="0.35">
      <c r="A5635" s="1">
        <v>5634</v>
      </c>
      <c r="B5635" s="1">
        <v>1107</v>
      </c>
      <c r="C5635" s="1">
        <v>46</v>
      </c>
      <c r="D5635" t="str">
        <f>VLOOKUP(B5635,Заказы!A:C,3,0)</f>
        <v>2023-11-29 16:14:00</v>
      </c>
      <c r="E5635" t="str">
        <f>VLOOKUP(C5635,Меню!A:E,4,0)</f>
        <v>Суши</v>
      </c>
      <c r="F5635">
        <f>VLOOKUP(C5635,Меню!A:E,5,0)</f>
        <v>200</v>
      </c>
    </row>
    <row r="5636" spans="1:6" ht="15.75" hidden="1" customHeight="1" x14ac:dyDescent="0.35">
      <c r="A5636" s="1">
        <v>5635</v>
      </c>
      <c r="B5636" s="1">
        <v>1107</v>
      </c>
      <c r="C5636" s="1">
        <v>50</v>
      </c>
      <c r="D5636" t="str">
        <f>VLOOKUP(B5636,Заказы!A:C,3,0)</f>
        <v>2023-11-29 16:14:00</v>
      </c>
      <c r="E5636" t="str">
        <f>VLOOKUP(C5636,Меню!A:E,4,0)</f>
        <v>Суши</v>
      </c>
      <c r="F5636">
        <f>VLOOKUP(C5636,Меню!A:E,5,0)</f>
        <v>200</v>
      </c>
    </row>
    <row r="5637" spans="1:6" ht="15.75" hidden="1" customHeight="1" x14ac:dyDescent="0.35">
      <c r="A5637" s="1">
        <v>5636</v>
      </c>
      <c r="B5637" s="1">
        <v>1107</v>
      </c>
      <c r="C5637" s="1">
        <v>50</v>
      </c>
      <c r="D5637" t="str">
        <f>VLOOKUP(B5637,Заказы!A:C,3,0)</f>
        <v>2023-11-29 16:14:00</v>
      </c>
      <c r="E5637" t="str">
        <f>VLOOKUP(C5637,Меню!A:E,4,0)</f>
        <v>Суши</v>
      </c>
      <c r="F5637">
        <f>VLOOKUP(C5637,Меню!A:E,5,0)</f>
        <v>200</v>
      </c>
    </row>
    <row r="5638" spans="1:6" ht="15.75" hidden="1" customHeight="1" x14ac:dyDescent="0.35">
      <c r="A5638" s="1">
        <v>5637</v>
      </c>
      <c r="B5638" s="1">
        <v>1107</v>
      </c>
      <c r="C5638" s="1">
        <v>30</v>
      </c>
      <c r="D5638" t="str">
        <f>VLOOKUP(B5638,Заказы!A:C,3,0)</f>
        <v>2023-11-29 16:14:00</v>
      </c>
      <c r="E5638" t="str">
        <f>VLOOKUP(C5638,Меню!A:E,4,0)</f>
        <v>Салат</v>
      </c>
      <c r="F5638">
        <f>VLOOKUP(C5638,Меню!A:E,5,0)</f>
        <v>250</v>
      </c>
    </row>
    <row r="5639" spans="1:6" ht="15.75" hidden="1" customHeight="1" x14ac:dyDescent="0.35">
      <c r="A5639" s="1">
        <v>5638</v>
      </c>
      <c r="B5639" s="1">
        <v>1108</v>
      </c>
      <c r="C5639" s="1">
        <v>21</v>
      </c>
      <c r="D5639" t="str">
        <f>VLOOKUP(B5639,Заказы!A:C,3,0)</f>
        <v>2023-11-29 21:06:00</v>
      </c>
      <c r="E5639" t="str">
        <f>VLOOKUP(C5639,Меню!A:E,4,0)</f>
        <v>Салат</v>
      </c>
      <c r="F5639">
        <f>VLOOKUP(C5639,Меню!A:E,5,0)</f>
        <v>250</v>
      </c>
    </row>
    <row r="5640" spans="1:6" ht="15.75" hidden="1" customHeight="1" x14ac:dyDescent="0.35">
      <c r="A5640" s="1">
        <v>5639</v>
      </c>
      <c r="B5640" s="1">
        <v>1108</v>
      </c>
      <c r="C5640" s="1">
        <v>60</v>
      </c>
      <c r="D5640" t="str">
        <f>VLOOKUP(B5640,Заказы!A:C,3,0)</f>
        <v>2023-11-29 21:06:00</v>
      </c>
      <c r="E5640" t="str">
        <f>VLOOKUP(C5640,Меню!A:E,4,0)</f>
        <v>Суши</v>
      </c>
      <c r="F5640">
        <f>VLOOKUP(C5640,Меню!A:E,5,0)</f>
        <v>250</v>
      </c>
    </row>
    <row r="5641" spans="1:6" ht="15.75" hidden="1" customHeight="1" x14ac:dyDescent="0.35">
      <c r="A5641" s="1">
        <v>5640</v>
      </c>
      <c r="B5641" s="1">
        <v>1109</v>
      </c>
      <c r="C5641" s="1">
        <v>39</v>
      </c>
      <c r="D5641" t="str">
        <f>VLOOKUP(B5641,Заказы!A:C,3,0)</f>
        <v>2023-11-29 21:36:00</v>
      </c>
      <c r="E5641" t="str">
        <f>VLOOKUP(C5641,Меню!A:E,4,0)</f>
        <v>Десерт</v>
      </c>
      <c r="F5641">
        <f>VLOOKUP(C5641,Меню!A:E,5,0)</f>
        <v>150</v>
      </c>
    </row>
    <row r="5642" spans="1:6" ht="15.75" hidden="1" customHeight="1" x14ac:dyDescent="0.35">
      <c r="A5642" s="1">
        <v>5641</v>
      </c>
      <c r="B5642" s="1">
        <v>1109</v>
      </c>
      <c r="C5642" s="1">
        <v>10</v>
      </c>
      <c r="D5642" t="str">
        <f>VLOOKUP(B5642,Заказы!A:C,3,0)</f>
        <v>2023-11-29 21:36:00</v>
      </c>
      <c r="E5642" t="str">
        <f>VLOOKUP(C5642,Меню!A:E,4,0)</f>
        <v>Завтрак</v>
      </c>
      <c r="F5642">
        <f>VLOOKUP(C5642,Меню!A:E,5,0)</f>
        <v>200</v>
      </c>
    </row>
    <row r="5643" spans="1:6" ht="15.75" hidden="1" customHeight="1" x14ac:dyDescent="0.35">
      <c r="A5643" s="1">
        <v>5642</v>
      </c>
      <c r="B5643" s="1">
        <v>1110</v>
      </c>
      <c r="C5643" s="1">
        <v>45</v>
      </c>
      <c r="D5643" t="str">
        <f>VLOOKUP(B5643,Заказы!A:C,3,0)</f>
        <v>2023-11-29 22:31:00</v>
      </c>
      <c r="E5643" t="str">
        <f>VLOOKUP(C5643,Меню!A:E,4,0)</f>
        <v>Суши</v>
      </c>
      <c r="F5643">
        <f>VLOOKUP(C5643,Меню!A:E,5,0)</f>
        <v>200</v>
      </c>
    </row>
    <row r="5644" spans="1:6" ht="15.75" hidden="1" customHeight="1" x14ac:dyDescent="0.35">
      <c r="A5644" s="1">
        <v>5643</v>
      </c>
      <c r="B5644" s="1">
        <v>1110</v>
      </c>
      <c r="C5644" s="1">
        <v>43</v>
      </c>
      <c r="D5644" t="str">
        <f>VLOOKUP(B5644,Заказы!A:C,3,0)</f>
        <v>2023-11-29 22:31:00</v>
      </c>
      <c r="E5644" t="str">
        <f>VLOOKUP(C5644,Меню!A:E,4,0)</f>
        <v>Суши</v>
      </c>
      <c r="F5644">
        <f>VLOOKUP(C5644,Меню!A:E,5,0)</f>
        <v>250</v>
      </c>
    </row>
    <row r="5645" spans="1:6" ht="15.75" hidden="1" customHeight="1" x14ac:dyDescent="0.35">
      <c r="A5645" s="1">
        <v>5644</v>
      </c>
      <c r="B5645" s="1">
        <v>1110</v>
      </c>
      <c r="C5645" s="1">
        <v>21</v>
      </c>
      <c r="D5645" t="str">
        <f>VLOOKUP(B5645,Заказы!A:C,3,0)</f>
        <v>2023-11-29 22:31:00</v>
      </c>
      <c r="E5645" t="str">
        <f>VLOOKUP(C5645,Меню!A:E,4,0)</f>
        <v>Салат</v>
      </c>
      <c r="F5645">
        <f>VLOOKUP(C5645,Меню!A:E,5,0)</f>
        <v>250</v>
      </c>
    </row>
    <row r="5646" spans="1:6" ht="15.75" hidden="1" customHeight="1" x14ac:dyDescent="0.35">
      <c r="A5646" s="1">
        <v>5645</v>
      </c>
      <c r="B5646" s="1">
        <v>1110</v>
      </c>
      <c r="C5646" s="1">
        <v>26</v>
      </c>
      <c r="D5646" t="str">
        <f>VLOOKUP(B5646,Заказы!A:C,3,0)</f>
        <v>2023-11-29 22:31:00</v>
      </c>
      <c r="E5646" t="str">
        <f>VLOOKUP(C5646,Меню!A:E,4,0)</f>
        <v>Салат</v>
      </c>
      <c r="F5646">
        <f>VLOOKUP(C5646,Меню!A:E,5,0)</f>
        <v>250</v>
      </c>
    </row>
    <row r="5647" spans="1:6" ht="15.75" hidden="1" customHeight="1" x14ac:dyDescent="0.35">
      <c r="A5647" s="1">
        <v>5646</v>
      </c>
      <c r="B5647" s="1">
        <v>1111</v>
      </c>
      <c r="C5647" s="1">
        <v>60</v>
      </c>
      <c r="D5647" t="str">
        <f>VLOOKUP(B5647,Заказы!A:C,3,0)</f>
        <v>2023-11-30 15:02:00</v>
      </c>
      <c r="E5647" t="str">
        <f>VLOOKUP(C5647,Меню!A:E,4,0)</f>
        <v>Суши</v>
      </c>
      <c r="F5647">
        <f>VLOOKUP(C5647,Меню!A:E,5,0)</f>
        <v>250</v>
      </c>
    </row>
    <row r="5648" spans="1:6" ht="15.75" hidden="1" customHeight="1" x14ac:dyDescent="0.35">
      <c r="A5648" s="1">
        <v>5647</v>
      </c>
      <c r="B5648" s="1">
        <v>1111</v>
      </c>
      <c r="C5648" s="1">
        <v>56</v>
      </c>
      <c r="D5648" t="str">
        <f>VLOOKUP(B5648,Заказы!A:C,3,0)</f>
        <v>2023-11-30 15:02:00</v>
      </c>
      <c r="E5648" t="str">
        <f>VLOOKUP(C5648,Меню!A:E,4,0)</f>
        <v>Суши</v>
      </c>
      <c r="F5648">
        <f>VLOOKUP(C5648,Меню!A:E,5,0)</f>
        <v>200</v>
      </c>
    </row>
    <row r="5649" spans="1:6" ht="15.75" hidden="1" customHeight="1" x14ac:dyDescent="0.35">
      <c r="A5649" s="1">
        <v>5648</v>
      </c>
      <c r="B5649" s="1">
        <v>1111</v>
      </c>
      <c r="C5649" s="1">
        <v>44</v>
      </c>
      <c r="D5649" t="str">
        <f>VLOOKUP(B5649,Заказы!A:C,3,0)</f>
        <v>2023-11-30 15:02:00</v>
      </c>
      <c r="E5649" t="str">
        <f>VLOOKUP(C5649,Меню!A:E,4,0)</f>
        <v>Суши</v>
      </c>
      <c r="F5649">
        <f>VLOOKUP(C5649,Меню!A:E,5,0)</f>
        <v>250</v>
      </c>
    </row>
    <row r="5650" spans="1:6" ht="15.75" hidden="1" customHeight="1" x14ac:dyDescent="0.35">
      <c r="A5650" s="1">
        <v>5649</v>
      </c>
      <c r="B5650" s="1">
        <v>1111</v>
      </c>
      <c r="C5650" s="1">
        <v>6</v>
      </c>
      <c r="D5650" t="str">
        <f>VLOOKUP(B5650,Заказы!A:C,3,0)</f>
        <v>2023-11-30 15:02:00</v>
      </c>
      <c r="E5650" t="str">
        <f>VLOOKUP(C5650,Меню!A:E,4,0)</f>
        <v>Завтрак</v>
      </c>
      <c r="F5650">
        <f>VLOOKUP(C5650,Меню!A:E,5,0)</f>
        <v>300</v>
      </c>
    </row>
    <row r="5651" spans="1:6" ht="15.75" hidden="1" customHeight="1" x14ac:dyDescent="0.35">
      <c r="A5651" s="1">
        <v>5650</v>
      </c>
      <c r="B5651" s="1">
        <v>1112</v>
      </c>
      <c r="C5651" s="1">
        <v>38</v>
      </c>
      <c r="D5651" t="str">
        <f>VLOOKUP(B5651,Заказы!A:C,3,0)</f>
        <v>2023-11-30 18:19:00</v>
      </c>
      <c r="E5651" t="str">
        <f>VLOOKUP(C5651,Меню!A:E,4,0)</f>
        <v>Десерт</v>
      </c>
      <c r="F5651">
        <f>VLOOKUP(C5651,Меню!A:E,5,0)</f>
        <v>150</v>
      </c>
    </row>
    <row r="5652" spans="1:6" ht="15.75" hidden="1" customHeight="1" x14ac:dyDescent="0.35">
      <c r="A5652" s="1">
        <v>5651</v>
      </c>
      <c r="B5652" s="1">
        <v>1112</v>
      </c>
      <c r="C5652" s="1">
        <v>6</v>
      </c>
      <c r="D5652" t="str">
        <f>VLOOKUP(B5652,Заказы!A:C,3,0)</f>
        <v>2023-11-30 18:19:00</v>
      </c>
      <c r="E5652" t="str">
        <f>VLOOKUP(C5652,Меню!A:E,4,0)</f>
        <v>Завтрак</v>
      </c>
      <c r="F5652">
        <f>VLOOKUP(C5652,Меню!A:E,5,0)</f>
        <v>300</v>
      </c>
    </row>
    <row r="5653" spans="1:6" ht="15.75" hidden="1" customHeight="1" x14ac:dyDescent="0.35">
      <c r="A5653" s="1">
        <v>5652</v>
      </c>
      <c r="B5653" s="1">
        <v>1113</v>
      </c>
      <c r="C5653" s="1">
        <v>47</v>
      </c>
      <c r="D5653" t="str">
        <f>VLOOKUP(B5653,Заказы!A:C,3,0)</f>
        <v>2023-11-30 19:46:00</v>
      </c>
      <c r="E5653" t="str">
        <f>VLOOKUP(C5653,Меню!A:E,4,0)</f>
        <v>Суши</v>
      </c>
      <c r="F5653">
        <f>VLOOKUP(C5653,Меню!A:E,5,0)</f>
        <v>200</v>
      </c>
    </row>
    <row r="5654" spans="1:6" ht="15.75" hidden="1" customHeight="1" x14ac:dyDescent="0.35">
      <c r="A5654" s="1">
        <v>5653</v>
      </c>
      <c r="B5654" s="1">
        <v>1114</v>
      </c>
      <c r="C5654" s="1">
        <v>51</v>
      </c>
      <c r="D5654" t="str">
        <f>VLOOKUP(B5654,Заказы!A:C,3,0)</f>
        <v>2023-11-30 22:54:00</v>
      </c>
      <c r="E5654" t="str">
        <f>VLOOKUP(C5654,Меню!A:E,4,0)</f>
        <v>Суши</v>
      </c>
      <c r="F5654">
        <f>VLOOKUP(C5654,Меню!A:E,5,0)</f>
        <v>100</v>
      </c>
    </row>
    <row r="5655" spans="1:6" ht="15.75" hidden="1" customHeight="1" x14ac:dyDescent="0.35">
      <c r="A5655" s="1">
        <v>5654</v>
      </c>
      <c r="B5655" s="1">
        <v>1114</v>
      </c>
      <c r="C5655" s="1">
        <v>13</v>
      </c>
      <c r="D5655" t="str">
        <f>VLOOKUP(B5655,Заказы!A:C,3,0)</f>
        <v>2023-11-30 22:54:00</v>
      </c>
      <c r="E5655" t="str">
        <f>VLOOKUP(C5655,Меню!A:E,4,0)</f>
        <v>Первое</v>
      </c>
      <c r="F5655">
        <f>VLOOKUP(C5655,Меню!A:E,5,0)</f>
        <v>280</v>
      </c>
    </row>
    <row r="5656" spans="1:6" ht="15.75" hidden="1" customHeight="1" x14ac:dyDescent="0.35">
      <c r="A5656" s="1">
        <v>5655</v>
      </c>
      <c r="B5656" s="1">
        <v>1114</v>
      </c>
      <c r="C5656" s="1">
        <v>20</v>
      </c>
      <c r="D5656" t="str">
        <f>VLOOKUP(B5656,Заказы!A:C,3,0)</f>
        <v>2023-11-30 22:54:00</v>
      </c>
      <c r="E5656" t="str">
        <f>VLOOKUP(C5656,Меню!A:E,4,0)</f>
        <v>Первое</v>
      </c>
      <c r="F5656">
        <f>VLOOKUP(C5656,Меню!A:E,5,0)</f>
        <v>250</v>
      </c>
    </row>
    <row r="5657" spans="1:6" ht="15.75" hidden="1" customHeight="1" x14ac:dyDescent="0.35">
      <c r="A5657" s="1">
        <v>5656</v>
      </c>
      <c r="B5657" s="1">
        <v>1114</v>
      </c>
      <c r="C5657" s="1">
        <v>47</v>
      </c>
      <c r="D5657" t="str">
        <f>VLOOKUP(B5657,Заказы!A:C,3,0)</f>
        <v>2023-11-30 22:54:00</v>
      </c>
      <c r="E5657" t="str">
        <f>VLOOKUP(C5657,Меню!A:E,4,0)</f>
        <v>Суши</v>
      </c>
      <c r="F5657">
        <f>VLOOKUP(C5657,Меню!A:E,5,0)</f>
        <v>200</v>
      </c>
    </row>
    <row r="5658" spans="1:6" ht="15.75" hidden="1" customHeight="1" x14ac:dyDescent="0.35">
      <c r="A5658" s="1">
        <v>5657</v>
      </c>
      <c r="B5658" s="1">
        <v>1114</v>
      </c>
      <c r="C5658" s="1">
        <v>2</v>
      </c>
      <c r="D5658" t="str">
        <f>VLOOKUP(B5658,Заказы!A:C,3,0)</f>
        <v>2023-11-30 22:54:00</v>
      </c>
      <c r="E5658" t="str">
        <f>VLOOKUP(C5658,Меню!A:E,4,0)</f>
        <v>Завтрак</v>
      </c>
      <c r="F5658">
        <f>VLOOKUP(C5658,Меню!A:E,5,0)</f>
        <v>250</v>
      </c>
    </row>
    <row r="5659" spans="1:6" ht="15.75" hidden="1" customHeight="1" x14ac:dyDescent="0.35">
      <c r="A5659" s="1">
        <v>5658</v>
      </c>
      <c r="B5659" s="1">
        <v>1114</v>
      </c>
      <c r="C5659" s="1">
        <v>52</v>
      </c>
      <c r="D5659" t="str">
        <f>VLOOKUP(B5659,Заказы!A:C,3,0)</f>
        <v>2023-11-30 22:54:00</v>
      </c>
      <c r="E5659" t="str">
        <f>VLOOKUP(C5659,Меню!A:E,4,0)</f>
        <v>Суши</v>
      </c>
      <c r="F5659">
        <f>VLOOKUP(C5659,Меню!A:E,5,0)</f>
        <v>100</v>
      </c>
    </row>
    <row r="5660" spans="1:6" ht="15.75" hidden="1" customHeight="1" x14ac:dyDescent="0.35">
      <c r="A5660" s="1">
        <v>5659</v>
      </c>
      <c r="B5660" s="1">
        <v>1115</v>
      </c>
      <c r="C5660" s="1">
        <v>29</v>
      </c>
      <c r="D5660" t="str">
        <f>VLOOKUP(B5660,Заказы!A:C,3,0)</f>
        <v>2023-12-01 15:27:00</v>
      </c>
      <c r="E5660" t="str">
        <f>VLOOKUP(C5660,Меню!A:E,4,0)</f>
        <v>Салат</v>
      </c>
      <c r="F5660">
        <f>VLOOKUP(C5660,Меню!A:E,5,0)</f>
        <v>250</v>
      </c>
    </row>
    <row r="5661" spans="1:6" ht="15.75" hidden="1" customHeight="1" x14ac:dyDescent="0.35">
      <c r="A5661" s="1">
        <v>5660</v>
      </c>
      <c r="B5661" s="1">
        <v>1115</v>
      </c>
      <c r="C5661" s="1">
        <v>13</v>
      </c>
      <c r="D5661" t="str">
        <f>VLOOKUP(B5661,Заказы!A:C,3,0)</f>
        <v>2023-12-01 15:27:00</v>
      </c>
      <c r="E5661" t="str">
        <f>VLOOKUP(C5661,Меню!A:E,4,0)</f>
        <v>Первое</v>
      </c>
      <c r="F5661">
        <f>VLOOKUP(C5661,Меню!A:E,5,0)</f>
        <v>280</v>
      </c>
    </row>
    <row r="5662" spans="1:6" ht="15.75" hidden="1" customHeight="1" x14ac:dyDescent="0.35">
      <c r="A5662" s="1">
        <v>5661</v>
      </c>
      <c r="B5662" s="1">
        <v>1116</v>
      </c>
      <c r="C5662" s="1">
        <v>19</v>
      </c>
      <c r="D5662" t="str">
        <f>VLOOKUP(B5662,Заказы!A:C,3,0)</f>
        <v>2023-12-01 16:57:00</v>
      </c>
      <c r="E5662" t="str">
        <f>VLOOKUP(C5662,Меню!A:E,4,0)</f>
        <v>Первое</v>
      </c>
      <c r="F5662">
        <f>VLOOKUP(C5662,Меню!A:E,5,0)</f>
        <v>300</v>
      </c>
    </row>
    <row r="5663" spans="1:6" ht="15.75" hidden="1" customHeight="1" x14ac:dyDescent="0.35">
      <c r="A5663" s="1">
        <v>5662</v>
      </c>
      <c r="B5663" s="1">
        <v>1116</v>
      </c>
      <c r="C5663" s="1">
        <v>13</v>
      </c>
      <c r="D5663" t="str">
        <f>VLOOKUP(B5663,Заказы!A:C,3,0)</f>
        <v>2023-12-01 16:57:00</v>
      </c>
      <c r="E5663" t="str">
        <f>VLOOKUP(C5663,Меню!A:E,4,0)</f>
        <v>Первое</v>
      </c>
      <c r="F5663">
        <f>VLOOKUP(C5663,Меню!A:E,5,0)</f>
        <v>280</v>
      </c>
    </row>
    <row r="5664" spans="1:6" ht="15.75" hidden="1" customHeight="1" x14ac:dyDescent="0.35">
      <c r="A5664" s="1">
        <v>5663</v>
      </c>
      <c r="B5664" s="1">
        <v>1116</v>
      </c>
      <c r="C5664" s="1">
        <v>38</v>
      </c>
      <c r="D5664" t="str">
        <f>VLOOKUP(B5664,Заказы!A:C,3,0)</f>
        <v>2023-12-01 16:57:00</v>
      </c>
      <c r="E5664" t="str">
        <f>VLOOKUP(C5664,Меню!A:E,4,0)</f>
        <v>Десерт</v>
      </c>
      <c r="F5664">
        <f>VLOOKUP(C5664,Меню!A:E,5,0)</f>
        <v>150</v>
      </c>
    </row>
    <row r="5665" spans="1:6" ht="15.75" hidden="1" customHeight="1" x14ac:dyDescent="0.35">
      <c r="A5665" s="1">
        <v>5664</v>
      </c>
      <c r="B5665" s="1">
        <v>1116</v>
      </c>
      <c r="C5665" s="1">
        <v>14</v>
      </c>
      <c r="D5665" t="str">
        <f>VLOOKUP(B5665,Заказы!A:C,3,0)</f>
        <v>2023-12-01 16:57:00</v>
      </c>
      <c r="E5665" t="str">
        <f>VLOOKUP(C5665,Меню!A:E,4,0)</f>
        <v>Первое</v>
      </c>
      <c r="F5665">
        <f>VLOOKUP(C5665,Меню!A:E,5,0)</f>
        <v>350</v>
      </c>
    </row>
    <row r="5666" spans="1:6" ht="15.75" hidden="1" customHeight="1" x14ac:dyDescent="0.35">
      <c r="A5666" s="1">
        <v>5665</v>
      </c>
      <c r="B5666" s="1">
        <v>1116</v>
      </c>
      <c r="C5666" s="1">
        <v>3</v>
      </c>
      <c r="D5666" t="str">
        <f>VLOOKUP(B5666,Заказы!A:C,3,0)</f>
        <v>2023-12-01 16:57:00</v>
      </c>
      <c r="E5666" t="str">
        <f>VLOOKUP(C5666,Меню!A:E,4,0)</f>
        <v>Завтрак</v>
      </c>
      <c r="F5666">
        <f>VLOOKUP(C5666,Меню!A:E,5,0)</f>
        <v>150</v>
      </c>
    </row>
    <row r="5667" spans="1:6" ht="15.75" hidden="1" customHeight="1" x14ac:dyDescent="0.35">
      <c r="A5667" s="1">
        <v>5666</v>
      </c>
      <c r="B5667" s="1">
        <v>1117</v>
      </c>
      <c r="C5667" s="1">
        <v>47</v>
      </c>
      <c r="D5667" t="str">
        <f>VLOOKUP(B5667,Заказы!A:C,3,0)</f>
        <v>2023-12-01 19:13:00</v>
      </c>
      <c r="E5667" t="str">
        <f>VLOOKUP(C5667,Меню!A:E,4,0)</f>
        <v>Суши</v>
      </c>
      <c r="F5667">
        <f>VLOOKUP(C5667,Меню!A:E,5,0)</f>
        <v>200</v>
      </c>
    </row>
    <row r="5668" spans="1:6" ht="15.75" hidden="1" customHeight="1" x14ac:dyDescent="0.35">
      <c r="A5668" s="1">
        <v>5667</v>
      </c>
      <c r="B5668" s="1">
        <v>1117</v>
      </c>
      <c r="C5668" s="1">
        <v>43</v>
      </c>
      <c r="D5668" t="str">
        <f>VLOOKUP(B5668,Заказы!A:C,3,0)</f>
        <v>2023-12-01 19:13:00</v>
      </c>
      <c r="E5668" t="str">
        <f>VLOOKUP(C5668,Меню!A:E,4,0)</f>
        <v>Суши</v>
      </c>
      <c r="F5668">
        <f>VLOOKUP(C5668,Меню!A:E,5,0)</f>
        <v>250</v>
      </c>
    </row>
    <row r="5669" spans="1:6" ht="15.75" hidden="1" customHeight="1" x14ac:dyDescent="0.35">
      <c r="A5669" s="1">
        <v>5668</v>
      </c>
      <c r="B5669" s="1">
        <v>1117</v>
      </c>
      <c r="C5669" s="1">
        <v>12</v>
      </c>
      <c r="D5669" t="str">
        <f>VLOOKUP(B5669,Заказы!A:C,3,0)</f>
        <v>2023-12-01 19:13:00</v>
      </c>
      <c r="E5669" t="str">
        <f>VLOOKUP(C5669,Меню!A:E,4,0)</f>
        <v>Первое</v>
      </c>
      <c r="F5669">
        <f>VLOOKUP(C5669,Меню!A:E,5,0)</f>
        <v>300</v>
      </c>
    </row>
    <row r="5670" spans="1:6" ht="15.75" hidden="1" customHeight="1" x14ac:dyDescent="0.35">
      <c r="A5670" s="1">
        <v>5669</v>
      </c>
      <c r="B5670" s="1">
        <v>1117</v>
      </c>
      <c r="C5670" s="1">
        <v>32</v>
      </c>
      <c r="D5670" t="str">
        <f>VLOOKUP(B5670,Заказы!A:C,3,0)</f>
        <v>2023-12-01 19:13:00</v>
      </c>
      <c r="E5670" t="str">
        <f>VLOOKUP(C5670,Меню!A:E,4,0)</f>
        <v>Десерт</v>
      </c>
      <c r="F5670">
        <f>VLOOKUP(C5670,Меню!A:E,5,0)</f>
        <v>150</v>
      </c>
    </row>
    <row r="5671" spans="1:6" ht="15.75" hidden="1" customHeight="1" x14ac:dyDescent="0.35">
      <c r="A5671" s="1">
        <v>5670</v>
      </c>
      <c r="B5671" s="1">
        <v>1117</v>
      </c>
      <c r="C5671" s="1">
        <v>9</v>
      </c>
      <c r="D5671" t="str">
        <f>VLOOKUP(B5671,Заказы!A:C,3,0)</f>
        <v>2023-12-01 19:13:00</v>
      </c>
      <c r="E5671" t="str">
        <f>VLOOKUP(C5671,Меню!A:E,4,0)</f>
        <v>Завтрак</v>
      </c>
      <c r="F5671">
        <f>VLOOKUP(C5671,Меню!A:E,5,0)</f>
        <v>220</v>
      </c>
    </row>
    <row r="5672" spans="1:6" ht="15.75" hidden="1" customHeight="1" x14ac:dyDescent="0.35">
      <c r="A5672" s="1">
        <v>5671</v>
      </c>
      <c r="B5672" s="1">
        <v>1117</v>
      </c>
      <c r="C5672" s="1">
        <v>2</v>
      </c>
      <c r="D5672" t="str">
        <f>VLOOKUP(B5672,Заказы!A:C,3,0)</f>
        <v>2023-12-01 19:13:00</v>
      </c>
      <c r="E5672" t="str">
        <f>VLOOKUP(C5672,Меню!A:E,4,0)</f>
        <v>Завтрак</v>
      </c>
      <c r="F5672">
        <f>VLOOKUP(C5672,Меню!A:E,5,0)</f>
        <v>250</v>
      </c>
    </row>
    <row r="5673" spans="1:6" ht="15.75" hidden="1" customHeight="1" x14ac:dyDescent="0.35">
      <c r="A5673" s="1">
        <v>5672</v>
      </c>
      <c r="B5673" s="1">
        <v>1117</v>
      </c>
      <c r="C5673" s="1">
        <v>36</v>
      </c>
      <c r="D5673" t="str">
        <f>VLOOKUP(B5673,Заказы!A:C,3,0)</f>
        <v>2023-12-01 19:13:00</v>
      </c>
      <c r="E5673" t="str">
        <f>VLOOKUP(C5673,Меню!A:E,4,0)</f>
        <v>Десерт</v>
      </c>
      <c r="F5673">
        <f>VLOOKUP(C5673,Меню!A:E,5,0)</f>
        <v>150</v>
      </c>
    </row>
    <row r="5674" spans="1:6" ht="15.75" hidden="1" customHeight="1" x14ac:dyDescent="0.35">
      <c r="A5674" s="1">
        <v>5673</v>
      </c>
      <c r="B5674" s="1">
        <v>1117</v>
      </c>
      <c r="C5674" s="1">
        <v>21</v>
      </c>
      <c r="D5674" t="str">
        <f>VLOOKUP(B5674,Заказы!A:C,3,0)</f>
        <v>2023-12-01 19:13:00</v>
      </c>
      <c r="E5674" t="str">
        <f>VLOOKUP(C5674,Меню!A:E,4,0)</f>
        <v>Салат</v>
      </c>
      <c r="F5674">
        <f>VLOOKUP(C5674,Меню!A:E,5,0)</f>
        <v>250</v>
      </c>
    </row>
    <row r="5675" spans="1:6" ht="15.75" hidden="1" customHeight="1" x14ac:dyDescent="0.35">
      <c r="A5675" s="1">
        <v>5674</v>
      </c>
      <c r="B5675" s="1">
        <v>1118</v>
      </c>
      <c r="C5675" s="1">
        <v>40</v>
      </c>
      <c r="D5675" t="str">
        <f>VLOOKUP(B5675,Заказы!A:C,3,0)</f>
        <v>2023-12-01 20:43:00</v>
      </c>
      <c r="E5675" t="str">
        <f>VLOOKUP(C5675,Меню!A:E,4,0)</f>
        <v>Десерт</v>
      </c>
      <c r="F5675">
        <f>VLOOKUP(C5675,Меню!A:E,5,0)</f>
        <v>150</v>
      </c>
    </row>
    <row r="5676" spans="1:6" ht="15.75" hidden="1" customHeight="1" x14ac:dyDescent="0.35">
      <c r="A5676" s="1">
        <v>5675</v>
      </c>
      <c r="B5676" s="1">
        <v>1119</v>
      </c>
      <c r="C5676" s="1">
        <v>4</v>
      </c>
      <c r="D5676" t="str">
        <f>VLOOKUP(B5676,Заказы!A:C,3,0)</f>
        <v>2023-12-01 21:51:00</v>
      </c>
      <c r="E5676" t="str">
        <f>VLOOKUP(C5676,Меню!A:E,4,0)</f>
        <v>Завтрак</v>
      </c>
      <c r="F5676">
        <f>VLOOKUP(C5676,Меню!A:E,5,0)</f>
        <v>180</v>
      </c>
    </row>
    <row r="5677" spans="1:6" ht="15.75" hidden="1" customHeight="1" x14ac:dyDescent="0.35">
      <c r="A5677" s="1">
        <v>5676</v>
      </c>
      <c r="B5677" s="1">
        <v>1119</v>
      </c>
      <c r="C5677" s="1">
        <v>34</v>
      </c>
      <c r="D5677" t="str">
        <f>VLOOKUP(B5677,Заказы!A:C,3,0)</f>
        <v>2023-12-01 21:51:00</v>
      </c>
      <c r="E5677" t="str">
        <f>VLOOKUP(C5677,Меню!A:E,4,0)</f>
        <v>Десерт</v>
      </c>
      <c r="F5677">
        <f>VLOOKUP(C5677,Меню!A:E,5,0)</f>
        <v>150</v>
      </c>
    </row>
    <row r="5678" spans="1:6" ht="15.75" hidden="1" customHeight="1" x14ac:dyDescent="0.35">
      <c r="A5678" s="1">
        <v>5677</v>
      </c>
      <c r="B5678" s="1">
        <v>1119</v>
      </c>
      <c r="C5678" s="1">
        <v>52</v>
      </c>
      <c r="D5678" t="str">
        <f>VLOOKUP(B5678,Заказы!A:C,3,0)</f>
        <v>2023-12-01 21:51:00</v>
      </c>
      <c r="E5678" t="str">
        <f>VLOOKUP(C5678,Меню!A:E,4,0)</f>
        <v>Суши</v>
      </c>
      <c r="F5678">
        <f>VLOOKUP(C5678,Меню!A:E,5,0)</f>
        <v>100</v>
      </c>
    </row>
    <row r="5679" spans="1:6" ht="15.75" hidden="1" customHeight="1" x14ac:dyDescent="0.35">
      <c r="A5679" s="1">
        <v>5678</v>
      </c>
      <c r="B5679" s="1">
        <v>1119</v>
      </c>
      <c r="C5679" s="1">
        <v>5</v>
      </c>
      <c r="D5679" t="str">
        <f>VLOOKUP(B5679,Заказы!A:C,3,0)</f>
        <v>2023-12-01 21:51:00</v>
      </c>
      <c r="E5679" t="str">
        <f>VLOOKUP(C5679,Меню!A:E,4,0)</f>
        <v>Завтрак</v>
      </c>
      <c r="F5679">
        <f>VLOOKUP(C5679,Меню!A:E,5,0)</f>
        <v>220</v>
      </c>
    </row>
    <row r="5680" spans="1:6" ht="15.75" hidden="1" customHeight="1" x14ac:dyDescent="0.35">
      <c r="A5680" s="1">
        <v>5679</v>
      </c>
      <c r="B5680" s="1">
        <v>1119</v>
      </c>
      <c r="C5680" s="1">
        <v>16</v>
      </c>
      <c r="D5680" t="str">
        <f>VLOOKUP(B5680,Заказы!A:C,3,0)</f>
        <v>2023-12-01 21:51:00</v>
      </c>
      <c r="E5680" t="str">
        <f>VLOOKUP(C5680,Меню!A:E,4,0)</f>
        <v>Первое</v>
      </c>
      <c r="F5680">
        <f>VLOOKUP(C5680,Меню!A:E,5,0)</f>
        <v>250</v>
      </c>
    </row>
    <row r="5681" spans="1:6" ht="15.75" hidden="1" customHeight="1" x14ac:dyDescent="0.35">
      <c r="A5681" s="1">
        <v>5680</v>
      </c>
      <c r="B5681" s="1">
        <v>1119</v>
      </c>
      <c r="C5681" s="1">
        <v>6</v>
      </c>
      <c r="D5681" t="str">
        <f>VLOOKUP(B5681,Заказы!A:C,3,0)</f>
        <v>2023-12-01 21:51:00</v>
      </c>
      <c r="E5681" t="str">
        <f>VLOOKUP(C5681,Меню!A:E,4,0)</f>
        <v>Завтрак</v>
      </c>
      <c r="F5681">
        <f>VLOOKUP(C5681,Меню!A:E,5,0)</f>
        <v>300</v>
      </c>
    </row>
    <row r="5682" spans="1:6" ht="15.75" hidden="1" customHeight="1" x14ac:dyDescent="0.35">
      <c r="A5682" s="1">
        <v>5681</v>
      </c>
      <c r="B5682" s="1">
        <v>1120</v>
      </c>
      <c r="C5682" s="1">
        <v>20</v>
      </c>
      <c r="D5682" t="str">
        <f>VLOOKUP(B5682,Заказы!A:C,3,0)</f>
        <v>2023-12-02 17:03:00</v>
      </c>
      <c r="E5682" t="str">
        <f>VLOOKUP(C5682,Меню!A:E,4,0)</f>
        <v>Первое</v>
      </c>
      <c r="F5682">
        <f>VLOOKUP(C5682,Меню!A:E,5,0)</f>
        <v>250</v>
      </c>
    </row>
    <row r="5683" spans="1:6" ht="15.75" hidden="1" customHeight="1" x14ac:dyDescent="0.35">
      <c r="A5683" s="1">
        <v>5682</v>
      </c>
      <c r="B5683" s="1">
        <v>1120</v>
      </c>
      <c r="C5683" s="1">
        <v>27</v>
      </c>
      <c r="D5683" t="str">
        <f>VLOOKUP(B5683,Заказы!A:C,3,0)</f>
        <v>2023-12-02 17:03:00</v>
      </c>
      <c r="E5683" t="str">
        <f>VLOOKUP(C5683,Меню!A:E,4,0)</f>
        <v>Салат</v>
      </c>
      <c r="F5683">
        <f>VLOOKUP(C5683,Меню!A:E,5,0)</f>
        <v>250</v>
      </c>
    </row>
    <row r="5684" spans="1:6" ht="15.75" hidden="1" customHeight="1" x14ac:dyDescent="0.35">
      <c r="A5684" s="1">
        <v>5683</v>
      </c>
      <c r="B5684" s="1">
        <v>1120</v>
      </c>
      <c r="C5684" s="1">
        <v>2</v>
      </c>
      <c r="D5684" t="str">
        <f>VLOOKUP(B5684,Заказы!A:C,3,0)</f>
        <v>2023-12-02 17:03:00</v>
      </c>
      <c r="E5684" t="str">
        <f>VLOOKUP(C5684,Меню!A:E,4,0)</f>
        <v>Завтрак</v>
      </c>
      <c r="F5684">
        <f>VLOOKUP(C5684,Меню!A:E,5,0)</f>
        <v>250</v>
      </c>
    </row>
    <row r="5685" spans="1:6" ht="15.75" hidden="1" customHeight="1" x14ac:dyDescent="0.35">
      <c r="A5685" s="1">
        <v>5684</v>
      </c>
      <c r="B5685" s="1">
        <v>1120</v>
      </c>
      <c r="C5685" s="1">
        <v>23</v>
      </c>
      <c r="D5685" t="str">
        <f>VLOOKUP(B5685,Заказы!A:C,3,0)</f>
        <v>2023-12-02 17:03:00</v>
      </c>
      <c r="E5685" t="str">
        <f>VLOOKUP(C5685,Меню!A:E,4,0)</f>
        <v>Салат</v>
      </c>
      <c r="F5685">
        <f>VLOOKUP(C5685,Меню!A:E,5,0)</f>
        <v>250</v>
      </c>
    </row>
    <row r="5686" spans="1:6" ht="15.75" hidden="1" customHeight="1" x14ac:dyDescent="0.35">
      <c r="A5686" s="1">
        <v>5685</v>
      </c>
      <c r="B5686" s="1">
        <v>1120</v>
      </c>
      <c r="C5686" s="1">
        <v>24</v>
      </c>
      <c r="D5686" t="str">
        <f>VLOOKUP(B5686,Заказы!A:C,3,0)</f>
        <v>2023-12-02 17:03:00</v>
      </c>
      <c r="E5686" t="str">
        <f>VLOOKUP(C5686,Меню!A:E,4,0)</f>
        <v>Салат</v>
      </c>
      <c r="F5686">
        <f>VLOOKUP(C5686,Меню!A:E,5,0)</f>
        <v>250</v>
      </c>
    </row>
    <row r="5687" spans="1:6" ht="15.75" hidden="1" customHeight="1" x14ac:dyDescent="0.35">
      <c r="A5687" s="1">
        <v>5686</v>
      </c>
      <c r="B5687" s="1">
        <v>1120</v>
      </c>
      <c r="C5687" s="1">
        <v>54</v>
      </c>
      <c r="D5687" t="str">
        <f>VLOOKUP(B5687,Заказы!A:C,3,0)</f>
        <v>2023-12-02 17:03:00</v>
      </c>
      <c r="E5687" t="str">
        <f>VLOOKUP(C5687,Меню!A:E,4,0)</f>
        <v>Суши</v>
      </c>
      <c r="F5687">
        <f>VLOOKUP(C5687,Меню!A:E,5,0)</f>
        <v>100</v>
      </c>
    </row>
    <row r="5688" spans="1:6" ht="15.75" hidden="1" customHeight="1" x14ac:dyDescent="0.35">
      <c r="A5688" s="1">
        <v>5687</v>
      </c>
      <c r="B5688" s="1">
        <v>1120</v>
      </c>
      <c r="C5688" s="1">
        <v>40</v>
      </c>
      <c r="D5688" t="str">
        <f>VLOOKUP(B5688,Заказы!A:C,3,0)</f>
        <v>2023-12-02 17:03:00</v>
      </c>
      <c r="E5688" t="str">
        <f>VLOOKUP(C5688,Меню!A:E,4,0)</f>
        <v>Десерт</v>
      </c>
      <c r="F5688">
        <f>VLOOKUP(C5688,Меню!A:E,5,0)</f>
        <v>150</v>
      </c>
    </row>
    <row r="5689" spans="1:6" ht="15.75" hidden="1" customHeight="1" x14ac:dyDescent="0.35">
      <c r="A5689" s="1">
        <v>5688</v>
      </c>
      <c r="B5689" s="1">
        <v>1121</v>
      </c>
      <c r="C5689" s="1">
        <v>34</v>
      </c>
      <c r="D5689" t="str">
        <f>VLOOKUP(B5689,Заказы!A:C,3,0)</f>
        <v>2023-12-02 18:31:00</v>
      </c>
      <c r="E5689" t="str">
        <f>VLOOKUP(C5689,Меню!A:E,4,0)</f>
        <v>Десерт</v>
      </c>
      <c r="F5689">
        <f>VLOOKUP(C5689,Меню!A:E,5,0)</f>
        <v>150</v>
      </c>
    </row>
    <row r="5690" spans="1:6" ht="15.75" hidden="1" customHeight="1" x14ac:dyDescent="0.35">
      <c r="A5690" s="1">
        <v>5689</v>
      </c>
      <c r="B5690" s="1">
        <v>1122</v>
      </c>
      <c r="C5690" s="1">
        <v>12</v>
      </c>
      <c r="D5690" t="str">
        <f>VLOOKUP(B5690,Заказы!A:C,3,0)</f>
        <v>2023-12-02 20:58:00</v>
      </c>
      <c r="E5690" t="str">
        <f>VLOOKUP(C5690,Меню!A:E,4,0)</f>
        <v>Первое</v>
      </c>
      <c r="F5690">
        <f>VLOOKUP(C5690,Меню!A:E,5,0)</f>
        <v>300</v>
      </c>
    </row>
    <row r="5691" spans="1:6" ht="15.75" hidden="1" customHeight="1" x14ac:dyDescent="0.35">
      <c r="A5691" s="1">
        <v>5690</v>
      </c>
      <c r="B5691" s="1">
        <v>1122</v>
      </c>
      <c r="C5691" s="1">
        <v>43</v>
      </c>
      <c r="D5691" t="str">
        <f>VLOOKUP(B5691,Заказы!A:C,3,0)</f>
        <v>2023-12-02 20:58:00</v>
      </c>
      <c r="E5691" t="str">
        <f>VLOOKUP(C5691,Меню!A:E,4,0)</f>
        <v>Суши</v>
      </c>
      <c r="F5691">
        <f>VLOOKUP(C5691,Меню!A:E,5,0)</f>
        <v>250</v>
      </c>
    </row>
    <row r="5692" spans="1:6" ht="15.75" hidden="1" customHeight="1" x14ac:dyDescent="0.35">
      <c r="A5692" s="1">
        <v>5691</v>
      </c>
      <c r="B5692" s="1">
        <v>1122</v>
      </c>
      <c r="C5692" s="1">
        <v>38</v>
      </c>
      <c r="D5692" t="str">
        <f>VLOOKUP(B5692,Заказы!A:C,3,0)</f>
        <v>2023-12-02 20:58:00</v>
      </c>
      <c r="E5692" t="str">
        <f>VLOOKUP(C5692,Меню!A:E,4,0)</f>
        <v>Десерт</v>
      </c>
      <c r="F5692">
        <f>VLOOKUP(C5692,Меню!A:E,5,0)</f>
        <v>150</v>
      </c>
    </row>
    <row r="5693" spans="1:6" ht="15.75" hidden="1" customHeight="1" x14ac:dyDescent="0.35">
      <c r="A5693" s="1">
        <v>5692</v>
      </c>
      <c r="B5693" s="1">
        <v>1123</v>
      </c>
      <c r="C5693" s="1">
        <v>5</v>
      </c>
      <c r="D5693" t="str">
        <f>VLOOKUP(B5693,Заказы!A:C,3,0)</f>
        <v>2023-12-03 15:27:00</v>
      </c>
      <c r="E5693" t="str">
        <f>VLOOKUP(C5693,Меню!A:E,4,0)</f>
        <v>Завтрак</v>
      </c>
      <c r="F5693">
        <f>VLOOKUP(C5693,Меню!A:E,5,0)</f>
        <v>220</v>
      </c>
    </row>
    <row r="5694" spans="1:6" ht="15.75" hidden="1" customHeight="1" x14ac:dyDescent="0.35">
      <c r="A5694" s="1">
        <v>5693</v>
      </c>
      <c r="B5694" s="1">
        <v>1124</v>
      </c>
      <c r="C5694" s="1">
        <v>5</v>
      </c>
      <c r="D5694" t="str">
        <f>VLOOKUP(B5694,Заказы!A:C,3,0)</f>
        <v>2023-12-03 15:34:00</v>
      </c>
      <c r="E5694" t="str">
        <f>VLOOKUP(C5694,Меню!A:E,4,0)</f>
        <v>Завтрак</v>
      </c>
      <c r="F5694">
        <f>VLOOKUP(C5694,Меню!A:E,5,0)</f>
        <v>220</v>
      </c>
    </row>
    <row r="5695" spans="1:6" ht="15.75" hidden="1" customHeight="1" x14ac:dyDescent="0.35">
      <c r="A5695" s="1">
        <v>5694</v>
      </c>
      <c r="B5695" s="1">
        <v>1124</v>
      </c>
      <c r="C5695" s="1">
        <v>14</v>
      </c>
      <c r="D5695" t="str">
        <f>VLOOKUP(B5695,Заказы!A:C,3,0)</f>
        <v>2023-12-03 15:34:00</v>
      </c>
      <c r="E5695" t="str">
        <f>VLOOKUP(C5695,Меню!A:E,4,0)</f>
        <v>Первое</v>
      </c>
      <c r="F5695">
        <f>VLOOKUP(C5695,Меню!A:E,5,0)</f>
        <v>350</v>
      </c>
    </row>
    <row r="5696" spans="1:6" ht="15.75" hidden="1" customHeight="1" x14ac:dyDescent="0.35">
      <c r="A5696" s="1">
        <v>5695</v>
      </c>
      <c r="B5696" s="1">
        <v>1124</v>
      </c>
      <c r="C5696" s="1">
        <v>4</v>
      </c>
      <c r="D5696" t="str">
        <f>VLOOKUP(B5696,Заказы!A:C,3,0)</f>
        <v>2023-12-03 15:34:00</v>
      </c>
      <c r="E5696" t="str">
        <f>VLOOKUP(C5696,Меню!A:E,4,0)</f>
        <v>Завтрак</v>
      </c>
      <c r="F5696">
        <f>VLOOKUP(C5696,Меню!A:E,5,0)</f>
        <v>180</v>
      </c>
    </row>
    <row r="5697" spans="1:6" ht="15.75" hidden="1" customHeight="1" x14ac:dyDescent="0.35">
      <c r="A5697" s="1">
        <v>5696</v>
      </c>
      <c r="B5697" s="1">
        <v>1125</v>
      </c>
      <c r="C5697" s="1">
        <v>2</v>
      </c>
      <c r="D5697" t="str">
        <f>VLOOKUP(B5697,Заказы!A:C,3,0)</f>
        <v>2023-12-03 16:09:00</v>
      </c>
      <c r="E5697" t="str">
        <f>VLOOKUP(C5697,Меню!A:E,4,0)</f>
        <v>Завтрак</v>
      </c>
      <c r="F5697">
        <f>VLOOKUP(C5697,Меню!A:E,5,0)</f>
        <v>250</v>
      </c>
    </row>
    <row r="5698" spans="1:6" ht="15.75" hidden="1" customHeight="1" x14ac:dyDescent="0.35">
      <c r="A5698" s="1">
        <v>5697</v>
      </c>
      <c r="B5698" s="1">
        <v>1125</v>
      </c>
      <c r="C5698" s="1">
        <v>17</v>
      </c>
      <c r="D5698" t="str">
        <f>VLOOKUP(B5698,Заказы!A:C,3,0)</f>
        <v>2023-12-03 16:09:00</v>
      </c>
      <c r="E5698" t="str">
        <f>VLOOKUP(C5698,Меню!A:E,4,0)</f>
        <v>Первое</v>
      </c>
      <c r="F5698">
        <f>VLOOKUP(C5698,Меню!A:E,5,0)</f>
        <v>250</v>
      </c>
    </row>
    <row r="5699" spans="1:6" ht="15.75" hidden="1" customHeight="1" x14ac:dyDescent="0.35">
      <c r="A5699" s="1">
        <v>5698</v>
      </c>
      <c r="B5699" s="1">
        <v>1125</v>
      </c>
      <c r="C5699" s="1">
        <v>4</v>
      </c>
      <c r="D5699" t="str">
        <f>VLOOKUP(B5699,Заказы!A:C,3,0)</f>
        <v>2023-12-03 16:09:00</v>
      </c>
      <c r="E5699" t="str">
        <f>VLOOKUP(C5699,Меню!A:E,4,0)</f>
        <v>Завтрак</v>
      </c>
      <c r="F5699">
        <f>VLOOKUP(C5699,Меню!A:E,5,0)</f>
        <v>180</v>
      </c>
    </row>
    <row r="5700" spans="1:6" ht="15.75" hidden="1" customHeight="1" x14ac:dyDescent="0.35">
      <c r="A5700" s="1">
        <v>5699</v>
      </c>
      <c r="B5700" s="1">
        <v>1125</v>
      </c>
      <c r="C5700" s="1">
        <v>46</v>
      </c>
      <c r="D5700" t="str">
        <f>VLOOKUP(B5700,Заказы!A:C,3,0)</f>
        <v>2023-12-03 16:09:00</v>
      </c>
      <c r="E5700" t="str">
        <f>VLOOKUP(C5700,Меню!A:E,4,0)</f>
        <v>Суши</v>
      </c>
      <c r="F5700">
        <f>VLOOKUP(C5700,Меню!A:E,5,0)</f>
        <v>200</v>
      </c>
    </row>
    <row r="5701" spans="1:6" ht="15.75" hidden="1" customHeight="1" x14ac:dyDescent="0.35">
      <c r="A5701" s="1">
        <v>5700</v>
      </c>
      <c r="B5701" s="1">
        <v>1125</v>
      </c>
      <c r="C5701" s="1">
        <v>19</v>
      </c>
      <c r="D5701" t="str">
        <f>VLOOKUP(B5701,Заказы!A:C,3,0)</f>
        <v>2023-12-03 16:09:00</v>
      </c>
      <c r="E5701" t="str">
        <f>VLOOKUP(C5701,Меню!A:E,4,0)</f>
        <v>Первое</v>
      </c>
      <c r="F5701">
        <f>VLOOKUP(C5701,Меню!A:E,5,0)</f>
        <v>300</v>
      </c>
    </row>
    <row r="5702" spans="1:6" ht="15.75" hidden="1" customHeight="1" x14ac:dyDescent="0.35">
      <c r="A5702" s="1">
        <v>5701</v>
      </c>
      <c r="B5702" s="1">
        <v>1125</v>
      </c>
      <c r="C5702" s="1">
        <v>53</v>
      </c>
      <c r="D5702" t="str">
        <f>VLOOKUP(B5702,Заказы!A:C,3,0)</f>
        <v>2023-12-03 16:09:00</v>
      </c>
      <c r="E5702" t="str">
        <f>VLOOKUP(C5702,Меню!A:E,4,0)</f>
        <v>Суши</v>
      </c>
      <c r="F5702">
        <f>VLOOKUP(C5702,Меню!A:E,5,0)</f>
        <v>100</v>
      </c>
    </row>
    <row r="5703" spans="1:6" ht="15.75" hidden="1" customHeight="1" x14ac:dyDescent="0.35">
      <c r="A5703" s="1">
        <v>5702</v>
      </c>
      <c r="B5703" s="1">
        <v>1126</v>
      </c>
      <c r="C5703" s="1">
        <v>47</v>
      </c>
      <c r="D5703" t="str">
        <f>VLOOKUP(B5703,Заказы!A:C,3,0)</f>
        <v>2023-12-03 16:47:00</v>
      </c>
      <c r="E5703" t="str">
        <f>VLOOKUP(C5703,Меню!A:E,4,0)</f>
        <v>Суши</v>
      </c>
      <c r="F5703">
        <f>VLOOKUP(C5703,Меню!A:E,5,0)</f>
        <v>200</v>
      </c>
    </row>
    <row r="5704" spans="1:6" ht="15.75" hidden="1" customHeight="1" x14ac:dyDescent="0.35">
      <c r="A5704" s="1">
        <v>5703</v>
      </c>
      <c r="B5704" s="1">
        <v>1126</v>
      </c>
      <c r="C5704" s="1">
        <v>4</v>
      </c>
      <c r="D5704" t="str">
        <f>VLOOKUP(B5704,Заказы!A:C,3,0)</f>
        <v>2023-12-03 16:47:00</v>
      </c>
      <c r="E5704" t="str">
        <f>VLOOKUP(C5704,Меню!A:E,4,0)</f>
        <v>Завтрак</v>
      </c>
      <c r="F5704">
        <f>VLOOKUP(C5704,Меню!A:E,5,0)</f>
        <v>180</v>
      </c>
    </row>
    <row r="5705" spans="1:6" ht="15.75" hidden="1" customHeight="1" x14ac:dyDescent="0.35">
      <c r="A5705" s="1">
        <v>5704</v>
      </c>
      <c r="B5705" s="1">
        <v>1127</v>
      </c>
      <c r="C5705" s="1">
        <v>54</v>
      </c>
      <c r="D5705" t="str">
        <f>VLOOKUP(B5705,Заказы!A:C,3,0)</f>
        <v>2023-12-03 17:15:00</v>
      </c>
      <c r="E5705" t="str">
        <f>VLOOKUP(C5705,Меню!A:E,4,0)</f>
        <v>Суши</v>
      </c>
      <c r="F5705">
        <f>VLOOKUP(C5705,Меню!A:E,5,0)</f>
        <v>100</v>
      </c>
    </row>
    <row r="5706" spans="1:6" ht="15.75" hidden="1" customHeight="1" x14ac:dyDescent="0.35">
      <c r="A5706" s="1">
        <v>5705</v>
      </c>
      <c r="B5706" s="1">
        <v>1127</v>
      </c>
      <c r="C5706" s="1">
        <v>6</v>
      </c>
      <c r="D5706" t="str">
        <f>VLOOKUP(B5706,Заказы!A:C,3,0)</f>
        <v>2023-12-03 17:15:00</v>
      </c>
      <c r="E5706" t="str">
        <f>VLOOKUP(C5706,Меню!A:E,4,0)</f>
        <v>Завтрак</v>
      </c>
      <c r="F5706">
        <f>VLOOKUP(C5706,Меню!A:E,5,0)</f>
        <v>300</v>
      </c>
    </row>
    <row r="5707" spans="1:6" ht="15.75" hidden="1" customHeight="1" x14ac:dyDescent="0.35">
      <c r="A5707" s="1">
        <v>5706</v>
      </c>
      <c r="B5707" s="1">
        <v>1127</v>
      </c>
      <c r="C5707" s="1">
        <v>11</v>
      </c>
      <c r="D5707" t="str">
        <f>VLOOKUP(B5707,Заказы!A:C,3,0)</f>
        <v>2023-12-03 17:15:00</v>
      </c>
      <c r="E5707" t="str">
        <f>VLOOKUP(C5707,Меню!A:E,4,0)</f>
        <v>Первое</v>
      </c>
      <c r="F5707">
        <f>VLOOKUP(C5707,Меню!A:E,5,0)</f>
        <v>300</v>
      </c>
    </row>
    <row r="5708" spans="1:6" ht="15.75" hidden="1" customHeight="1" x14ac:dyDescent="0.35">
      <c r="A5708" s="1">
        <v>5707</v>
      </c>
      <c r="B5708" s="1">
        <v>1127</v>
      </c>
      <c r="C5708" s="1">
        <v>55</v>
      </c>
      <c r="D5708" t="str">
        <f>VLOOKUP(B5708,Заказы!A:C,3,0)</f>
        <v>2023-12-03 17:15:00</v>
      </c>
      <c r="E5708" t="str">
        <f>VLOOKUP(C5708,Меню!A:E,4,0)</f>
        <v>Суши</v>
      </c>
      <c r="F5708">
        <f>VLOOKUP(C5708,Меню!A:E,5,0)</f>
        <v>100</v>
      </c>
    </row>
    <row r="5709" spans="1:6" ht="15.75" hidden="1" customHeight="1" x14ac:dyDescent="0.35">
      <c r="A5709" s="1">
        <v>5708</v>
      </c>
      <c r="B5709" s="1">
        <v>1127</v>
      </c>
      <c r="C5709" s="1">
        <v>18</v>
      </c>
      <c r="D5709" t="str">
        <f>VLOOKUP(B5709,Заказы!A:C,3,0)</f>
        <v>2023-12-03 17:15:00</v>
      </c>
      <c r="E5709" t="str">
        <f>VLOOKUP(C5709,Меню!A:E,4,0)</f>
        <v>Первое</v>
      </c>
      <c r="F5709">
        <f>VLOOKUP(C5709,Меню!A:E,5,0)</f>
        <v>300</v>
      </c>
    </row>
    <row r="5710" spans="1:6" ht="15.75" hidden="1" customHeight="1" x14ac:dyDescent="0.35">
      <c r="A5710" s="1">
        <v>5709</v>
      </c>
      <c r="B5710" s="1">
        <v>1127</v>
      </c>
      <c r="C5710" s="1">
        <v>35</v>
      </c>
      <c r="D5710" t="str">
        <f>VLOOKUP(B5710,Заказы!A:C,3,0)</f>
        <v>2023-12-03 17:15:00</v>
      </c>
      <c r="E5710" t="str">
        <f>VLOOKUP(C5710,Меню!A:E,4,0)</f>
        <v>Десерт</v>
      </c>
      <c r="F5710">
        <f>VLOOKUP(C5710,Меню!A:E,5,0)</f>
        <v>150</v>
      </c>
    </row>
    <row r="5711" spans="1:6" ht="15.75" hidden="1" customHeight="1" x14ac:dyDescent="0.35">
      <c r="A5711" s="1">
        <v>5710</v>
      </c>
      <c r="B5711" s="1">
        <v>1127</v>
      </c>
      <c r="C5711" s="1">
        <v>27</v>
      </c>
      <c r="D5711" t="str">
        <f>VLOOKUP(B5711,Заказы!A:C,3,0)</f>
        <v>2023-12-03 17:15:00</v>
      </c>
      <c r="E5711" t="str">
        <f>VLOOKUP(C5711,Меню!A:E,4,0)</f>
        <v>Салат</v>
      </c>
      <c r="F5711">
        <f>VLOOKUP(C5711,Меню!A:E,5,0)</f>
        <v>250</v>
      </c>
    </row>
    <row r="5712" spans="1:6" ht="15.75" hidden="1" customHeight="1" x14ac:dyDescent="0.35">
      <c r="A5712" s="1">
        <v>5711</v>
      </c>
      <c r="B5712" s="1">
        <v>1128</v>
      </c>
      <c r="C5712" s="1">
        <v>19</v>
      </c>
      <c r="D5712" t="str">
        <f>VLOOKUP(B5712,Заказы!A:C,3,0)</f>
        <v>2023-12-03 19:12:00</v>
      </c>
      <c r="E5712" t="str">
        <f>VLOOKUP(C5712,Меню!A:E,4,0)</f>
        <v>Первое</v>
      </c>
      <c r="F5712">
        <f>VLOOKUP(C5712,Меню!A:E,5,0)</f>
        <v>300</v>
      </c>
    </row>
    <row r="5713" spans="1:6" ht="15.75" hidden="1" customHeight="1" x14ac:dyDescent="0.35">
      <c r="A5713" s="1">
        <v>5712</v>
      </c>
      <c r="B5713" s="1">
        <v>1128</v>
      </c>
      <c r="C5713" s="1">
        <v>55</v>
      </c>
      <c r="D5713" t="str">
        <f>VLOOKUP(B5713,Заказы!A:C,3,0)</f>
        <v>2023-12-03 19:12:00</v>
      </c>
      <c r="E5713" t="str">
        <f>VLOOKUP(C5713,Меню!A:E,4,0)</f>
        <v>Суши</v>
      </c>
      <c r="F5713">
        <f>VLOOKUP(C5713,Меню!A:E,5,0)</f>
        <v>100</v>
      </c>
    </row>
    <row r="5714" spans="1:6" ht="15.75" hidden="1" customHeight="1" x14ac:dyDescent="0.35">
      <c r="A5714" s="1">
        <v>5713</v>
      </c>
      <c r="B5714" s="1">
        <v>1128</v>
      </c>
      <c r="C5714" s="1">
        <v>48</v>
      </c>
      <c r="D5714" t="str">
        <f>VLOOKUP(B5714,Заказы!A:C,3,0)</f>
        <v>2023-12-03 19:12:00</v>
      </c>
      <c r="E5714" t="str">
        <f>VLOOKUP(C5714,Меню!A:E,4,0)</f>
        <v>Суши</v>
      </c>
      <c r="F5714">
        <f>VLOOKUP(C5714,Меню!A:E,5,0)</f>
        <v>200</v>
      </c>
    </row>
    <row r="5715" spans="1:6" ht="15.75" hidden="1" customHeight="1" x14ac:dyDescent="0.35">
      <c r="A5715" s="1">
        <v>5714</v>
      </c>
      <c r="B5715" s="1">
        <v>1128</v>
      </c>
      <c r="C5715" s="1">
        <v>52</v>
      </c>
      <c r="D5715" t="str">
        <f>VLOOKUP(B5715,Заказы!A:C,3,0)</f>
        <v>2023-12-03 19:12:00</v>
      </c>
      <c r="E5715" t="str">
        <f>VLOOKUP(C5715,Меню!A:E,4,0)</f>
        <v>Суши</v>
      </c>
      <c r="F5715">
        <f>VLOOKUP(C5715,Меню!A:E,5,0)</f>
        <v>100</v>
      </c>
    </row>
    <row r="5716" spans="1:6" ht="15.75" hidden="1" customHeight="1" x14ac:dyDescent="0.35">
      <c r="A5716" s="1">
        <v>5715</v>
      </c>
      <c r="B5716" s="1">
        <v>1128</v>
      </c>
      <c r="C5716" s="1">
        <v>6</v>
      </c>
      <c r="D5716" t="str">
        <f>VLOOKUP(B5716,Заказы!A:C,3,0)</f>
        <v>2023-12-03 19:12:00</v>
      </c>
      <c r="E5716" t="str">
        <f>VLOOKUP(C5716,Меню!A:E,4,0)</f>
        <v>Завтрак</v>
      </c>
      <c r="F5716">
        <f>VLOOKUP(C5716,Меню!A:E,5,0)</f>
        <v>300</v>
      </c>
    </row>
    <row r="5717" spans="1:6" ht="15.75" hidden="1" customHeight="1" x14ac:dyDescent="0.35">
      <c r="A5717" s="1">
        <v>5716</v>
      </c>
      <c r="B5717" s="1">
        <v>1128</v>
      </c>
      <c r="C5717" s="1">
        <v>29</v>
      </c>
      <c r="D5717" t="str">
        <f>VLOOKUP(B5717,Заказы!A:C,3,0)</f>
        <v>2023-12-03 19:12:00</v>
      </c>
      <c r="E5717" t="str">
        <f>VLOOKUP(C5717,Меню!A:E,4,0)</f>
        <v>Салат</v>
      </c>
      <c r="F5717">
        <f>VLOOKUP(C5717,Меню!A:E,5,0)</f>
        <v>250</v>
      </c>
    </row>
    <row r="5718" spans="1:6" ht="15.75" hidden="1" customHeight="1" x14ac:dyDescent="0.35">
      <c r="A5718" s="1">
        <v>5717</v>
      </c>
      <c r="B5718" s="1">
        <v>1128</v>
      </c>
      <c r="C5718" s="1">
        <v>38</v>
      </c>
      <c r="D5718" t="str">
        <f>VLOOKUP(B5718,Заказы!A:C,3,0)</f>
        <v>2023-12-03 19:12:00</v>
      </c>
      <c r="E5718" t="str">
        <f>VLOOKUP(C5718,Меню!A:E,4,0)</f>
        <v>Десерт</v>
      </c>
      <c r="F5718">
        <f>VLOOKUP(C5718,Меню!A:E,5,0)</f>
        <v>150</v>
      </c>
    </row>
    <row r="5719" spans="1:6" ht="15.75" hidden="1" customHeight="1" x14ac:dyDescent="0.35">
      <c r="A5719" s="1">
        <v>5718</v>
      </c>
      <c r="B5719" s="1">
        <v>1128</v>
      </c>
      <c r="C5719" s="1">
        <v>41</v>
      </c>
      <c r="D5719" t="str">
        <f>VLOOKUP(B5719,Заказы!A:C,3,0)</f>
        <v>2023-12-03 19:12:00</v>
      </c>
      <c r="E5719" t="str">
        <f>VLOOKUP(C5719,Меню!A:E,4,0)</f>
        <v>Суши</v>
      </c>
      <c r="F5719">
        <f>VLOOKUP(C5719,Меню!A:E,5,0)</f>
        <v>220</v>
      </c>
    </row>
    <row r="5720" spans="1:6" ht="15.75" hidden="1" customHeight="1" x14ac:dyDescent="0.35">
      <c r="A5720" s="1">
        <v>5719</v>
      </c>
      <c r="B5720" s="1">
        <v>1129</v>
      </c>
      <c r="C5720" s="1">
        <v>23</v>
      </c>
      <c r="D5720" t="str">
        <f>VLOOKUP(B5720,Заказы!A:C,3,0)</f>
        <v>2023-12-03 19:34:00</v>
      </c>
      <c r="E5720" t="str">
        <f>VLOOKUP(C5720,Меню!A:E,4,0)</f>
        <v>Салат</v>
      </c>
      <c r="F5720">
        <f>VLOOKUP(C5720,Меню!A:E,5,0)</f>
        <v>250</v>
      </c>
    </row>
    <row r="5721" spans="1:6" ht="15.75" hidden="1" customHeight="1" x14ac:dyDescent="0.35">
      <c r="A5721" s="1">
        <v>5720</v>
      </c>
      <c r="B5721" s="1">
        <v>1129</v>
      </c>
      <c r="C5721" s="1">
        <v>46</v>
      </c>
      <c r="D5721" t="str">
        <f>VLOOKUP(B5721,Заказы!A:C,3,0)</f>
        <v>2023-12-03 19:34:00</v>
      </c>
      <c r="E5721" t="str">
        <f>VLOOKUP(C5721,Меню!A:E,4,0)</f>
        <v>Суши</v>
      </c>
      <c r="F5721">
        <f>VLOOKUP(C5721,Меню!A:E,5,0)</f>
        <v>200</v>
      </c>
    </row>
    <row r="5722" spans="1:6" ht="15.75" hidden="1" customHeight="1" x14ac:dyDescent="0.35">
      <c r="A5722" s="1">
        <v>5721</v>
      </c>
      <c r="B5722" s="1">
        <v>1129</v>
      </c>
      <c r="C5722" s="1">
        <v>57</v>
      </c>
      <c r="D5722" t="str">
        <f>VLOOKUP(B5722,Заказы!A:C,3,0)</f>
        <v>2023-12-03 19:34:00</v>
      </c>
      <c r="E5722" t="str">
        <f>VLOOKUP(C5722,Меню!A:E,4,0)</f>
        <v>Суши</v>
      </c>
      <c r="F5722">
        <f>VLOOKUP(C5722,Меню!A:E,5,0)</f>
        <v>200</v>
      </c>
    </row>
    <row r="5723" spans="1:6" ht="15.75" hidden="1" customHeight="1" x14ac:dyDescent="0.35">
      <c r="A5723" s="1">
        <v>5722</v>
      </c>
      <c r="B5723" s="1">
        <v>1129</v>
      </c>
      <c r="C5723" s="1">
        <v>7</v>
      </c>
      <c r="D5723" t="str">
        <f>VLOOKUP(B5723,Заказы!A:C,3,0)</f>
        <v>2023-12-03 19:34:00</v>
      </c>
      <c r="E5723" t="str">
        <f>VLOOKUP(C5723,Меню!A:E,4,0)</f>
        <v>Завтрак</v>
      </c>
      <c r="F5723">
        <f>VLOOKUP(C5723,Меню!A:E,5,0)</f>
        <v>200</v>
      </c>
    </row>
    <row r="5724" spans="1:6" ht="15.75" hidden="1" customHeight="1" x14ac:dyDescent="0.35">
      <c r="A5724" s="1">
        <v>5723</v>
      </c>
      <c r="B5724" s="1">
        <v>1130</v>
      </c>
      <c r="C5724" s="1">
        <v>38</v>
      </c>
      <c r="D5724" t="str">
        <f>VLOOKUP(B5724,Заказы!A:C,3,0)</f>
        <v>2023-12-03 20:02:00</v>
      </c>
      <c r="E5724" t="str">
        <f>VLOOKUP(C5724,Меню!A:E,4,0)</f>
        <v>Десерт</v>
      </c>
      <c r="F5724">
        <f>VLOOKUP(C5724,Меню!A:E,5,0)</f>
        <v>150</v>
      </c>
    </row>
    <row r="5725" spans="1:6" ht="15.75" hidden="1" customHeight="1" x14ac:dyDescent="0.35">
      <c r="A5725" s="1">
        <v>5724</v>
      </c>
      <c r="B5725" s="1">
        <v>1130</v>
      </c>
      <c r="C5725" s="1">
        <v>44</v>
      </c>
      <c r="D5725" t="str">
        <f>VLOOKUP(B5725,Заказы!A:C,3,0)</f>
        <v>2023-12-03 20:02:00</v>
      </c>
      <c r="E5725" t="str">
        <f>VLOOKUP(C5725,Меню!A:E,4,0)</f>
        <v>Суши</v>
      </c>
      <c r="F5725">
        <f>VLOOKUP(C5725,Меню!A:E,5,0)</f>
        <v>250</v>
      </c>
    </row>
    <row r="5726" spans="1:6" ht="15.75" hidden="1" customHeight="1" x14ac:dyDescent="0.35">
      <c r="A5726" s="1">
        <v>5725</v>
      </c>
      <c r="B5726" s="1">
        <v>1130</v>
      </c>
      <c r="C5726" s="1">
        <v>9</v>
      </c>
      <c r="D5726" t="str">
        <f>VLOOKUP(B5726,Заказы!A:C,3,0)</f>
        <v>2023-12-03 20:02:00</v>
      </c>
      <c r="E5726" t="str">
        <f>VLOOKUP(C5726,Меню!A:E,4,0)</f>
        <v>Завтрак</v>
      </c>
      <c r="F5726">
        <f>VLOOKUP(C5726,Меню!A:E,5,0)</f>
        <v>220</v>
      </c>
    </row>
    <row r="5727" spans="1:6" ht="15.75" hidden="1" customHeight="1" x14ac:dyDescent="0.35">
      <c r="A5727" s="1">
        <v>5726</v>
      </c>
      <c r="B5727" s="1">
        <v>1130</v>
      </c>
      <c r="C5727" s="1">
        <v>33</v>
      </c>
      <c r="D5727" t="str">
        <f>VLOOKUP(B5727,Заказы!A:C,3,0)</f>
        <v>2023-12-03 20:02:00</v>
      </c>
      <c r="E5727" t="str">
        <f>VLOOKUP(C5727,Меню!A:E,4,0)</f>
        <v>Десерт</v>
      </c>
      <c r="F5727">
        <f>VLOOKUP(C5727,Меню!A:E,5,0)</f>
        <v>150</v>
      </c>
    </row>
    <row r="5728" spans="1:6" ht="15.75" hidden="1" customHeight="1" x14ac:dyDescent="0.35">
      <c r="A5728" s="1">
        <v>5727</v>
      </c>
      <c r="B5728" s="1">
        <v>1130</v>
      </c>
      <c r="C5728" s="1">
        <v>29</v>
      </c>
      <c r="D5728" t="str">
        <f>VLOOKUP(B5728,Заказы!A:C,3,0)</f>
        <v>2023-12-03 20:02:00</v>
      </c>
      <c r="E5728" t="str">
        <f>VLOOKUP(C5728,Меню!A:E,4,0)</f>
        <v>Салат</v>
      </c>
      <c r="F5728">
        <f>VLOOKUP(C5728,Меню!A:E,5,0)</f>
        <v>250</v>
      </c>
    </row>
    <row r="5729" spans="1:6" ht="15.75" hidden="1" customHeight="1" x14ac:dyDescent="0.35">
      <c r="A5729" s="1">
        <v>5728</v>
      </c>
      <c r="B5729" s="1">
        <v>1131</v>
      </c>
      <c r="C5729" s="1">
        <v>23</v>
      </c>
      <c r="D5729" t="str">
        <f>VLOOKUP(B5729,Заказы!A:C,3,0)</f>
        <v>2023-12-03 20:16:00</v>
      </c>
      <c r="E5729" t="str">
        <f>VLOOKUP(C5729,Меню!A:E,4,0)</f>
        <v>Салат</v>
      </c>
      <c r="F5729">
        <f>VLOOKUP(C5729,Меню!A:E,5,0)</f>
        <v>250</v>
      </c>
    </row>
    <row r="5730" spans="1:6" ht="15.75" hidden="1" customHeight="1" x14ac:dyDescent="0.35">
      <c r="A5730" s="1">
        <v>5729</v>
      </c>
      <c r="B5730" s="1">
        <v>1131</v>
      </c>
      <c r="C5730" s="1">
        <v>30</v>
      </c>
      <c r="D5730" t="str">
        <f>VLOOKUP(B5730,Заказы!A:C,3,0)</f>
        <v>2023-12-03 20:16:00</v>
      </c>
      <c r="E5730" t="str">
        <f>VLOOKUP(C5730,Меню!A:E,4,0)</f>
        <v>Салат</v>
      </c>
      <c r="F5730">
        <f>VLOOKUP(C5730,Меню!A:E,5,0)</f>
        <v>250</v>
      </c>
    </row>
    <row r="5731" spans="1:6" ht="15.75" hidden="1" customHeight="1" x14ac:dyDescent="0.35">
      <c r="A5731" s="1">
        <v>5730</v>
      </c>
      <c r="B5731" s="1">
        <v>1131</v>
      </c>
      <c r="C5731" s="1">
        <v>55</v>
      </c>
      <c r="D5731" t="str">
        <f>VLOOKUP(B5731,Заказы!A:C,3,0)</f>
        <v>2023-12-03 20:16:00</v>
      </c>
      <c r="E5731" t="str">
        <f>VLOOKUP(C5731,Меню!A:E,4,0)</f>
        <v>Суши</v>
      </c>
      <c r="F5731">
        <f>VLOOKUP(C5731,Меню!A:E,5,0)</f>
        <v>100</v>
      </c>
    </row>
    <row r="5732" spans="1:6" ht="15.75" hidden="1" customHeight="1" x14ac:dyDescent="0.35">
      <c r="A5732" s="1">
        <v>5731</v>
      </c>
      <c r="B5732" s="1">
        <v>1131</v>
      </c>
      <c r="C5732" s="1">
        <v>34</v>
      </c>
      <c r="D5732" t="str">
        <f>VLOOKUP(B5732,Заказы!A:C,3,0)</f>
        <v>2023-12-03 20:16:00</v>
      </c>
      <c r="E5732" t="str">
        <f>VLOOKUP(C5732,Меню!A:E,4,0)</f>
        <v>Десерт</v>
      </c>
      <c r="F5732">
        <f>VLOOKUP(C5732,Меню!A:E,5,0)</f>
        <v>150</v>
      </c>
    </row>
    <row r="5733" spans="1:6" ht="15.75" hidden="1" customHeight="1" x14ac:dyDescent="0.35">
      <c r="A5733" s="1">
        <v>5732</v>
      </c>
      <c r="B5733" s="1">
        <v>1131</v>
      </c>
      <c r="C5733" s="1">
        <v>44</v>
      </c>
      <c r="D5733" t="str">
        <f>VLOOKUP(B5733,Заказы!A:C,3,0)</f>
        <v>2023-12-03 20:16:00</v>
      </c>
      <c r="E5733" t="str">
        <f>VLOOKUP(C5733,Меню!A:E,4,0)</f>
        <v>Суши</v>
      </c>
      <c r="F5733">
        <f>VLOOKUP(C5733,Меню!A:E,5,0)</f>
        <v>250</v>
      </c>
    </row>
    <row r="5734" spans="1:6" ht="15.75" hidden="1" customHeight="1" x14ac:dyDescent="0.35">
      <c r="A5734" s="1">
        <v>5733</v>
      </c>
      <c r="B5734" s="1">
        <v>1131</v>
      </c>
      <c r="C5734" s="1">
        <v>3</v>
      </c>
      <c r="D5734" t="str">
        <f>VLOOKUP(B5734,Заказы!A:C,3,0)</f>
        <v>2023-12-03 20:16:00</v>
      </c>
      <c r="E5734" t="str">
        <f>VLOOKUP(C5734,Меню!A:E,4,0)</f>
        <v>Завтрак</v>
      </c>
      <c r="F5734">
        <f>VLOOKUP(C5734,Меню!A:E,5,0)</f>
        <v>150</v>
      </c>
    </row>
    <row r="5735" spans="1:6" ht="15.75" hidden="1" customHeight="1" x14ac:dyDescent="0.35">
      <c r="A5735" s="1">
        <v>5734</v>
      </c>
      <c r="B5735" s="1">
        <v>1131</v>
      </c>
      <c r="C5735" s="1">
        <v>31</v>
      </c>
      <c r="D5735" t="str">
        <f>VLOOKUP(B5735,Заказы!A:C,3,0)</f>
        <v>2023-12-03 20:16:00</v>
      </c>
      <c r="E5735" t="str">
        <f>VLOOKUP(C5735,Меню!A:E,4,0)</f>
        <v>Десерт</v>
      </c>
      <c r="F5735">
        <f>VLOOKUP(C5735,Меню!A:E,5,0)</f>
        <v>150</v>
      </c>
    </row>
    <row r="5736" spans="1:6" ht="15.75" hidden="1" customHeight="1" x14ac:dyDescent="0.35">
      <c r="A5736" s="1">
        <v>5735</v>
      </c>
      <c r="B5736" s="1">
        <v>1131</v>
      </c>
      <c r="C5736" s="1">
        <v>38</v>
      </c>
      <c r="D5736" t="str">
        <f>VLOOKUP(B5736,Заказы!A:C,3,0)</f>
        <v>2023-12-03 20:16:00</v>
      </c>
      <c r="E5736" t="str">
        <f>VLOOKUP(C5736,Меню!A:E,4,0)</f>
        <v>Десерт</v>
      </c>
      <c r="F5736">
        <f>VLOOKUP(C5736,Меню!A:E,5,0)</f>
        <v>150</v>
      </c>
    </row>
    <row r="5737" spans="1:6" ht="15.75" hidden="1" customHeight="1" x14ac:dyDescent="0.35">
      <c r="A5737" s="1">
        <v>5736</v>
      </c>
      <c r="B5737" s="1">
        <v>1131</v>
      </c>
      <c r="C5737" s="1">
        <v>49</v>
      </c>
      <c r="D5737" t="str">
        <f>VLOOKUP(B5737,Заказы!A:C,3,0)</f>
        <v>2023-12-03 20:16:00</v>
      </c>
      <c r="E5737" t="str">
        <f>VLOOKUP(C5737,Меню!A:E,4,0)</f>
        <v>Суши</v>
      </c>
      <c r="F5737">
        <f>VLOOKUP(C5737,Меню!A:E,5,0)</f>
        <v>200</v>
      </c>
    </row>
    <row r="5738" spans="1:6" ht="15.75" hidden="1" customHeight="1" x14ac:dyDescent="0.35">
      <c r="A5738" s="1">
        <v>5737</v>
      </c>
      <c r="B5738" s="1">
        <v>1132</v>
      </c>
      <c r="C5738" s="1">
        <v>17</v>
      </c>
      <c r="D5738" t="str">
        <f>VLOOKUP(B5738,Заказы!A:C,3,0)</f>
        <v>2023-12-03 20:25:00</v>
      </c>
      <c r="E5738" t="str">
        <f>VLOOKUP(C5738,Меню!A:E,4,0)</f>
        <v>Первое</v>
      </c>
      <c r="F5738">
        <f>VLOOKUP(C5738,Меню!A:E,5,0)</f>
        <v>250</v>
      </c>
    </row>
    <row r="5739" spans="1:6" ht="15.75" hidden="1" customHeight="1" x14ac:dyDescent="0.35">
      <c r="A5739" s="1">
        <v>5738</v>
      </c>
      <c r="B5739" s="1">
        <v>1133</v>
      </c>
      <c r="C5739" s="1">
        <v>33</v>
      </c>
      <c r="D5739" t="str">
        <f>VLOOKUP(B5739,Заказы!A:C,3,0)</f>
        <v>2023-12-03 20:45:00</v>
      </c>
      <c r="E5739" t="str">
        <f>VLOOKUP(C5739,Меню!A:E,4,0)</f>
        <v>Десерт</v>
      </c>
      <c r="F5739">
        <f>VLOOKUP(C5739,Меню!A:E,5,0)</f>
        <v>150</v>
      </c>
    </row>
    <row r="5740" spans="1:6" ht="15.75" hidden="1" customHeight="1" x14ac:dyDescent="0.35">
      <c r="A5740" s="1">
        <v>5739</v>
      </c>
      <c r="B5740" s="1">
        <v>1133</v>
      </c>
      <c r="C5740" s="1">
        <v>51</v>
      </c>
      <c r="D5740" t="str">
        <f>VLOOKUP(B5740,Заказы!A:C,3,0)</f>
        <v>2023-12-03 20:45:00</v>
      </c>
      <c r="E5740" t="str">
        <f>VLOOKUP(C5740,Меню!A:E,4,0)</f>
        <v>Суши</v>
      </c>
      <c r="F5740">
        <f>VLOOKUP(C5740,Меню!A:E,5,0)</f>
        <v>100</v>
      </c>
    </row>
    <row r="5741" spans="1:6" ht="15.75" hidden="1" customHeight="1" x14ac:dyDescent="0.35">
      <c r="A5741" s="1">
        <v>5740</v>
      </c>
      <c r="B5741" s="1">
        <v>1133</v>
      </c>
      <c r="C5741" s="1">
        <v>60</v>
      </c>
      <c r="D5741" t="str">
        <f>VLOOKUP(B5741,Заказы!A:C,3,0)</f>
        <v>2023-12-03 20:45:00</v>
      </c>
      <c r="E5741" t="str">
        <f>VLOOKUP(C5741,Меню!A:E,4,0)</f>
        <v>Суши</v>
      </c>
      <c r="F5741">
        <f>VLOOKUP(C5741,Меню!A:E,5,0)</f>
        <v>250</v>
      </c>
    </row>
    <row r="5742" spans="1:6" ht="15.75" hidden="1" customHeight="1" x14ac:dyDescent="0.35">
      <c r="A5742" s="1">
        <v>5741</v>
      </c>
      <c r="B5742" s="1">
        <v>1133</v>
      </c>
      <c r="C5742" s="1">
        <v>22</v>
      </c>
      <c r="D5742" t="str">
        <f>VLOOKUP(B5742,Заказы!A:C,3,0)</f>
        <v>2023-12-03 20:45:00</v>
      </c>
      <c r="E5742" t="str">
        <f>VLOOKUP(C5742,Меню!A:E,4,0)</f>
        <v>Салат</v>
      </c>
      <c r="F5742">
        <f>VLOOKUP(C5742,Меню!A:E,5,0)</f>
        <v>250</v>
      </c>
    </row>
    <row r="5743" spans="1:6" ht="15.75" hidden="1" customHeight="1" x14ac:dyDescent="0.35">
      <c r="A5743" s="1">
        <v>5742</v>
      </c>
      <c r="B5743" s="1">
        <v>1133</v>
      </c>
      <c r="C5743" s="1">
        <v>31</v>
      </c>
      <c r="D5743" t="str">
        <f>VLOOKUP(B5743,Заказы!A:C,3,0)</f>
        <v>2023-12-03 20:45:00</v>
      </c>
      <c r="E5743" t="str">
        <f>VLOOKUP(C5743,Меню!A:E,4,0)</f>
        <v>Десерт</v>
      </c>
      <c r="F5743">
        <f>VLOOKUP(C5743,Меню!A:E,5,0)</f>
        <v>150</v>
      </c>
    </row>
    <row r="5744" spans="1:6" ht="15.75" hidden="1" customHeight="1" x14ac:dyDescent="0.35">
      <c r="A5744" s="1">
        <v>5743</v>
      </c>
      <c r="B5744" s="1">
        <v>1134</v>
      </c>
      <c r="C5744" s="1">
        <v>49</v>
      </c>
      <c r="D5744" t="str">
        <f>VLOOKUP(B5744,Заказы!A:C,3,0)</f>
        <v>2023-12-03 22:44:00</v>
      </c>
      <c r="E5744" t="str">
        <f>VLOOKUP(C5744,Меню!A:E,4,0)</f>
        <v>Суши</v>
      </c>
      <c r="F5744">
        <f>VLOOKUP(C5744,Меню!A:E,5,0)</f>
        <v>200</v>
      </c>
    </row>
    <row r="5745" spans="1:6" ht="15.75" hidden="1" customHeight="1" x14ac:dyDescent="0.35">
      <c r="A5745" s="1">
        <v>5744</v>
      </c>
      <c r="B5745" s="1">
        <v>1134</v>
      </c>
      <c r="C5745" s="1">
        <v>1</v>
      </c>
      <c r="D5745" t="str">
        <f>VLOOKUP(B5745,Заказы!A:C,3,0)</f>
        <v>2023-12-03 22:44:00</v>
      </c>
      <c r="E5745" t="str">
        <f>VLOOKUP(C5745,Меню!A:E,4,0)</f>
        <v>Завтрак</v>
      </c>
      <c r="F5745">
        <f>VLOOKUP(C5745,Меню!A:E,5,0)</f>
        <v>200</v>
      </c>
    </row>
    <row r="5746" spans="1:6" ht="15.75" hidden="1" customHeight="1" x14ac:dyDescent="0.35">
      <c r="A5746" s="1">
        <v>5745</v>
      </c>
      <c r="B5746" s="1">
        <v>1134</v>
      </c>
      <c r="C5746" s="1">
        <v>40</v>
      </c>
      <c r="D5746" t="str">
        <f>VLOOKUP(B5746,Заказы!A:C,3,0)</f>
        <v>2023-12-03 22:44:00</v>
      </c>
      <c r="E5746" t="str">
        <f>VLOOKUP(C5746,Меню!A:E,4,0)</f>
        <v>Десерт</v>
      </c>
      <c r="F5746">
        <f>VLOOKUP(C5746,Меню!A:E,5,0)</f>
        <v>150</v>
      </c>
    </row>
    <row r="5747" spans="1:6" ht="15.75" hidden="1" customHeight="1" x14ac:dyDescent="0.35">
      <c r="A5747" s="1">
        <v>5746</v>
      </c>
      <c r="B5747" s="1">
        <v>1134</v>
      </c>
      <c r="C5747" s="1">
        <v>46</v>
      </c>
      <c r="D5747" t="str">
        <f>VLOOKUP(B5747,Заказы!A:C,3,0)</f>
        <v>2023-12-03 22:44:00</v>
      </c>
      <c r="E5747" t="str">
        <f>VLOOKUP(C5747,Меню!A:E,4,0)</f>
        <v>Суши</v>
      </c>
      <c r="F5747">
        <f>VLOOKUP(C5747,Меню!A:E,5,0)</f>
        <v>200</v>
      </c>
    </row>
    <row r="5748" spans="1:6" ht="15.75" hidden="1" customHeight="1" x14ac:dyDescent="0.35">
      <c r="A5748" s="1">
        <v>5747</v>
      </c>
      <c r="B5748" s="1">
        <v>1134</v>
      </c>
      <c r="C5748" s="1">
        <v>5</v>
      </c>
      <c r="D5748" t="str">
        <f>VLOOKUP(B5748,Заказы!A:C,3,0)</f>
        <v>2023-12-03 22:44:00</v>
      </c>
      <c r="E5748" t="str">
        <f>VLOOKUP(C5748,Меню!A:E,4,0)</f>
        <v>Завтрак</v>
      </c>
      <c r="F5748">
        <f>VLOOKUP(C5748,Меню!A:E,5,0)</f>
        <v>220</v>
      </c>
    </row>
    <row r="5749" spans="1:6" ht="15.75" hidden="1" customHeight="1" x14ac:dyDescent="0.35">
      <c r="A5749" s="1">
        <v>5748</v>
      </c>
      <c r="B5749" s="1">
        <v>1134</v>
      </c>
      <c r="C5749" s="1">
        <v>11</v>
      </c>
      <c r="D5749" t="str">
        <f>VLOOKUP(B5749,Заказы!A:C,3,0)</f>
        <v>2023-12-03 22:44:00</v>
      </c>
      <c r="E5749" t="str">
        <f>VLOOKUP(C5749,Меню!A:E,4,0)</f>
        <v>Первое</v>
      </c>
      <c r="F5749">
        <f>VLOOKUP(C5749,Меню!A:E,5,0)</f>
        <v>300</v>
      </c>
    </row>
    <row r="5750" spans="1:6" ht="15.75" hidden="1" customHeight="1" x14ac:dyDescent="0.35">
      <c r="A5750" s="1">
        <v>5749</v>
      </c>
      <c r="B5750" s="1">
        <v>1135</v>
      </c>
      <c r="C5750" s="1">
        <v>54</v>
      </c>
      <c r="D5750" t="str">
        <f>VLOOKUP(B5750,Заказы!A:C,3,0)</f>
        <v>2023-12-04 17:19:00</v>
      </c>
      <c r="E5750" t="str">
        <f>VLOOKUP(C5750,Меню!A:E,4,0)</f>
        <v>Суши</v>
      </c>
      <c r="F5750">
        <f>VLOOKUP(C5750,Меню!A:E,5,0)</f>
        <v>100</v>
      </c>
    </row>
    <row r="5751" spans="1:6" ht="15.75" hidden="1" customHeight="1" x14ac:dyDescent="0.35">
      <c r="A5751" s="1">
        <v>5750</v>
      </c>
      <c r="B5751" s="1">
        <v>1135</v>
      </c>
      <c r="C5751" s="1">
        <v>3</v>
      </c>
      <c r="D5751" t="str">
        <f>VLOOKUP(B5751,Заказы!A:C,3,0)</f>
        <v>2023-12-04 17:19:00</v>
      </c>
      <c r="E5751" t="str">
        <f>VLOOKUP(C5751,Меню!A:E,4,0)</f>
        <v>Завтрак</v>
      </c>
      <c r="F5751">
        <f>VLOOKUP(C5751,Меню!A:E,5,0)</f>
        <v>150</v>
      </c>
    </row>
    <row r="5752" spans="1:6" ht="15.75" hidden="1" customHeight="1" x14ac:dyDescent="0.35">
      <c r="A5752" s="1">
        <v>5751</v>
      </c>
      <c r="B5752" s="1">
        <v>1135</v>
      </c>
      <c r="C5752" s="1">
        <v>40</v>
      </c>
      <c r="D5752" t="str">
        <f>VLOOKUP(B5752,Заказы!A:C,3,0)</f>
        <v>2023-12-04 17:19:00</v>
      </c>
      <c r="E5752" t="str">
        <f>VLOOKUP(C5752,Меню!A:E,4,0)</f>
        <v>Десерт</v>
      </c>
      <c r="F5752">
        <f>VLOOKUP(C5752,Меню!A:E,5,0)</f>
        <v>150</v>
      </c>
    </row>
    <row r="5753" spans="1:6" ht="15.75" hidden="1" customHeight="1" x14ac:dyDescent="0.35">
      <c r="A5753" s="1">
        <v>5752</v>
      </c>
      <c r="B5753" s="1">
        <v>1135</v>
      </c>
      <c r="C5753" s="1">
        <v>11</v>
      </c>
      <c r="D5753" t="str">
        <f>VLOOKUP(B5753,Заказы!A:C,3,0)</f>
        <v>2023-12-04 17:19:00</v>
      </c>
      <c r="E5753" t="str">
        <f>VLOOKUP(C5753,Меню!A:E,4,0)</f>
        <v>Первое</v>
      </c>
      <c r="F5753">
        <f>VLOOKUP(C5753,Меню!A:E,5,0)</f>
        <v>300</v>
      </c>
    </row>
    <row r="5754" spans="1:6" ht="15.75" hidden="1" customHeight="1" x14ac:dyDescent="0.35">
      <c r="A5754" s="1">
        <v>5753</v>
      </c>
      <c r="B5754" s="1">
        <v>1135</v>
      </c>
      <c r="C5754" s="1">
        <v>56</v>
      </c>
      <c r="D5754" t="str">
        <f>VLOOKUP(B5754,Заказы!A:C,3,0)</f>
        <v>2023-12-04 17:19:00</v>
      </c>
      <c r="E5754" t="str">
        <f>VLOOKUP(C5754,Меню!A:E,4,0)</f>
        <v>Суши</v>
      </c>
      <c r="F5754">
        <f>VLOOKUP(C5754,Меню!A:E,5,0)</f>
        <v>200</v>
      </c>
    </row>
    <row r="5755" spans="1:6" ht="15.75" hidden="1" customHeight="1" x14ac:dyDescent="0.35">
      <c r="A5755" s="1">
        <v>5754</v>
      </c>
      <c r="B5755" s="1">
        <v>1136</v>
      </c>
      <c r="C5755" s="1">
        <v>39</v>
      </c>
      <c r="D5755" t="str">
        <f>VLOOKUP(B5755,Заказы!A:C,3,0)</f>
        <v>2023-12-04 18:08:00</v>
      </c>
      <c r="E5755" t="str">
        <f>VLOOKUP(C5755,Меню!A:E,4,0)</f>
        <v>Десерт</v>
      </c>
      <c r="F5755">
        <f>VLOOKUP(C5755,Меню!A:E,5,0)</f>
        <v>150</v>
      </c>
    </row>
    <row r="5756" spans="1:6" ht="15.75" hidden="1" customHeight="1" x14ac:dyDescent="0.35">
      <c r="A5756" s="1">
        <v>5755</v>
      </c>
      <c r="B5756" s="1">
        <v>1136</v>
      </c>
      <c r="C5756" s="1">
        <v>16</v>
      </c>
      <c r="D5756" t="str">
        <f>VLOOKUP(B5756,Заказы!A:C,3,0)</f>
        <v>2023-12-04 18:08:00</v>
      </c>
      <c r="E5756" t="str">
        <f>VLOOKUP(C5756,Меню!A:E,4,0)</f>
        <v>Первое</v>
      </c>
      <c r="F5756">
        <f>VLOOKUP(C5756,Меню!A:E,5,0)</f>
        <v>250</v>
      </c>
    </row>
    <row r="5757" spans="1:6" ht="15.75" hidden="1" customHeight="1" x14ac:dyDescent="0.35">
      <c r="A5757" s="1">
        <v>5756</v>
      </c>
      <c r="B5757" s="1">
        <v>1136</v>
      </c>
      <c r="C5757" s="1">
        <v>16</v>
      </c>
      <c r="D5757" t="str">
        <f>VLOOKUP(B5757,Заказы!A:C,3,0)</f>
        <v>2023-12-04 18:08:00</v>
      </c>
      <c r="E5757" t="str">
        <f>VLOOKUP(C5757,Меню!A:E,4,0)</f>
        <v>Первое</v>
      </c>
      <c r="F5757">
        <f>VLOOKUP(C5757,Меню!A:E,5,0)</f>
        <v>250</v>
      </c>
    </row>
    <row r="5758" spans="1:6" ht="15.75" hidden="1" customHeight="1" x14ac:dyDescent="0.35">
      <c r="A5758" s="1">
        <v>5757</v>
      </c>
      <c r="B5758" s="1">
        <v>1136</v>
      </c>
      <c r="C5758" s="1">
        <v>33</v>
      </c>
      <c r="D5758" t="str">
        <f>VLOOKUP(B5758,Заказы!A:C,3,0)</f>
        <v>2023-12-04 18:08:00</v>
      </c>
      <c r="E5758" t="str">
        <f>VLOOKUP(C5758,Меню!A:E,4,0)</f>
        <v>Десерт</v>
      </c>
      <c r="F5758">
        <f>VLOOKUP(C5758,Меню!A:E,5,0)</f>
        <v>150</v>
      </c>
    </row>
    <row r="5759" spans="1:6" ht="15.75" hidden="1" customHeight="1" x14ac:dyDescent="0.35">
      <c r="A5759" s="1">
        <v>5758</v>
      </c>
      <c r="B5759" s="1">
        <v>1137</v>
      </c>
      <c r="C5759" s="1">
        <v>5</v>
      </c>
      <c r="D5759" t="str">
        <f>VLOOKUP(B5759,Заказы!A:C,3,0)</f>
        <v>2023-12-04 22:42:00</v>
      </c>
      <c r="E5759" t="str">
        <f>VLOOKUP(C5759,Меню!A:E,4,0)</f>
        <v>Завтрак</v>
      </c>
      <c r="F5759">
        <f>VLOOKUP(C5759,Меню!A:E,5,0)</f>
        <v>220</v>
      </c>
    </row>
    <row r="5760" spans="1:6" ht="15.75" hidden="1" customHeight="1" x14ac:dyDescent="0.35">
      <c r="A5760" s="1">
        <v>5759</v>
      </c>
      <c r="B5760" s="1">
        <v>1137</v>
      </c>
      <c r="C5760" s="1">
        <v>8</v>
      </c>
      <c r="D5760" t="str">
        <f>VLOOKUP(B5760,Заказы!A:C,3,0)</f>
        <v>2023-12-04 22:42:00</v>
      </c>
      <c r="E5760" t="str">
        <f>VLOOKUP(C5760,Меню!A:E,4,0)</f>
        <v>Завтрак</v>
      </c>
      <c r="F5760">
        <f>VLOOKUP(C5760,Меню!A:E,5,0)</f>
        <v>180</v>
      </c>
    </row>
    <row r="5761" spans="1:6" ht="15.75" hidden="1" customHeight="1" x14ac:dyDescent="0.35">
      <c r="A5761" s="1">
        <v>5760</v>
      </c>
      <c r="B5761" s="1">
        <v>1137</v>
      </c>
      <c r="C5761" s="1">
        <v>43</v>
      </c>
      <c r="D5761" t="str">
        <f>VLOOKUP(B5761,Заказы!A:C,3,0)</f>
        <v>2023-12-04 22:42:00</v>
      </c>
      <c r="E5761" t="str">
        <f>VLOOKUP(C5761,Меню!A:E,4,0)</f>
        <v>Суши</v>
      </c>
      <c r="F5761">
        <f>VLOOKUP(C5761,Меню!A:E,5,0)</f>
        <v>250</v>
      </c>
    </row>
    <row r="5762" spans="1:6" ht="15.75" hidden="1" customHeight="1" x14ac:dyDescent="0.35">
      <c r="A5762" s="1">
        <v>5761</v>
      </c>
      <c r="B5762" s="1">
        <v>1138</v>
      </c>
      <c r="C5762" s="1">
        <v>49</v>
      </c>
      <c r="D5762" t="str">
        <f>VLOOKUP(B5762,Заказы!A:C,3,0)</f>
        <v>2023-12-05 17:06:00</v>
      </c>
      <c r="E5762" t="str">
        <f>VLOOKUP(C5762,Меню!A:E,4,0)</f>
        <v>Суши</v>
      </c>
      <c r="F5762">
        <f>VLOOKUP(C5762,Меню!A:E,5,0)</f>
        <v>200</v>
      </c>
    </row>
    <row r="5763" spans="1:6" ht="15.75" hidden="1" customHeight="1" x14ac:dyDescent="0.35">
      <c r="A5763" s="1">
        <v>5762</v>
      </c>
      <c r="B5763" s="1">
        <v>1138</v>
      </c>
      <c r="C5763" s="1">
        <v>35</v>
      </c>
      <c r="D5763" t="str">
        <f>VLOOKUP(B5763,Заказы!A:C,3,0)</f>
        <v>2023-12-05 17:06:00</v>
      </c>
      <c r="E5763" t="str">
        <f>VLOOKUP(C5763,Меню!A:E,4,0)</f>
        <v>Десерт</v>
      </c>
      <c r="F5763">
        <f>VLOOKUP(C5763,Меню!A:E,5,0)</f>
        <v>150</v>
      </c>
    </row>
    <row r="5764" spans="1:6" ht="15.75" hidden="1" customHeight="1" x14ac:dyDescent="0.35">
      <c r="A5764" s="1">
        <v>5763</v>
      </c>
      <c r="B5764" s="1">
        <v>1138</v>
      </c>
      <c r="C5764" s="1">
        <v>22</v>
      </c>
      <c r="D5764" t="str">
        <f>VLOOKUP(B5764,Заказы!A:C,3,0)</f>
        <v>2023-12-05 17:06:00</v>
      </c>
      <c r="E5764" t="str">
        <f>VLOOKUP(C5764,Меню!A:E,4,0)</f>
        <v>Салат</v>
      </c>
      <c r="F5764">
        <f>VLOOKUP(C5764,Меню!A:E,5,0)</f>
        <v>250</v>
      </c>
    </row>
    <row r="5765" spans="1:6" ht="15.75" hidden="1" customHeight="1" x14ac:dyDescent="0.35">
      <c r="A5765" s="1">
        <v>5764</v>
      </c>
      <c r="B5765" s="1">
        <v>1138</v>
      </c>
      <c r="C5765" s="1">
        <v>27</v>
      </c>
      <c r="D5765" t="str">
        <f>VLOOKUP(B5765,Заказы!A:C,3,0)</f>
        <v>2023-12-05 17:06:00</v>
      </c>
      <c r="E5765" t="str">
        <f>VLOOKUP(C5765,Меню!A:E,4,0)</f>
        <v>Салат</v>
      </c>
      <c r="F5765">
        <f>VLOOKUP(C5765,Меню!A:E,5,0)</f>
        <v>250</v>
      </c>
    </row>
    <row r="5766" spans="1:6" ht="15.75" hidden="1" customHeight="1" x14ac:dyDescent="0.35">
      <c r="A5766" s="1">
        <v>5765</v>
      </c>
      <c r="B5766" s="1">
        <v>1138</v>
      </c>
      <c r="C5766" s="1">
        <v>19</v>
      </c>
      <c r="D5766" t="str">
        <f>VLOOKUP(B5766,Заказы!A:C,3,0)</f>
        <v>2023-12-05 17:06:00</v>
      </c>
      <c r="E5766" t="str">
        <f>VLOOKUP(C5766,Меню!A:E,4,0)</f>
        <v>Первое</v>
      </c>
      <c r="F5766">
        <f>VLOOKUP(C5766,Меню!A:E,5,0)</f>
        <v>300</v>
      </c>
    </row>
    <row r="5767" spans="1:6" ht="15.75" hidden="1" customHeight="1" x14ac:dyDescent="0.35">
      <c r="A5767" s="1">
        <v>5766</v>
      </c>
      <c r="B5767" s="1">
        <v>1138</v>
      </c>
      <c r="C5767" s="1">
        <v>35</v>
      </c>
      <c r="D5767" t="str">
        <f>VLOOKUP(B5767,Заказы!A:C,3,0)</f>
        <v>2023-12-05 17:06:00</v>
      </c>
      <c r="E5767" t="str">
        <f>VLOOKUP(C5767,Меню!A:E,4,0)</f>
        <v>Десерт</v>
      </c>
      <c r="F5767">
        <f>VLOOKUP(C5767,Меню!A:E,5,0)</f>
        <v>150</v>
      </c>
    </row>
    <row r="5768" spans="1:6" ht="15.75" hidden="1" customHeight="1" x14ac:dyDescent="0.35">
      <c r="A5768" s="1">
        <v>5767</v>
      </c>
      <c r="B5768" s="1">
        <v>1138</v>
      </c>
      <c r="C5768" s="1">
        <v>22</v>
      </c>
      <c r="D5768" t="str">
        <f>VLOOKUP(B5768,Заказы!A:C,3,0)</f>
        <v>2023-12-05 17:06:00</v>
      </c>
      <c r="E5768" t="str">
        <f>VLOOKUP(C5768,Меню!A:E,4,0)</f>
        <v>Салат</v>
      </c>
      <c r="F5768">
        <f>VLOOKUP(C5768,Меню!A:E,5,0)</f>
        <v>250</v>
      </c>
    </row>
    <row r="5769" spans="1:6" ht="15.75" hidden="1" customHeight="1" x14ac:dyDescent="0.35">
      <c r="A5769" s="1">
        <v>5768</v>
      </c>
      <c r="B5769" s="1">
        <v>1138</v>
      </c>
      <c r="C5769" s="1">
        <v>16</v>
      </c>
      <c r="D5769" t="str">
        <f>VLOOKUP(B5769,Заказы!A:C,3,0)</f>
        <v>2023-12-05 17:06:00</v>
      </c>
      <c r="E5769" t="str">
        <f>VLOOKUP(C5769,Меню!A:E,4,0)</f>
        <v>Первое</v>
      </c>
      <c r="F5769">
        <f>VLOOKUP(C5769,Меню!A:E,5,0)</f>
        <v>250</v>
      </c>
    </row>
    <row r="5770" spans="1:6" ht="15.75" hidden="1" customHeight="1" x14ac:dyDescent="0.35">
      <c r="A5770" s="1">
        <v>5769</v>
      </c>
      <c r="B5770" s="1">
        <v>1138</v>
      </c>
      <c r="C5770" s="1">
        <v>33</v>
      </c>
      <c r="D5770" t="str">
        <f>VLOOKUP(B5770,Заказы!A:C,3,0)</f>
        <v>2023-12-05 17:06:00</v>
      </c>
      <c r="E5770" t="str">
        <f>VLOOKUP(C5770,Меню!A:E,4,0)</f>
        <v>Десерт</v>
      </c>
      <c r="F5770">
        <f>VLOOKUP(C5770,Меню!A:E,5,0)</f>
        <v>150</v>
      </c>
    </row>
    <row r="5771" spans="1:6" ht="15.75" hidden="1" customHeight="1" x14ac:dyDescent="0.35">
      <c r="A5771" s="1">
        <v>5770</v>
      </c>
      <c r="B5771" s="1">
        <v>1138</v>
      </c>
      <c r="C5771" s="1">
        <v>19</v>
      </c>
      <c r="D5771" t="str">
        <f>VLOOKUP(B5771,Заказы!A:C,3,0)</f>
        <v>2023-12-05 17:06:00</v>
      </c>
      <c r="E5771" t="str">
        <f>VLOOKUP(C5771,Меню!A:E,4,0)</f>
        <v>Первое</v>
      </c>
      <c r="F5771">
        <f>VLOOKUP(C5771,Меню!A:E,5,0)</f>
        <v>300</v>
      </c>
    </row>
    <row r="5772" spans="1:6" ht="15.75" hidden="1" customHeight="1" x14ac:dyDescent="0.35">
      <c r="A5772" s="1">
        <v>5771</v>
      </c>
      <c r="B5772" s="1">
        <v>1139</v>
      </c>
      <c r="C5772" s="1">
        <v>42</v>
      </c>
      <c r="D5772" t="str">
        <f>VLOOKUP(B5772,Заказы!A:C,3,0)</f>
        <v>2023-12-05 17:19:00</v>
      </c>
      <c r="E5772" t="str">
        <f>VLOOKUP(C5772,Меню!A:E,4,0)</f>
        <v>Суши</v>
      </c>
      <c r="F5772">
        <f>VLOOKUP(C5772,Меню!A:E,5,0)</f>
        <v>250</v>
      </c>
    </row>
    <row r="5773" spans="1:6" ht="15.75" hidden="1" customHeight="1" x14ac:dyDescent="0.35">
      <c r="A5773" s="1">
        <v>5772</v>
      </c>
      <c r="B5773" s="1">
        <v>1139</v>
      </c>
      <c r="C5773" s="1">
        <v>45</v>
      </c>
      <c r="D5773" t="str">
        <f>VLOOKUP(B5773,Заказы!A:C,3,0)</f>
        <v>2023-12-05 17:19:00</v>
      </c>
      <c r="E5773" t="str">
        <f>VLOOKUP(C5773,Меню!A:E,4,0)</f>
        <v>Суши</v>
      </c>
      <c r="F5773">
        <f>VLOOKUP(C5773,Меню!A:E,5,0)</f>
        <v>200</v>
      </c>
    </row>
    <row r="5774" spans="1:6" ht="15.75" hidden="1" customHeight="1" x14ac:dyDescent="0.35">
      <c r="A5774" s="1">
        <v>5773</v>
      </c>
      <c r="B5774" s="1">
        <v>1139</v>
      </c>
      <c r="C5774" s="1">
        <v>35</v>
      </c>
      <c r="D5774" t="str">
        <f>VLOOKUP(B5774,Заказы!A:C,3,0)</f>
        <v>2023-12-05 17:19:00</v>
      </c>
      <c r="E5774" t="str">
        <f>VLOOKUP(C5774,Меню!A:E,4,0)</f>
        <v>Десерт</v>
      </c>
      <c r="F5774">
        <f>VLOOKUP(C5774,Меню!A:E,5,0)</f>
        <v>150</v>
      </c>
    </row>
    <row r="5775" spans="1:6" ht="15.75" hidden="1" customHeight="1" x14ac:dyDescent="0.35">
      <c r="A5775" s="1">
        <v>5774</v>
      </c>
      <c r="B5775" s="1">
        <v>1139</v>
      </c>
      <c r="C5775" s="1">
        <v>5</v>
      </c>
      <c r="D5775" t="str">
        <f>VLOOKUP(B5775,Заказы!A:C,3,0)</f>
        <v>2023-12-05 17:19:00</v>
      </c>
      <c r="E5775" t="str">
        <f>VLOOKUP(C5775,Меню!A:E,4,0)</f>
        <v>Завтрак</v>
      </c>
      <c r="F5775">
        <f>VLOOKUP(C5775,Меню!A:E,5,0)</f>
        <v>220</v>
      </c>
    </row>
    <row r="5776" spans="1:6" ht="15.75" hidden="1" customHeight="1" x14ac:dyDescent="0.35">
      <c r="A5776" s="1">
        <v>5775</v>
      </c>
      <c r="B5776" s="1">
        <v>1139</v>
      </c>
      <c r="C5776" s="1">
        <v>43</v>
      </c>
      <c r="D5776" t="str">
        <f>VLOOKUP(B5776,Заказы!A:C,3,0)</f>
        <v>2023-12-05 17:19:00</v>
      </c>
      <c r="E5776" t="str">
        <f>VLOOKUP(C5776,Меню!A:E,4,0)</f>
        <v>Суши</v>
      </c>
      <c r="F5776">
        <f>VLOOKUP(C5776,Меню!A:E,5,0)</f>
        <v>250</v>
      </c>
    </row>
    <row r="5777" spans="1:6" ht="15.75" hidden="1" customHeight="1" x14ac:dyDescent="0.35">
      <c r="A5777" s="1">
        <v>5776</v>
      </c>
      <c r="B5777" s="1">
        <v>1140</v>
      </c>
      <c r="C5777" s="1">
        <v>31</v>
      </c>
      <c r="D5777" t="str">
        <f>VLOOKUP(B5777,Заказы!A:C,3,0)</f>
        <v>2023-12-05 19:00:00</v>
      </c>
      <c r="E5777" t="str">
        <f>VLOOKUP(C5777,Меню!A:E,4,0)</f>
        <v>Десерт</v>
      </c>
      <c r="F5777">
        <f>VLOOKUP(C5777,Меню!A:E,5,0)</f>
        <v>150</v>
      </c>
    </row>
    <row r="5778" spans="1:6" ht="15.75" hidden="1" customHeight="1" x14ac:dyDescent="0.35">
      <c r="A5778" s="1">
        <v>5777</v>
      </c>
      <c r="B5778" s="1">
        <v>1140</v>
      </c>
      <c r="C5778" s="1">
        <v>52</v>
      </c>
      <c r="D5778" t="str">
        <f>VLOOKUP(B5778,Заказы!A:C,3,0)</f>
        <v>2023-12-05 19:00:00</v>
      </c>
      <c r="E5778" t="str">
        <f>VLOOKUP(C5778,Меню!A:E,4,0)</f>
        <v>Суши</v>
      </c>
      <c r="F5778">
        <f>VLOOKUP(C5778,Меню!A:E,5,0)</f>
        <v>100</v>
      </c>
    </row>
    <row r="5779" spans="1:6" ht="15.75" hidden="1" customHeight="1" x14ac:dyDescent="0.35">
      <c r="A5779" s="1">
        <v>5778</v>
      </c>
      <c r="B5779" s="1">
        <v>1140</v>
      </c>
      <c r="C5779" s="1">
        <v>17</v>
      </c>
      <c r="D5779" t="str">
        <f>VLOOKUP(B5779,Заказы!A:C,3,0)</f>
        <v>2023-12-05 19:00:00</v>
      </c>
      <c r="E5779" t="str">
        <f>VLOOKUP(C5779,Меню!A:E,4,0)</f>
        <v>Первое</v>
      </c>
      <c r="F5779">
        <f>VLOOKUP(C5779,Меню!A:E,5,0)</f>
        <v>250</v>
      </c>
    </row>
    <row r="5780" spans="1:6" ht="15.75" hidden="1" customHeight="1" x14ac:dyDescent="0.35">
      <c r="A5780" s="1">
        <v>5779</v>
      </c>
      <c r="B5780" s="1">
        <v>1140</v>
      </c>
      <c r="C5780" s="1">
        <v>28</v>
      </c>
      <c r="D5780" t="str">
        <f>VLOOKUP(B5780,Заказы!A:C,3,0)</f>
        <v>2023-12-05 19:00:00</v>
      </c>
      <c r="E5780" t="str">
        <f>VLOOKUP(C5780,Меню!A:E,4,0)</f>
        <v>Салат</v>
      </c>
      <c r="F5780">
        <f>VLOOKUP(C5780,Меню!A:E,5,0)</f>
        <v>250</v>
      </c>
    </row>
    <row r="5781" spans="1:6" ht="15.75" hidden="1" customHeight="1" x14ac:dyDescent="0.35">
      <c r="A5781" s="1">
        <v>5780</v>
      </c>
      <c r="B5781" s="1">
        <v>1140</v>
      </c>
      <c r="C5781" s="1">
        <v>38</v>
      </c>
      <c r="D5781" t="str">
        <f>VLOOKUP(B5781,Заказы!A:C,3,0)</f>
        <v>2023-12-05 19:00:00</v>
      </c>
      <c r="E5781" t="str">
        <f>VLOOKUP(C5781,Меню!A:E,4,0)</f>
        <v>Десерт</v>
      </c>
      <c r="F5781">
        <f>VLOOKUP(C5781,Меню!A:E,5,0)</f>
        <v>150</v>
      </c>
    </row>
    <row r="5782" spans="1:6" ht="15.75" hidden="1" customHeight="1" x14ac:dyDescent="0.35">
      <c r="A5782" s="1">
        <v>5781</v>
      </c>
      <c r="B5782" s="1">
        <v>1140</v>
      </c>
      <c r="C5782" s="1">
        <v>41</v>
      </c>
      <c r="D5782" t="str">
        <f>VLOOKUP(B5782,Заказы!A:C,3,0)</f>
        <v>2023-12-05 19:00:00</v>
      </c>
      <c r="E5782" t="str">
        <f>VLOOKUP(C5782,Меню!A:E,4,0)</f>
        <v>Суши</v>
      </c>
      <c r="F5782">
        <f>VLOOKUP(C5782,Меню!A:E,5,0)</f>
        <v>220</v>
      </c>
    </row>
    <row r="5783" spans="1:6" ht="15.75" hidden="1" customHeight="1" x14ac:dyDescent="0.35">
      <c r="A5783" s="1">
        <v>5782</v>
      </c>
      <c r="B5783" s="1">
        <v>1141</v>
      </c>
      <c r="C5783" s="1">
        <v>37</v>
      </c>
      <c r="D5783" t="str">
        <f>VLOOKUP(B5783,Заказы!A:C,3,0)</f>
        <v>2023-12-05 22:35:00</v>
      </c>
      <c r="E5783" t="str">
        <f>VLOOKUP(C5783,Меню!A:E,4,0)</f>
        <v>Десерт</v>
      </c>
      <c r="F5783">
        <f>VLOOKUP(C5783,Меню!A:E,5,0)</f>
        <v>100</v>
      </c>
    </row>
    <row r="5784" spans="1:6" ht="15.75" hidden="1" customHeight="1" x14ac:dyDescent="0.35">
      <c r="A5784" s="1">
        <v>5783</v>
      </c>
      <c r="B5784" s="1">
        <v>1141</v>
      </c>
      <c r="C5784" s="1">
        <v>19</v>
      </c>
      <c r="D5784" t="str">
        <f>VLOOKUP(B5784,Заказы!A:C,3,0)</f>
        <v>2023-12-05 22:35:00</v>
      </c>
      <c r="E5784" t="str">
        <f>VLOOKUP(C5784,Меню!A:E,4,0)</f>
        <v>Первое</v>
      </c>
      <c r="F5784">
        <f>VLOOKUP(C5784,Меню!A:E,5,0)</f>
        <v>300</v>
      </c>
    </row>
    <row r="5785" spans="1:6" ht="15.75" hidden="1" customHeight="1" x14ac:dyDescent="0.35">
      <c r="A5785" s="1">
        <v>5784</v>
      </c>
      <c r="B5785" s="1">
        <v>1141</v>
      </c>
      <c r="C5785" s="1">
        <v>26</v>
      </c>
      <c r="D5785" t="str">
        <f>VLOOKUP(B5785,Заказы!A:C,3,0)</f>
        <v>2023-12-05 22:35:00</v>
      </c>
      <c r="E5785" t="str">
        <f>VLOOKUP(C5785,Меню!A:E,4,0)</f>
        <v>Салат</v>
      </c>
      <c r="F5785">
        <f>VLOOKUP(C5785,Меню!A:E,5,0)</f>
        <v>250</v>
      </c>
    </row>
    <row r="5786" spans="1:6" ht="15.75" hidden="1" customHeight="1" x14ac:dyDescent="0.35">
      <c r="A5786" s="1">
        <v>5785</v>
      </c>
      <c r="B5786" s="1">
        <v>1141</v>
      </c>
      <c r="C5786" s="1">
        <v>54</v>
      </c>
      <c r="D5786" t="str">
        <f>VLOOKUP(B5786,Заказы!A:C,3,0)</f>
        <v>2023-12-05 22:35:00</v>
      </c>
      <c r="E5786" t="str">
        <f>VLOOKUP(C5786,Меню!A:E,4,0)</f>
        <v>Суши</v>
      </c>
      <c r="F5786">
        <f>VLOOKUP(C5786,Меню!A:E,5,0)</f>
        <v>100</v>
      </c>
    </row>
    <row r="5787" spans="1:6" ht="15.75" hidden="1" customHeight="1" x14ac:dyDescent="0.35">
      <c r="A5787" s="1">
        <v>5786</v>
      </c>
      <c r="B5787" s="1">
        <v>1142</v>
      </c>
      <c r="C5787" s="1">
        <v>32</v>
      </c>
      <c r="D5787" t="str">
        <f>VLOOKUP(B5787,Заказы!A:C,3,0)</f>
        <v>2023-12-06 15:11:00</v>
      </c>
      <c r="E5787" t="str">
        <f>VLOOKUP(C5787,Меню!A:E,4,0)</f>
        <v>Десерт</v>
      </c>
      <c r="F5787">
        <f>VLOOKUP(C5787,Меню!A:E,5,0)</f>
        <v>150</v>
      </c>
    </row>
    <row r="5788" spans="1:6" ht="15.75" hidden="1" customHeight="1" x14ac:dyDescent="0.35">
      <c r="A5788" s="1">
        <v>5787</v>
      </c>
      <c r="B5788" s="1">
        <v>1142</v>
      </c>
      <c r="C5788" s="1">
        <v>39</v>
      </c>
      <c r="D5788" t="str">
        <f>VLOOKUP(B5788,Заказы!A:C,3,0)</f>
        <v>2023-12-06 15:11:00</v>
      </c>
      <c r="E5788" t="str">
        <f>VLOOKUP(C5788,Меню!A:E,4,0)</f>
        <v>Десерт</v>
      </c>
      <c r="F5788">
        <f>VLOOKUP(C5788,Меню!A:E,5,0)</f>
        <v>150</v>
      </c>
    </row>
    <row r="5789" spans="1:6" ht="15.75" hidden="1" customHeight="1" x14ac:dyDescent="0.35">
      <c r="A5789" s="1">
        <v>5788</v>
      </c>
      <c r="B5789" s="1">
        <v>1142</v>
      </c>
      <c r="C5789" s="1">
        <v>8</v>
      </c>
      <c r="D5789" t="str">
        <f>VLOOKUP(B5789,Заказы!A:C,3,0)</f>
        <v>2023-12-06 15:11:00</v>
      </c>
      <c r="E5789" t="str">
        <f>VLOOKUP(C5789,Меню!A:E,4,0)</f>
        <v>Завтрак</v>
      </c>
      <c r="F5789">
        <f>VLOOKUP(C5789,Меню!A:E,5,0)</f>
        <v>180</v>
      </c>
    </row>
    <row r="5790" spans="1:6" ht="15.75" hidden="1" customHeight="1" x14ac:dyDescent="0.35">
      <c r="A5790" s="1">
        <v>5789</v>
      </c>
      <c r="B5790" s="1">
        <v>1142</v>
      </c>
      <c r="C5790" s="1">
        <v>32</v>
      </c>
      <c r="D5790" t="str">
        <f>VLOOKUP(B5790,Заказы!A:C,3,0)</f>
        <v>2023-12-06 15:11:00</v>
      </c>
      <c r="E5790" t="str">
        <f>VLOOKUP(C5790,Меню!A:E,4,0)</f>
        <v>Десерт</v>
      </c>
      <c r="F5790">
        <f>VLOOKUP(C5790,Меню!A:E,5,0)</f>
        <v>150</v>
      </c>
    </row>
    <row r="5791" spans="1:6" ht="15.75" hidden="1" customHeight="1" x14ac:dyDescent="0.35">
      <c r="A5791" s="1">
        <v>5790</v>
      </c>
      <c r="B5791" s="1">
        <v>1143</v>
      </c>
      <c r="C5791" s="1">
        <v>23</v>
      </c>
      <c r="D5791" t="str">
        <f>VLOOKUP(B5791,Заказы!A:C,3,0)</f>
        <v>2023-12-06 15:55:00</v>
      </c>
      <c r="E5791" t="str">
        <f>VLOOKUP(C5791,Меню!A:E,4,0)</f>
        <v>Салат</v>
      </c>
      <c r="F5791">
        <f>VLOOKUP(C5791,Меню!A:E,5,0)</f>
        <v>250</v>
      </c>
    </row>
    <row r="5792" spans="1:6" ht="15.75" hidden="1" customHeight="1" x14ac:dyDescent="0.35">
      <c r="A5792" s="1">
        <v>5791</v>
      </c>
      <c r="B5792" s="1">
        <v>1143</v>
      </c>
      <c r="C5792" s="1">
        <v>44</v>
      </c>
      <c r="D5792" t="str">
        <f>VLOOKUP(B5792,Заказы!A:C,3,0)</f>
        <v>2023-12-06 15:55:00</v>
      </c>
      <c r="E5792" t="str">
        <f>VLOOKUP(C5792,Меню!A:E,4,0)</f>
        <v>Суши</v>
      </c>
      <c r="F5792">
        <f>VLOOKUP(C5792,Меню!A:E,5,0)</f>
        <v>250</v>
      </c>
    </row>
    <row r="5793" spans="1:6" ht="15.75" hidden="1" customHeight="1" x14ac:dyDescent="0.35">
      <c r="A5793" s="1">
        <v>5792</v>
      </c>
      <c r="B5793" s="1">
        <v>1143</v>
      </c>
      <c r="C5793" s="1">
        <v>31</v>
      </c>
      <c r="D5793" t="str">
        <f>VLOOKUP(B5793,Заказы!A:C,3,0)</f>
        <v>2023-12-06 15:55:00</v>
      </c>
      <c r="E5793" t="str">
        <f>VLOOKUP(C5793,Меню!A:E,4,0)</f>
        <v>Десерт</v>
      </c>
      <c r="F5793">
        <f>VLOOKUP(C5793,Меню!A:E,5,0)</f>
        <v>150</v>
      </c>
    </row>
    <row r="5794" spans="1:6" ht="15.75" hidden="1" customHeight="1" x14ac:dyDescent="0.35">
      <c r="A5794" s="1">
        <v>5793</v>
      </c>
      <c r="B5794" s="1">
        <v>1143</v>
      </c>
      <c r="C5794" s="1">
        <v>41</v>
      </c>
      <c r="D5794" t="str">
        <f>VLOOKUP(B5794,Заказы!A:C,3,0)</f>
        <v>2023-12-06 15:55:00</v>
      </c>
      <c r="E5794" t="str">
        <f>VLOOKUP(C5794,Меню!A:E,4,0)</f>
        <v>Суши</v>
      </c>
      <c r="F5794">
        <f>VLOOKUP(C5794,Меню!A:E,5,0)</f>
        <v>220</v>
      </c>
    </row>
    <row r="5795" spans="1:6" ht="15.75" hidden="1" customHeight="1" x14ac:dyDescent="0.35">
      <c r="A5795" s="1">
        <v>5794</v>
      </c>
      <c r="B5795" s="1">
        <v>1143</v>
      </c>
      <c r="C5795" s="1">
        <v>28</v>
      </c>
      <c r="D5795" t="str">
        <f>VLOOKUP(B5795,Заказы!A:C,3,0)</f>
        <v>2023-12-06 15:55:00</v>
      </c>
      <c r="E5795" t="str">
        <f>VLOOKUP(C5795,Меню!A:E,4,0)</f>
        <v>Салат</v>
      </c>
      <c r="F5795">
        <f>VLOOKUP(C5795,Меню!A:E,5,0)</f>
        <v>250</v>
      </c>
    </row>
    <row r="5796" spans="1:6" ht="15.75" hidden="1" customHeight="1" x14ac:dyDescent="0.35">
      <c r="A5796" s="1">
        <v>5795</v>
      </c>
      <c r="B5796" s="1">
        <v>1143</v>
      </c>
      <c r="C5796" s="1">
        <v>16</v>
      </c>
      <c r="D5796" t="str">
        <f>VLOOKUP(B5796,Заказы!A:C,3,0)</f>
        <v>2023-12-06 15:55:00</v>
      </c>
      <c r="E5796" t="str">
        <f>VLOOKUP(C5796,Меню!A:E,4,0)</f>
        <v>Первое</v>
      </c>
      <c r="F5796">
        <f>VLOOKUP(C5796,Меню!A:E,5,0)</f>
        <v>250</v>
      </c>
    </row>
    <row r="5797" spans="1:6" ht="15.75" hidden="1" customHeight="1" x14ac:dyDescent="0.35">
      <c r="A5797" s="1">
        <v>5796</v>
      </c>
      <c r="B5797" s="1">
        <v>1143</v>
      </c>
      <c r="C5797" s="1">
        <v>36</v>
      </c>
      <c r="D5797" t="str">
        <f>VLOOKUP(B5797,Заказы!A:C,3,0)</f>
        <v>2023-12-06 15:55:00</v>
      </c>
      <c r="E5797" t="str">
        <f>VLOOKUP(C5797,Меню!A:E,4,0)</f>
        <v>Десерт</v>
      </c>
      <c r="F5797">
        <f>VLOOKUP(C5797,Меню!A:E,5,0)</f>
        <v>150</v>
      </c>
    </row>
    <row r="5798" spans="1:6" ht="15.75" hidden="1" customHeight="1" x14ac:dyDescent="0.35">
      <c r="A5798" s="1">
        <v>5797</v>
      </c>
      <c r="B5798" s="1">
        <v>1144</v>
      </c>
      <c r="C5798" s="1">
        <v>24</v>
      </c>
      <c r="D5798" t="str">
        <f>VLOOKUP(B5798,Заказы!A:C,3,0)</f>
        <v>2023-12-06 16:04:00</v>
      </c>
      <c r="E5798" t="str">
        <f>VLOOKUP(C5798,Меню!A:E,4,0)</f>
        <v>Салат</v>
      </c>
      <c r="F5798">
        <f>VLOOKUP(C5798,Меню!A:E,5,0)</f>
        <v>250</v>
      </c>
    </row>
    <row r="5799" spans="1:6" ht="15.75" hidden="1" customHeight="1" x14ac:dyDescent="0.35">
      <c r="A5799" s="1">
        <v>5798</v>
      </c>
      <c r="B5799" s="1">
        <v>1144</v>
      </c>
      <c r="C5799" s="1">
        <v>47</v>
      </c>
      <c r="D5799" t="str">
        <f>VLOOKUP(B5799,Заказы!A:C,3,0)</f>
        <v>2023-12-06 16:04:00</v>
      </c>
      <c r="E5799" t="str">
        <f>VLOOKUP(C5799,Меню!A:E,4,0)</f>
        <v>Суши</v>
      </c>
      <c r="F5799">
        <f>VLOOKUP(C5799,Меню!A:E,5,0)</f>
        <v>200</v>
      </c>
    </row>
    <row r="5800" spans="1:6" ht="15.75" hidden="1" customHeight="1" x14ac:dyDescent="0.35">
      <c r="A5800" s="1">
        <v>5799</v>
      </c>
      <c r="B5800" s="1">
        <v>1144</v>
      </c>
      <c r="C5800" s="1">
        <v>36</v>
      </c>
      <c r="D5800" t="str">
        <f>VLOOKUP(B5800,Заказы!A:C,3,0)</f>
        <v>2023-12-06 16:04:00</v>
      </c>
      <c r="E5800" t="str">
        <f>VLOOKUP(C5800,Меню!A:E,4,0)</f>
        <v>Десерт</v>
      </c>
      <c r="F5800">
        <f>VLOOKUP(C5800,Меню!A:E,5,0)</f>
        <v>150</v>
      </c>
    </row>
    <row r="5801" spans="1:6" ht="15.75" hidden="1" customHeight="1" x14ac:dyDescent="0.35">
      <c r="A5801" s="1">
        <v>5800</v>
      </c>
      <c r="B5801" s="1">
        <v>1144</v>
      </c>
      <c r="C5801" s="1">
        <v>17</v>
      </c>
      <c r="D5801" t="str">
        <f>VLOOKUP(B5801,Заказы!A:C,3,0)</f>
        <v>2023-12-06 16:04:00</v>
      </c>
      <c r="E5801" t="str">
        <f>VLOOKUP(C5801,Меню!A:E,4,0)</f>
        <v>Первое</v>
      </c>
      <c r="F5801">
        <f>VLOOKUP(C5801,Меню!A:E,5,0)</f>
        <v>250</v>
      </c>
    </row>
    <row r="5802" spans="1:6" ht="15.75" hidden="1" customHeight="1" x14ac:dyDescent="0.35">
      <c r="A5802" s="1">
        <v>5801</v>
      </c>
      <c r="B5802" s="1">
        <v>1145</v>
      </c>
      <c r="C5802" s="1">
        <v>57</v>
      </c>
      <c r="D5802" t="str">
        <f>VLOOKUP(B5802,Заказы!A:C,3,0)</f>
        <v>2023-12-06 17:50:00</v>
      </c>
      <c r="E5802" t="str">
        <f>VLOOKUP(C5802,Меню!A:E,4,0)</f>
        <v>Суши</v>
      </c>
      <c r="F5802">
        <f>VLOOKUP(C5802,Меню!A:E,5,0)</f>
        <v>200</v>
      </c>
    </row>
    <row r="5803" spans="1:6" ht="15.75" hidden="1" customHeight="1" x14ac:dyDescent="0.35">
      <c r="A5803" s="1">
        <v>5802</v>
      </c>
      <c r="B5803" s="1">
        <v>1145</v>
      </c>
      <c r="C5803" s="1">
        <v>52</v>
      </c>
      <c r="D5803" t="str">
        <f>VLOOKUP(B5803,Заказы!A:C,3,0)</f>
        <v>2023-12-06 17:50:00</v>
      </c>
      <c r="E5803" t="str">
        <f>VLOOKUP(C5803,Меню!A:E,4,0)</f>
        <v>Суши</v>
      </c>
      <c r="F5803">
        <f>VLOOKUP(C5803,Меню!A:E,5,0)</f>
        <v>100</v>
      </c>
    </row>
    <row r="5804" spans="1:6" ht="15.75" hidden="1" customHeight="1" x14ac:dyDescent="0.35">
      <c r="A5804" s="1">
        <v>5803</v>
      </c>
      <c r="B5804" s="1">
        <v>1145</v>
      </c>
      <c r="C5804" s="1">
        <v>26</v>
      </c>
      <c r="D5804" t="str">
        <f>VLOOKUP(B5804,Заказы!A:C,3,0)</f>
        <v>2023-12-06 17:50:00</v>
      </c>
      <c r="E5804" t="str">
        <f>VLOOKUP(C5804,Меню!A:E,4,0)</f>
        <v>Салат</v>
      </c>
      <c r="F5804">
        <f>VLOOKUP(C5804,Меню!A:E,5,0)</f>
        <v>250</v>
      </c>
    </row>
    <row r="5805" spans="1:6" ht="15.75" hidden="1" customHeight="1" x14ac:dyDescent="0.35">
      <c r="A5805" s="1">
        <v>5804</v>
      </c>
      <c r="B5805" s="1">
        <v>1145</v>
      </c>
      <c r="C5805" s="1">
        <v>50</v>
      </c>
      <c r="D5805" t="str">
        <f>VLOOKUP(B5805,Заказы!A:C,3,0)</f>
        <v>2023-12-06 17:50:00</v>
      </c>
      <c r="E5805" t="str">
        <f>VLOOKUP(C5805,Меню!A:E,4,0)</f>
        <v>Суши</v>
      </c>
      <c r="F5805">
        <f>VLOOKUP(C5805,Меню!A:E,5,0)</f>
        <v>200</v>
      </c>
    </row>
    <row r="5806" spans="1:6" ht="15.75" hidden="1" customHeight="1" x14ac:dyDescent="0.35">
      <c r="A5806" s="1">
        <v>5805</v>
      </c>
      <c r="B5806" s="1">
        <v>1145</v>
      </c>
      <c r="C5806" s="1">
        <v>47</v>
      </c>
      <c r="D5806" t="str">
        <f>VLOOKUP(B5806,Заказы!A:C,3,0)</f>
        <v>2023-12-06 17:50:00</v>
      </c>
      <c r="E5806" t="str">
        <f>VLOOKUP(C5806,Меню!A:E,4,0)</f>
        <v>Суши</v>
      </c>
      <c r="F5806">
        <f>VLOOKUP(C5806,Меню!A:E,5,0)</f>
        <v>200</v>
      </c>
    </row>
    <row r="5807" spans="1:6" ht="15.75" hidden="1" customHeight="1" x14ac:dyDescent="0.35">
      <c r="A5807" s="1">
        <v>5806</v>
      </c>
      <c r="B5807" s="1">
        <v>1145</v>
      </c>
      <c r="C5807" s="1">
        <v>7</v>
      </c>
      <c r="D5807" t="str">
        <f>VLOOKUP(B5807,Заказы!A:C,3,0)</f>
        <v>2023-12-06 17:50:00</v>
      </c>
      <c r="E5807" t="str">
        <f>VLOOKUP(C5807,Меню!A:E,4,0)</f>
        <v>Завтрак</v>
      </c>
      <c r="F5807">
        <f>VLOOKUP(C5807,Меню!A:E,5,0)</f>
        <v>200</v>
      </c>
    </row>
    <row r="5808" spans="1:6" ht="15.75" hidden="1" customHeight="1" x14ac:dyDescent="0.35">
      <c r="A5808" s="1">
        <v>5807</v>
      </c>
      <c r="B5808" s="1">
        <v>1145</v>
      </c>
      <c r="C5808" s="1">
        <v>11</v>
      </c>
      <c r="D5808" t="str">
        <f>VLOOKUP(B5808,Заказы!A:C,3,0)</f>
        <v>2023-12-06 17:50:00</v>
      </c>
      <c r="E5808" t="str">
        <f>VLOOKUP(C5808,Меню!A:E,4,0)</f>
        <v>Первое</v>
      </c>
      <c r="F5808">
        <f>VLOOKUP(C5808,Меню!A:E,5,0)</f>
        <v>300</v>
      </c>
    </row>
    <row r="5809" spans="1:6" ht="15.75" hidden="1" customHeight="1" x14ac:dyDescent="0.35">
      <c r="A5809" s="1">
        <v>5808</v>
      </c>
      <c r="B5809" s="1">
        <v>1145</v>
      </c>
      <c r="C5809" s="1">
        <v>31</v>
      </c>
      <c r="D5809" t="str">
        <f>VLOOKUP(B5809,Заказы!A:C,3,0)</f>
        <v>2023-12-06 17:50:00</v>
      </c>
      <c r="E5809" t="str">
        <f>VLOOKUP(C5809,Меню!A:E,4,0)</f>
        <v>Десерт</v>
      </c>
      <c r="F5809">
        <f>VLOOKUP(C5809,Меню!A:E,5,0)</f>
        <v>150</v>
      </c>
    </row>
    <row r="5810" spans="1:6" ht="15.75" hidden="1" customHeight="1" x14ac:dyDescent="0.35">
      <c r="A5810" s="1">
        <v>5809</v>
      </c>
      <c r="B5810" s="1">
        <v>1145</v>
      </c>
      <c r="C5810" s="1">
        <v>55</v>
      </c>
      <c r="D5810" t="str">
        <f>VLOOKUP(B5810,Заказы!A:C,3,0)</f>
        <v>2023-12-06 17:50:00</v>
      </c>
      <c r="E5810" t="str">
        <f>VLOOKUP(C5810,Меню!A:E,4,0)</f>
        <v>Суши</v>
      </c>
      <c r="F5810">
        <f>VLOOKUP(C5810,Меню!A:E,5,0)</f>
        <v>100</v>
      </c>
    </row>
    <row r="5811" spans="1:6" ht="15.75" hidden="1" customHeight="1" x14ac:dyDescent="0.35">
      <c r="A5811" s="1">
        <v>5810</v>
      </c>
      <c r="B5811" s="1">
        <v>1145</v>
      </c>
      <c r="C5811" s="1">
        <v>36</v>
      </c>
      <c r="D5811" t="str">
        <f>VLOOKUP(B5811,Заказы!A:C,3,0)</f>
        <v>2023-12-06 17:50:00</v>
      </c>
      <c r="E5811" t="str">
        <f>VLOOKUP(C5811,Меню!A:E,4,0)</f>
        <v>Десерт</v>
      </c>
      <c r="F5811">
        <f>VLOOKUP(C5811,Меню!A:E,5,0)</f>
        <v>150</v>
      </c>
    </row>
    <row r="5812" spans="1:6" ht="15.75" hidden="1" customHeight="1" x14ac:dyDescent="0.35">
      <c r="A5812" s="1">
        <v>5811</v>
      </c>
      <c r="B5812" s="1">
        <v>1146</v>
      </c>
      <c r="C5812" s="1">
        <v>28</v>
      </c>
      <c r="D5812" t="str">
        <f>VLOOKUP(B5812,Заказы!A:C,3,0)</f>
        <v>2023-12-06 18:29:00</v>
      </c>
      <c r="E5812" t="str">
        <f>VLOOKUP(C5812,Меню!A:E,4,0)</f>
        <v>Салат</v>
      </c>
      <c r="F5812">
        <f>VLOOKUP(C5812,Меню!A:E,5,0)</f>
        <v>250</v>
      </c>
    </row>
    <row r="5813" spans="1:6" ht="15.75" hidden="1" customHeight="1" x14ac:dyDescent="0.35">
      <c r="A5813" s="1">
        <v>5812</v>
      </c>
      <c r="B5813" s="1">
        <v>1146</v>
      </c>
      <c r="C5813" s="1">
        <v>32</v>
      </c>
      <c r="D5813" t="str">
        <f>VLOOKUP(B5813,Заказы!A:C,3,0)</f>
        <v>2023-12-06 18:29:00</v>
      </c>
      <c r="E5813" t="str">
        <f>VLOOKUP(C5813,Меню!A:E,4,0)</f>
        <v>Десерт</v>
      </c>
      <c r="F5813">
        <f>VLOOKUP(C5813,Меню!A:E,5,0)</f>
        <v>150</v>
      </c>
    </row>
    <row r="5814" spans="1:6" ht="15.75" hidden="1" customHeight="1" x14ac:dyDescent="0.35">
      <c r="A5814" s="1">
        <v>5813</v>
      </c>
      <c r="B5814" s="1">
        <v>1146</v>
      </c>
      <c r="C5814" s="1">
        <v>23</v>
      </c>
      <c r="D5814" t="str">
        <f>VLOOKUP(B5814,Заказы!A:C,3,0)</f>
        <v>2023-12-06 18:29:00</v>
      </c>
      <c r="E5814" t="str">
        <f>VLOOKUP(C5814,Меню!A:E,4,0)</f>
        <v>Салат</v>
      </c>
      <c r="F5814">
        <f>VLOOKUP(C5814,Меню!A:E,5,0)</f>
        <v>250</v>
      </c>
    </row>
    <row r="5815" spans="1:6" ht="15.75" hidden="1" customHeight="1" x14ac:dyDescent="0.35">
      <c r="A5815" s="1">
        <v>5814</v>
      </c>
      <c r="B5815" s="1">
        <v>1146</v>
      </c>
      <c r="C5815" s="1">
        <v>23</v>
      </c>
      <c r="D5815" t="str">
        <f>VLOOKUP(B5815,Заказы!A:C,3,0)</f>
        <v>2023-12-06 18:29:00</v>
      </c>
      <c r="E5815" t="str">
        <f>VLOOKUP(C5815,Меню!A:E,4,0)</f>
        <v>Салат</v>
      </c>
      <c r="F5815">
        <f>VLOOKUP(C5815,Меню!A:E,5,0)</f>
        <v>250</v>
      </c>
    </row>
    <row r="5816" spans="1:6" ht="15.75" hidden="1" customHeight="1" x14ac:dyDescent="0.35">
      <c r="A5816" s="1">
        <v>5815</v>
      </c>
      <c r="B5816" s="1">
        <v>1146</v>
      </c>
      <c r="C5816" s="1">
        <v>15</v>
      </c>
      <c r="D5816" t="str">
        <f>VLOOKUP(B5816,Заказы!A:C,3,0)</f>
        <v>2023-12-06 18:29:00</v>
      </c>
      <c r="E5816" t="str">
        <f>VLOOKUP(C5816,Меню!A:E,4,0)</f>
        <v>Первое</v>
      </c>
      <c r="F5816">
        <f>VLOOKUP(C5816,Меню!A:E,5,0)</f>
        <v>250</v>
      </c>
    </row>
    <row r="5817" spans="1:6" ht="15.75" hidden="1" customHeight="1" x14ac:dyDescent="0.35">
      <c r="A5817" s="1">
        <v>5816</v>
      </c>
      <c r="B5817" s="1">
        <v>1147</v>
      </c>
      <c r="C5817" s="1">
        <v>29</v>
      </c>
      <c r="D5817" t="str">
        <f>VLOOKUP(B5817,Заказы!A:C,3,0)</f>
        <v>2023-12-06 21:43:00</v>
      </c>
      <c r="E5817" t="str">
        <f>VLOOKUP(C5817,Меню!A:E,4,0)</f>
        <v>Салат</v>
      </c>
      <c r="F5817">
        <f>VLOOKUP(C5817,Меню!A:E,5,0)</f>
        <v>250</v>
      </c>
    </row>
    <row r="5818" spans="1:6" ht="15.75" hidden="1" customHeight="1" x14ac:dyDescent="0.35">
      <c r="A5818" s="1">
        <v>5817</v>
      </c>
      <c r="B5818" s="1">
        <v>1147</v>
      </c>
      <c r="C5818" s="1">
        <v>21</v>
      </c>
      <c r="D5818" t="str">
        <f>VLOOKUP(B5818,Заказы!A:C,3,0)</f>
        <v>2023-12-06 21:43:00</v>
      </c>
      <c r="E5818" t="str">
        <f>VLOOKUP(C5818,Меню!A:E,4,0)</f>
        <v>Салат</v>
      </c>
      <c r="F5818">
        <f>VLOOKUP(C5818,Меню!A:E,5,0)</f>
        <v>250</v>
      </c>
    </row>
    <row r="5819" spans="1:6" ht="15.75" hidden="1" customHeight="1" x14ac:dyDescent="0.35">
      <c r="A5819" s="1">
        <v>5818</v>
      </c>
      <c r="B5819" s="1">
        <v>1148</v>
      </c>
      <c r="C5819" s="1">
        <v>1</v>
      </c>
      <c r="D5819" t="str">
        <f>VLOOKUP(B5819,Заказы!A:C,3,0)</f>
        <v>2023-12-06 22:39:00</v>
      </c>
      <c r="E5819" t="str">
        <f>VLOOKUP(C5819,Меню!A:E,4,0)</f>
        <v>Завтрак</v>
      </c>
      <c r="F5819">
        <f>VLOOKUP(C5819,Меню!A:E,5,0)</f>
        <v>200</v>
      </c>
    </row>
    <row r="5820" spans="1:6" ht="15.75" hidden="1" customHeight="1" x14ac:dyDescent="0.35">
      <c r="A5820" s="1">
        <v>5819</v>
      </c>
      <c r="B5820" s="1">
        <v>1149</v>
      </c>
      <c r="C5820" s="1">
        <v>22</v>
      </c>
      <c r="D5820" t="str">
        <f>VLOOKUP(B5820,Заказы!A:C,3,0)</f>
        <v>2023-12-07 15:42:00</v>
      </c>
      <c r="E5820" t="str">
        <f>VLOOKUP(C5820,Меню!A:E,4,0)</f>
        <v>Салат</v>
      </c>
      <c r="F5820">
        <f>VLOOKUP(C5820,Меню!A:E,5,0)</f>
        <v>250</v>
      </c>
    </row>
    <row r="5821" spans="1:6" ht="15.75" hidden="1" customHeight="1" x14ac:dyDescent="0.35">
      <c r="A5821" s="1">
        <v>5820</v>
      </c>
      <c r="B5821" s="1">
        <v>1150</v>
      </c>
      <c r="C5821" s="1">
        <v>22</v>
      </c>
      <c r="D5821" t="str">
        <f>VLOOKUP(B5821,Заказы!A:C,3,0)</f>
        <v>2023-12-07 19:25:00</v>
      </c>
      <c r="E5821" t="str">
        <f>VLOOKUP(C5821,Меню!A:E,4,0)</f>
        <v>Салат</v>
      </c>
      <c r="F5821">
        <f>VLOOKUP(C5821,Меню!A:E,5,0)</f>
        <v>250</v>
      </c>
    </row>
    <row r="5822" spans="1:6" ht="15.75" hidden="1" customHeight="1" x14ac:dyDescent="0.35">
      <c r="A5822" s="1">
        <v>5821</v>
      </c>
      <c r="B5822" s="1">
        <v>1150</v>
      </c>
      <c r="C5822" s="1">
        <v>9</v>
      </c>
      <c r="D5822" t="str">
        <f>VLOOKUP(B5822,Заказы!A:C,3,0)</f>
        <v>2023-12-07 19:25:00</v>
      </c>
      <c r="E5822" t="str">
        <f>VLOOKUP(C5822,Меню!A:E,4,0)</f>
        <v>Завтрак</v>
      </c>
      <c r="F5822">
        <f>VLOOKUP(C5822,Меню!A:E,5,0)</f>
        <v>220</v>
      </c>
    </row>
    <row r="5823" spans="1:6" ht="15.75" hidden="1" customHeight="1" x14ac:dyDescent="0.35">
      <c r="A5823" s="1">
        <v>5822</v>
      </c>
      <c r="B5823" s="1">
        <v>1150</v>
      </c>
      <c r="C5823" s="1">
        <v>4</v>
      </c>
      <c r="D5823" t="str">
        <f>VLOOKUP(B5823,Заказы!A:C,3,0)</f>
        <v>2023-12-07 19:25:00</v>
      </c>
      <c r="E5823" t="str">
        <f>VLOOKUP(C5823,Меню!A:E,4,0)</f>
        <v>Завтрак</v>
      </c>
      <c r="F5823">
        <f>VLOOKUP(C5823,Меню!A:E,5,0)</f>
        <v>180</v>
      </c>
    </row>
    <row r="5824" spans="1:6" ht="15.75" hidden="1" customHeight="1" x14ac:dyDescent="0.35">
      <c r="A5824" s="1">
        <v>5823</v>
      </c>
      <c r="B5824" s="1">
        <v>1150</v>
      </c>
      <c r="C5824" s="1">
        <v>32</v>
      </c>
      <c r="D5824" t="str">
        <f>VLOOKUP(B5824,Заказы!A:C,3,0)</f>
        <v>2023-12-07 19:25:00</v>
      </c>
      <c r="E5824" t="str">
        <f>VLOOKUP(C5824,Меню!A:E,4,0)</f>
        <v>Десерт</v>
      </c>
      <c r="F5824">
        <f>VLOOKUP(C5824,Меню!A:E,5,0)</f>
        <v>150</v>
      </c>
    </row>
    <row r="5825" spans="1:6" ht="15.75" hidden="1" customHeight="1" x14ac:dyDescent="0.35">
      <c r="A5825" s="1">
        <v>5824</v>
      </c>
      <c r="B5825" s="1">
        <v>1151</v>
      </c>
      <c r="C5825" s="1">
        <v>13</v>
      </c>
      <c r="D5825" t="str">
        <f>VLOOKUP(B5825,Заказы!A:C,3,0)</f>
        <v>2023-12-07 19:59:00</v>
      </c>
      <c r="E5825" t="str">
        <f>VLOOKUP(C5825,Меню!A:E,4,0)</f>
        <v>Первое</v>
      </c>
      <c r="F5825">
        <f>VLOOKUP(C5825,Меню!A:E,5,0)</f>
        <v>280</v>
      </c>
    </row>
    <row r="5826" spans="1:6" ht="15.75" hidden="1" customHeight="1" x14ac:dyDescent="0.35">
      <c r="A5826" s="1">
        <v>5825</v>
      </c>
      <c r="B5826" s="1">
        <v>1151</v>
      </c>
      <c r="C5826" s="1">
        <v>13</v>
      </c>
      <c r="D5826" t="str">
        <f>VLOOKUP(B5826,Заказы!A:C,3,0)</f>
        <v>2023-12-07 19:59:00</v>
      </c>
      <c r="E5826" t="str">
        <f>VLOOKUP(C5826,Меню!A:E,4,0)</f>
        <v>Первое</v>
      </c>
      <c r="F5826">
        <f>VLOOKUP(C5826,Меню!A:E,5,0)</f>
        <v>280</v>
      </c>
    </row>
    <row r="5827" spans="1:6" ht="15.75" hidden="1" customHeight="1" x14ac:dyDescent="0.35">
      <c r="A5827" s="1">
        <v>5826</v>
      </c>
      <c r="B5827" s="1">
        <v>1151</v>
      </c>
      <c r="C5827" s="1">
        <v>30</v>
      </c>
      <c r="D5827" t="str">
        <f>VLOOKUP(B5827,Заказы!A:C,3,0)</f>
        <v>2023-12-07 19:59:00</v>
      </c>
      <c r="E5827" t="str">
        <f>VLOOKUP(C5827,Меню!A:E,4,0)</f>
        <v>Салат</v>
      </c>
      <c r="F5827">
        <f>VLOOKUP(C5827,Меню!A:E,5,0)</f>
        <v>250</v>
      </c>
    </row>
    <row r="5828" spans="1:6" ht="15.75" hidden="1" customHeight="1" x14ac:dyDescent="0.35">
      <c r="A5828" s="1">
        <v>5827</v>
      </c>
      <c r="B5828" s="1">
        <v>1151</v>
      </c>
      <c r="C5828" s="1">
        <v>51</v>
      </c>
      <c r="D5828" t="str">
        <f>VLOOKUP(B5828,Заказы!A:C,3,0)</f>
        <v>2023-12-07 19:59:00</v>
      </c>
      <c r="E5828" t="str">
        <f>VLOOKUP(C5828,Меню!A:E,4,0)</f>
        <v>Суши</v>
      </c>
      <c r="F5828">
        <f>VLOOKUP(C5828,Меню!A:E,5,0)</f>
        <v>100</v>
      </c>
    </row>
    <row r="5829" spans="1:6" ht="15.75" hidden="1" customHeight="1" x14ac:dyDescent="0.35">
      <c r="A5829" s="1">
        <v>5828</v>
      </c>
      <c r="B5829" s="1">
        <v>1152</v>
      </c>
      <c r="C5829" s="1">
        <v>7</v>
      </c>
      <c r="D5829" t="str">
        <f>VLOOKUP(B5829,Заказы!A:C,3,0)</f>
        <v>2023-12-07 21:01:00</v>
      </c>
      <c r="E5829" t="str">
        <f>VLOOKUP(C5829,Меню!A:E,4,0)</f>
        <v>Завтрак</v>
      </c>
      <c r="F5829">
        <f>VLOOKUP(C5829,Меню!A:E,5,0)</f>
        <v>200</v>
      </c>
    </row>
    <row r="5830" spans="1:6" ht="15.75" hidden="1" customHeight="1" x14ac:dyDescent="0.35">
      <c r="A5830" s="1">
        <v>5829</v>
      </c>
      <c r="B5830" s="1">
        <v>1152</v>
      </c>
      <c r="C5830" s="1">
        <v>7</v>
      </c>
      <c r="D5830" t="str">
        <f>VLOOKUP(B5830,Заказы!A:C,3,0)</f>
        <v>2023-12-07 21:01:00</v>
      </c>
      <c r="E5830" t="str">
        <f>VLOOKUP(C5830,Меню!A:E,4,0)</f>
        <v>Завтрак</v>
      </c>
      <c r="F5830">
        <f>VLOOKUP(C5830,Меню!A:E,5,0)</f>
        <v>200</v>
      </c>
    </row>
    <row r="5831" spans="1:6" ht="15.75" hidden="1" customHeight="1" x14ac:dyDescent="0.35">
      <c r="A5831" s="1">
        <v>5830</v>
      </c>
      <c r="B5831" s="1">
        <v>1152</v>
      </c>
      <c r="C5831" s="1">
        <v>17</v>
      </c>
      <c r="D5831" t="str">
        <f>VLOOKUP(B5831,Заказы!A:C,3,0)</f>
        <v>2023-12-07 21:01:00</v>
      </c>
      <c r="E5831" t="str">
        <f>VLOOKUP(C5831,Меню!A:E,4,0)</f>
        <v>Первое</v>
      </c>
      <c r="F5831">
        <f>VLOOKUP(C5831,Меню!A:E,5,0)</f>
        <v>250</v>
      </c>
    </row>
    <row r="5832" spans="1:6" ht="15.75" hidden="1" customHeight="1" x14ac:dyDescent="0.35">
      <c r="A5832" s="1">
        <v>5831</v>
      </c>
      <c r="B5832" s="1">
        <v>1152</v>
      </c>
      <c r="C5832" s="1">
        <v>48</v>
      </c>
      <c r="D5832" t="str">
        <f>VLOOKUP(B5832,Заказы!A:C,3,0)</f>
        <v>2023-12-07 21:01:00</v>
      </c>
      <c r="E5832" t="str">
        <f>VLOOKUP(C5832,Меню!A:E,4,0)</f>
        <v>Суши</v>
      </c>
      <c r="F5832">
        <f>VLOOKUP(C5832,Меню!A:E,5,0)</f>
        <v>200</v>
      </c>
    </row>
    <row r="5833" spans="1:6" ht="15.75" hidden="1" customHeight="1" x14ac:dyDescent="0.35">
      <c r="A5833" s="1">
        <v>5832</v>
      </c>
      <c r="B5833" s="1">
        <v>1152</v>
      </c>
      <c r="C5833" s="1">
        <v>58</v>
      </c>
      <c r="D5833" t="str">
        <f>VLOOKUP(B5833,Заказы!A:C,3,0)</f>
        <v>2023-12-07 21:01:00</v>
      </c>
      <c r="E5833" t="str">
        <f>VLOOKUP(C5833,Меню!A:E,4,0)</f>
        <v>Суши</v>
      </c>
      <c r="F5833">
        <f>VLOOKUP(C5833,Меню!A:E,5,0)</f>
        <v>200</v>
      </c>
    </row>
    <row r="5834" spans="1:6" ht="15.75" hidden="1" customHeight="1" x14ac:dyDescent="0.35">
      <c r="A5834" s="1">
        <v>5833</v>
      </c>
      <c r="B5834" s="1">
        <v>1153</v>
      </c>
      <c r="C5834" s="1">
        <v>54</v>
      </c>
      <c r="D5834" t="str">
        <f>VLOOKUP(B5834,Заказы!A:C,3,0)</f>
        <v>2023-12-08 16:51:00</v>
      </c>
      <c r="E5834" t="str">
        <f>VLOOKUP(C5834,Меню!A:E,4,0)</f>
        <v>Суши</v>
      </c>
      <c r="F5834">
        <f>VLOOKUP(C5834,Меню!A:E,5,0)</f>
        <v>100</v>
      </c>
    </row>
    <row r="5835" spans="1:6" ht="15.75" hidden="1" customHeight="1" x14ac:dyDescent="0.35">
      <c r="A5835" s="1">
        <v>5834</v>
      </c>
      <c r="B5835" s="1">
        <v>1153</v>
      </c>
      <c r="C5835" s="1">
        <v>41</v>
      </c>
      <c r="D5835" t="str">
        <f>VLOOKUP(B5835,Заказы!A:C,3,0)</f>
        <v>2023-12-08 16:51:00</v>
      </c>
      <c r="E5835" t="str">
        <f>VLOOKUP(C5835,Меню!A:E,4,0)</f>
        <v>Суши</v>
      </c>
      <c r="F5835">
        <f>VLOOKUP(C5835,Меню!A:E,5,0)</f>
        <v>220</v>
      </c>
    </row>
    <row r="5836" spans="1:6" ht="15.75" hidden="1" customHeight="1" x14ac:dyDescent="0.35">
      <c r="A5836" s="1">
        <v>5835</v>
      </c>
      <c r="B5836" s="1">
        <v>1153</v>
      </c>
      <c r="C5836" s="1">
        <v>60</v>
      </c>
      <c r="D5836" t="str">
        <f>VLOOKUP(B5836,Заказы!A:C,3,0)</f>
        <v>2023-12-08 16:51:00</v>
      </c>
      <c r="E5836" t="str">
        <f>VLOOKUP(C5836,Меню!A:E,4,0)</f>
        <v>Суши</v>
      </c>
      <c r="F5836">
        <f>VLOOKUP(C5836,Меню!A:E,5,0)</f>
        <v>250</v>
      </c>
    </row>
    <row r="5837" spans="1:6" ht="15.75" hidden="1" customHeight="1" x14ac:dyDescent="0.35">
      <c r="A5837" s="1">
        <v>5836</v>
      </c>
      <c r="B5837" s="1">
        <v>1153</v>
      </c>
      <c r="C5837" s="1">
        <v>55</v>
      </c>
      <c r="D5837" t="str">
        <f>VLOOKUP(B5837,Заказы!A:C,3,0)</f>
        <v>2023-12-08 16:51:00</v>
      </c>
      <c r="E5837" t="str">
        <f>VLOOKUP(C5837,Меню!A:E,4,0)</f>
        <v>Суши</v>
      </c>
      <c r="F5837">
        <f>VLOOKUP(C5837,Меню!A:E,5,0)</f>
        <v>100</v>
      </c>
    </row>
    <row r="5838" spans="1:6" ht="15.75" hidden="1" customHeight="1" x14ac:dyDescent="0.35">
      <c r="A5838" s="1">
        <v>5837</v>
      </c>
      <c r="B5838" s="1">
        <v>1153</v>
      </c>
      <c r="C5838" s="1">
        <v>59</v>
      </c>
      <c r="D5838" t="str">
        <f>VLOOKUP(B5838,Заказы!A:C,3,0)</f>
        <v>2023-12-08 16:51:00</v>
      </c>
      <c r="E5838" t="str">
        <f>VLOOKUP(C5838,Меню!A:E,4,0)</f>
        <v>Суши</v>
      </c>
      <c r="F5838">
        <f>VLOOKUP(C5838,Меню!A:E,5,0)</f>
        <v>300</v>
      </c>
    </row>
    <row r="5839" spans="1:6" ht="15.75" hidden="1" customHeight="1" x14ac:dyDescent="0.35">
      <c r="A5839" s="1">
        <v>5838</v>
      </c>
      <c r="B5839" s="1">
        <v>1154</v>
      </c>
      <c r="C5839" s="1">
        <v>59</v>
      </c>
      <c r="D5839" t="str">
        <f>VLOOKUP(B5839,Заказы!A:C,3,0)</f>
        <v>2023-12-08 18:19:00</v>
      </c>
      <c r="E5839" t="str">
        <f>VLOOKUP(C5839,Меню!A:E,4,0)</f>
        <v>Суши</v>
      </c>
      <c r="F5839">
        <f>VLOOKUP(C5839,Меню!A:E,5,0)</f>
        <v>300</v>
      </c>
    </row>
    <row r="5840" spans="1:6" ht="15.75" hidden="1" customHeight="1" x14ac:dyDescent="0.35">
      <c r="A5840" s="1">
        <v>5839</v>
      </c>
      <c r="B5840" s="1">
        <v>1154</v>
      </c>
      <c r="C5840" s="1">
        <v>2</v>
      </c>
      <c r="D5840" t="str">
        <f>VLOOKUP(B5840,Заказы!A:C,3,0)</f>
        <v>2023-12-08 18:19:00</v>
      </c>
      <c r="E5840" t="str">
        <f>VLOOKUP(C5840,Меню!A:E,4,0)</f>
        <v>Завтрак</v>
      </c>
      <c r="F5840">
        <f>VLOOKUP(C5840,Меню!A:E,5,0)</f>
        <v>250</v>
      </c>
    </row>
    <row r="5841" spans="1:6" ht="15.75" hidden="1" customHeight="1" x14ac:dyDescent="0.35">
      <c r="A5841" s="1">
        <v>5840</v>
      </c>
      <c r="B5841" s="1">
        <v>1154</v>
      </c>
      <c r="C5841" s="1">
        <v>54</v>
      </c>
      <c r="D5841" t="str">
        <f>VLOOKUP(B5841,Заказы!A:C,3,0)</f>
        <v>2023-12-08 18:19:00</v>
      </c>
      <c r="E5841" t="str">
        <f>VLOOKUP(C5841,Меню!A:E,4,0)</f>
        <v>Суши</v>
      </c>
      <c r="F5841">
        <f>VLOOKUP(C5841,Меню!A:E,5,0)</f>
        <v>100</v>
      </c>
    </row>
    <row r="5842" spans="1:6" ht="15.75" hidden="1" customHeight="1" x14ac:dyDescent="0.35">
      <c r="A5842" s="1">
        <v>5841</v>
      </c>
      <c r="B5842" s="1">
        <v>1154</v>
      </c>
      <c r="C5842" s="1">
        <v>59</v>
      </c>
      <c r="D5842" t="str">
        <f>VLOOKUP(B5842,Заказы!A:C,3,0)</f>
        <v>2023-12-08 18:19:00</v>
      </c>
      <c r="E5842" t="str">
        <f>VLOOKUP(C5842,Меню!A:E,4,0)</f>
        <v>Суши</v>
      </c>
      <c r="F5842">
        <f>VLOOKUP(C5842,Меню!A:E,5,0)</f>
        <v>300</v>
      </c>
    </row>
    <row r="5843" spans="1:6" ht="15.75" hidden="1" customHeight="1" x14ac:dyDescent="0.35">
      <c r="A5843" s="1">
        <v>5842</v>
      </c>
      <c r="B5843" s="1">
        <v>1154</v>
      </c>
      <c r="C5843" s="1">
        <v>11</v>
      </c>
      <c r="D5843" t="str">
        <f>VLOOKUP(B5843,Заказы!A:C,3,0)</f>
        <v>2023-12-08 18:19:00</v>
      </c>
      <c r="E5843" t="str">
        <f>VLOOKUP(C5843,Меню!A:E,4,0)</f>
        <v>Первое</v>
      </c>
      <c r="F5843">
        <f>VLOOKUP(C5843,Меню!A:E,5,0)</f>
        <v>300</v>
      </c>
    </row>
    <row r="5844" spans="1:6" ht="15.75" hidden="1" customHeight="1" x14ac:dyDescent="0.35">
      <c r="A5844" s="1">
        <v>5843</v>
      </c>
      <c r="B5844" s="1">
        <v>1154</v>
      </c>
      <c r="C5844" s="1">
        <v>53</v>
      </c>
      <c r="D5844" t="str">
        <f>VLOOKUP(B5844,Заказы!A:C,3,0)</f>
        <v>2023-12-08 18:19:00</v>
      </c>
      <c r="E5844" t="str">
        <f>VLOOKUP(C5844,Меню!A:E,4,0)</f>
        <v>Суши</v>
      </c>
      <c r="F5844">
        <f>VLOOKUP(C5844,Меню!A:E,5,0)</f>
        <v>100</v>
      </c>
    </row>
    <row r="5845" spans="1:6" ht="15.75" hidden="1" customHeight="1" x14ac:dyDescent="0.35">
      <c r="A5845" s="1">
        <v>5844</v>
      </c>
      <c r="B5845" s="1">
        <v>1154</v>
      </c>
      <c r="C5845" s="1">
        <v>21</v>
      </c>
      <c r="D5845" t="str">
        <f>VLOOKUP(B5845,Заказы!A:C,3,0)</f>
        <v>2023-12-08 18:19:00</v>
      </c>
      <c r="E5845" t="str">
        <f>VLOOKUP(C5845,Меню!A:E,4,0)</f>
        <v>Салат</v>
      </c>
      <c r="F5845">
        <f>VLOOKUP(C5845,Меню!A:E,5,0)</f>
        <v>250</v>
      </c>
    </row>
    <row r="5846" spans="1:6" ht="15.75" hidden="1" customHeight="1" x14ac:dyDescent="0.35">
      <c r="A5846" s="1">
        <v>5845</v>
      </c>
      <c r="B5846" s="1">
        <v>1155</v>
      </c>
      <c r="C5846" s="1">
        <v>60</v>
      </c>
      <c r="D5846" t="str">
        <f>VLOOKUP(B5846,Заказы!A:C,3,0)</f>
        <v>2023-12-08 18:58:00</v>
      </c>
      <c r="E5846" t="str">
        <f>VLOOKUP(C5846,Меню!A:E,4,0)</f>
        <v>Суши</v>
      </c>
      <c r="F5846">
        <f>VLOOKUP(C5846,Меню!A:E,5,0)</f>
        <v>250</v>
      </c>
    </row>
    <row r="5847" spans="1:6" ht="15.75" hidden="1" customHeight="1" x14ac:dyDescent="0.35">
      <c r="A5847" s="1">
        <v>5846</v>
      </c>
      <c r="B5847" s="1">
        <v>1155</v>
      </c>
      <c r="C5847" s="1">
        <v>51</v>
      </c>
      <c r="D5847" t="str">
        <f>VLOOKUP(B5847,Заказы!A:C,3,0)</f>
        <v>2023-12-08 18:58:00</v>
      </c>
      <c r="E5847" t="str">
        <f>VLOOKUP(C5847,Меню!A:E,4,0)</f>
        <v>Суши</v>
      </c>
      <c r="F5847">
        <f>VLOOKUP(C5847,Меню!A:E,5,0)</f>
        <v>100</v>
      </c>
    </row>
    <row r="5848" spans="1:6" ht="15.75" hidden="1" customHeight="1" x14ac:dyDescent="0.35">
      <c r="A5848" s="1">
        <v>5847</v>
      </c>
      <c r="B5848" s="1">
        <v>1155</v>
      </c>
      <c r="C5848" s="1">
        <v>12</v>
      </c>
      <c r="D5848" t="str">
        <f>VLOOKUP(B5848,Заказы!A:C,3,0)</f>
        <v>2023-12-08 18:58:00</v>
      </c>
      <c r="E5848" t="str">
        <f>VLOOKUP(C5848,Меню!A:E,4,0)</f>
        <v>Первое</v>
      </c>
      <c r="F5848">
        <f>VLOOKUP(C5848,Меню!A:E,5,0)</f>
        <v>300</v>
      </c>
    </row>
    <row r="5849" spans="1:6" ht="15.75" hidden="1" customHeight="1" x14ac:dyDescent="0.35">
      <c r="A5849" s="1">
        <v>5848</v>
      </c>
      <c r="B5849" s="1">
        <v>1155</v>
      </c>
      <c r="C5849" s="1">
        <v>26</v>
      </c>
      <c r="D5849" t="str">
        <f>VLOOKUP(B5849,Заказы!A:C,3,0)</f>
        <v>2023-12-08 18:58:00</v>
      </c>
      <c r="E5849" t="str">
        <f>VLOOKUP(C5849,Меню!A:E,4,0)</f>
        <v>Салат</v>
      </c>
      <c r="F5849">
        <f>VLOOKUP(C5849,Меню!A:E,5,0)</f>
        <v>250</v>
      </c>
    </row>
    <row r="5850" spans="1:6" ht="15.75" hidden="1" customHeight="1" x14ac:dyDescent="0.35">
      <c r="A5850" s="1">
        <v>5849</v>
      </c>
      <c r="B5850" s="1">
        <v>1155</v>
      </c>
      <c r="C5850" s="1">
        <v>1</v>
      </c>
      <c r="D5850" t="str">
        <f>VLOOKUP(B5850,Заказы!A:C,3,0)</f>
        <v>2023-12-08 18:58:00</v>
      </c>
      <c r="E5850" t="str">
        <f>VLOOKUP(C5850,Меню!A:E,4,0)</f>
        <v>Завтрак</v>
      </c>
      <c r="F5850">
        <f>VLOOKUP(C5850,Меню!A:E,5,0)</f>
        <v>200</v>
      </c>
    </row>
    <row r="5851" spans="1:6" ht="15.75" hidden="1" customHeight="1" x14ac:dyDescent="0.35">
      <c r="A5851" s="1">
        <v>5850</v>
      </c>
      <c r="B5851" s="1">
        <v>1156</v>
      </c>
      <c r="C5851" s="1">
        <v>28</v>
      </c>
      <c r="D5851" t="str">
        <f>VLOOKUP(B5851,Заказы!A:C,3,0)</f>
        <v>2023-12-09 15:48:00</v>
      </c>
      <c r="E5851" t="str">
        <f>VLOOKUP(C5851,Меню!A:E,4,0)</f>
        <v>Салат</v>
      </c>
      <c r="F5851">
        <f>VLOOKUP(C5851,Меню!A:E,5,0)</f>
        <v>250</v>
      </c>
    </row>
    <row r="5852" spans="1:6" ht="15.75" hidden="1" customHeight="1" x14ac:dyDescent="0.35">
      <c r="A5852" s="1">
        <v>5851</v>
      </c>
      <c r="B5852" s="1">
        <v>1156</v>
      </c>
      <c r="C5852" s="1">
        <v>39</v>
      </c>
      <c r="D5852" t="str">
        <f>VLOOKUP(B5852,Заказы!A:C,3,0)</f>
        <v>2023-12-09 15:48:00</v>
      </c>
      <c r="E5852" t="str">
        <f>VLOOKUP(C5852,Меню!A:E,4,0)</f>
        <v>Десерт</v>
      </c>
      <c r="F5852">
        <f>VLOOKUP(C5852,Меню!A:E,5,0)</f>
        <v>150</v>
      </c>
    </row>
    <row r="5853" spans="1:6" ht="15.75" hidden="1" customHeight="1" x14ac:dyDescent="0.35">
      <c r="A5853" s="1">
        <v>5852</v>
      </c>
      <c r="B5853" s="1">
        <v>1156</v>
      </c>
      <c r="C5853" s="1">
        <v>18</v>
      </c>
      <c r="D5853" t="str">
        <f>VLOOKUP(B5853,Заказы!A:C,3,0)</f>
        <v>2023-12-09 15:48:00</v>
      </c>
      <c r="E5853" t="str">
        <f>VLOOKUP(C5853,Меню!A:E,4,0)</f>
        <v>Первое</v>
      </c>
      <c r="F5853">
        <f>VLOOKUP(C5853,Меню!A:E,5,0)</f>
        <v>300</v>
      </c>
    </row>
    <row r="5854" spans="1:6" ht="15.75" hidden="1" customHeight="1" x14ac:dyDescent="0.35">
      <c r="A5854" s="1">
        <v>5853</v>
      </c>
      <c r="B5854" s="1">
        <v>1156</v>
      </c>
      <c r="C5854" s="1">
        <v>42</v>
      </c>
      <c r="D5854" t="str">
        <f>VLOOKUP(B5854,Заказы!A:C,3,0)</f>
        <v>2023-12-09 15:48:00</v>
      </c>
      <c r="E5854" t="str">
        <f>VLOOKUP(C5854,Меню!A:E,4,0)</f>
        <v>Суши</v>
      </c>
      <c r="F5854">
        <f>VLOOKUP(C5854,Меню!A:E,5,0)</f>
        <v>250</v>
      </c>
    </row>
    <row r="5855" spans="1:6" ht="15.75" hidden="1" customHeight="1" x14ac:dyDescent="0.35">
      <c r="A5855" s="1">
        <v>5854</v>
      </c>
      <c r="B5855" s="1">
        <v>1156</v>
      </c>
      <c r="C5855" s="1">
        <v>11</v>
      </c>
      <c r="D5855" t="str">
        <f>VLOOKUP(B5855,Заказы!A:C,3,0)</f>
        <v>2023-12-09 15:48:00</v>
      </c>
      <c r="E5855" t="str">
        <f>VLOOKUP(C5855,Меню!A:E,4,0)</f>
        <v>Первое</v>
      </c>
      <c r="F5855">
        <f>VLOOKUP(C5855,Меню!A:E,5,0)</f>
        <v>300</v>
      </c>
    </row>
    <row r="5856" spans="1:6" ht="15.75" hidden="1" customHeight="1" x14ac:dyDescent="0.35">
      <c r="A5856" s="1">
        <v>5855</v>
      </c>
      <c r="B5856" s="1">
        <v>1157</v>
      </c>
      <c r="C5856" s="1">
        <v>53</v>
      </c>
      <c r="D5856" t="str">
        <f>VLOOKUP(B5856,Заказы!A:C,3,0)</f>
        <v>2023-12-09 17:01:00</v>
      </c>
      <c r="E5856" t="str">
        <f>VLOOKUP(C5856,Меню!A:E,4,0)</f>
        <v>Суши</v>
      </c>
      <c r="F5856">
        <f>VLOOKUP(C5856,Меню!A:E,5,0)</f>
        <v>100</v>
      </c>
    </row>
    <row r="5857" spans="1:6" ht="15.75" hidden="1" customHeight="1" x14ac:dyDescent="0.35">
      <c r="A5857" s="1">
        <v>5856</v>
      </c>
      <c r="B5857" s="1">
        <v>1157</v>
      </c>
      <c r="C5857" s="1">
        <v>14</v>
      </c>
      <c r="D5857" t="str">
        <f>VLOOKUP(B5857,Заказы!A:C,3,0)</f>
        <v>2023-12-09 17:01:00</v>
      </c>
      <c r="E5857" t="str">
        <f>VLOOKUP(C5857,Меню!A:E,4,0)</f>
        <v>Первое</v>
      </c>
      <c r="F5857">
        <f>VLOOKUP(C5857,Меню!A:E,5,0)</f>
        <v>350</v>
      </c>
    </row>
    <row r="5858" spans="1:6" ht="15.75" hidden="1" customHeight="1" x14ac:dyDescent="0.35">
      <c r="A5858" s="1">
        <v>5857</v>
      </c>
      <c r="B5858" s="1">
        <v>1157</v>
      </c>
      <c r="C5858" s="1">
        <v>11</v>
      </c>
      <c r="D5858" t="str">
        <f>VLOOKUP(B5858,Заказы!A:C,3,0)</f>
        <v>2023-12-09 17:01:00</v>
      </c>
      <c r="E5858" t="str">
        <f>VLOOKUP(C5858,Меню!A:E,4,0)</f>
        <v>Первое</v>
      </c>
      <c r="F5858">
        <f>VLOOKUP(C5858,Меню!A:E,5,0)</f>
        <v>300</v>
      </c>
    </row>
    <row r="5859" spans="1:6" ht="15.75" hidden="1" customHeight="1" x14ac:dyDescent="0.35">
      <c r="A5859" s="1">
        <v>5858</v>
      </c>
      <c r="B5859" s="1">
        <v>1157</v>
      </c>
      <c r="C5859" s="1">
        <v>10</v>
      </c>
      <c r="D5859" t="str">
        <f>VLOOKUP(B5859,Заказы!A:C,3,0)</f>
        <v>2023-12-09 17:01:00</v>
      </c>
      <c r="E5859" t="str">
        <f>VLOOKUP(C5859,Меню!A:E,4,0)</f>
        <v>Завтрак</v>
      </c>
      <c r="F5859">
        <f>VLOOKUP(C5859,Меню!A:E,5,0)</f>
        <v>200</v>
      </c>
    </row>
    <row r="5860" spans="1:6" ht="15.75" hidden="1" customHeight="1" x14ac:dyDescent="0.35">
      <c r="A5860" s="1">
        <v>5859</v>
      </c>
      <c r="B5860" s="1">
        <v>1157</v>
      </c>
      <c r="C5860" s="1">
        <v>46</v>
      </c>
      <c r="D5860" t="str">
        <f>VLOOKUP(B5860,Заказы!A:C,3,0)</f>
        <v>2023-12-09 17:01:00</v>
      </c>
      <c r="E5860" t="str">
        <f>VLOOKUP(C5860,Меню!A:E,4,0)</f>
        <v>Суши</v>
      </c>
      <c r="F5860">
        <f>VLOOKUP(C5860,Меню!A:E,5,0)</f>
        <v>200</v>
      </c>
    </row>
    <row r="5861" spans="1:6" ht="15.75" hidden="1" customHeight="1" x14ac:dyDescent="0.35">
      <c r="A5861" s="1">
        <v>5860</v>
      </c>
      <c r="B5861" s="1">
        <v>1157</v>
      </c>
      <c r="C5861" s="1">
        <v>52</v>
      </c>
      <c r="D5861" t="str">
        <f>VLOOKUP(B5861,Заказы!A:C,3,0)</f>
        <v>2023-12-09 17:01:00</v>
      </c>
      <c r="E5861" t="str">
        <f>VLOOKUP(C5861,Меню!A:E,4,0)</f>
        <v>Суши</v>
      </c>
      <c r="F5861">
        <f>VLOOKUP(C5861,Меню!A:E,5,0)</f>
        <v>100</v>
      </c>
    </row>
    <row r="5862" spans="1:6" ht="15.75" hidden="1" customHeight="1" x14ac:dyDescent="0.35">
      <c r="A5862" s="1">
        <v>5861</v>
      </c>
      <c r="B5862" s="1">
        <v>1158</v>
      </c>
      <c r="C5862" s="1">
        <v>52</v>
      </c>
      <c r="D5862" t="str">
        <f>VLOOKUP(B5862,Заказы!A:C,3,0)</f>
        <v>2023-12-09 17:45:00</v>
      </c>
      <c r="E5862" t="str">
        <f>VLOOKUP(C5862,Меню!A:E,4,0)</f>
        <v>Суши</v>
      </c>
      <c r="F5862">
        <f>VLOOKUP(C5862,Меню!A:E,5,0)</f>
        <v>100</v>
      </c>
    </row>
    <row r="5863" spans="1:6" ht="15.75" hidden="1" customHeight="1" x14ac:dyDescent="0.35">
      <c r="A5863" s="1">
        <v>5862</v>
      </c>
      <c r="B5863" s="1">
        <v>1158</v>
      </c>
      <c r="C5863" s="1">
        <v>3</v>
      </c>
      <c r="D5863" t="str">
        <f>VLOOKUP(B5863,Заказы!A:C,3,0)</f>
        <v>2023-12-09 17:45:00</v>
      </c>
      <c r="E5863" t="str">
        <f>VLOOKUP(C5863,Меню!A:E,4,0)</f>
        <v>Завтрак</v>
      </c>
      <c r="F5863">
        <f>VLOOKUP(C5863,Меню!A:E,5,0)</f>
        <v>150</v>
      </c>
    </row>
    <row r="5864" spans="1:6" ht="15.75" hidden="1" customHeight="1" x14ac:dyDescent="0.35">
      <c r="A5864" s="1">
        <v>5863</v>
      </c>
      <c r="B5864" s="1">
        <v>1158</v>
      </c>
      <c r="C5864" s="1">
        <v>14</v>
      </c>
      <c r="D5864" t="str">
        <f>VLOOKUP(B5864,Заказы!A:C,3,0)</f>
        <v>2023-12-09 17:45:00</v>
      </c>
      <c r="E5864" t="str">
        <f>VLOOKUP(C5864,Меню!A:E,4,0)</f>
        <v>Первое</v>
      </c>
      <c r="F5864">
        <f>VLOOKUP(C5864,Меню!A:E,5,0)</f>
        <v>350</v>
      </c>
    </row>
    <row r="5865" spans="1:6" ht="15.75" hidden="1" customHeight="1" x14ac:dyDescent="0.35">
      <c r="A5865" s="1">
        <v>5864</v>
      </c>
      <c r="B5865" s="1">
        <v>1158</v>
      </c>
      <c r="C5865" s="1">
        <v>24</v>
      </c>
      <c r="D5865" t="str">
        <f>VLOOKUP(B5865,Заказы!A:C,3,0)</f>
        <v>2023-12-09 17:45:00</v>
      </c>
      <c r="E5865" t="str">
        <f>VLOOKUP(C5865,Меню!A:E,4,0)</f>
        <v>Салат</v>
      </c>
      <c r="F5865">
        <f>VLOOKUP(C5865,Меню!A:E,5,0)</f>
        <v>250</v>
      </c>
    </row>
    <row r="5866" spans="1:6" ht="15.75" hidden="1" customHeight="1" x14ac:dyDescent="0.35">
      <c r="A5866" s="1">
        <v>5865</v>
      </c>
      <c r="B5866" s="1">
        <v>1158</v>
      </c>
      <c r="C5866" s="1">
        <v>60</v>
      </c>
      <c r="D5866" t="str">
        <f>VLOOKUP(B5866,Заказы!A:C,3,0)</f>
        <v>2023-12-09 17:45:00</v>
      </c>
      <c r="E5866" t="str">
        <f>VLOOKUP(C5866,Меню!A:E,4,0)</f>
        <v>Суши</v>
      </c>
      <c r="F5866">
        <f>VLOOKUP(C5866,Меню!A:E,5,0)</f>
        <v>250</v>
      </c>
    </row>
    <row r="5867" spans="1:6" ht="15.75" hidden="1" customHeight="1" x14ac:dyDescent="0.35">
      <c r="A5867" s="1">
        <v>5866</v>
      </c>
      <c r="B5867" s="1">
        <v>1159</v>
      </c>
      <c r="C5867" s="1">
        <v>27</v>
      </c>
      <c r="D5867" t="str">
        <f>VLOOKUP(B5867,Заказы!A:C,3,0)</f>
        <v>2023-12-09 21:32:00</v>
      </c>
      <c r="E5867" t="str">
        <f>VLOOKUP(C5867,Меню!A:E,4,0)</f>
        <v>Салат</v>
      </c>
      <c r="F5867">
        <f>VLOOKUP(C5867,Меню!A:E,5,0)</f>
        <v>250</v>
      </c>
    </row>
    <row r="5868" spans="1:6" ht="15.75" hidden="1" customHeight="1" x14ac:dyDescent="0.35">
      <c r="A5868" s="1">
        <v>5867</v>
      </c>
      <c r="B5868" s="1">
        <v>1159</v>
      </c>
      <c r="C5868" s="1">
        <v>50</v>
      </c>
      <c r="D5868" t="str">
        <f>VLOOKUP(B5868,Заказы!A:C,3,0)</f>
        <v>2023-12-09 21:32:00</v>
      </c>
      <c r="E5868" t="str">
        <f>VLOOKUP(C5868,Меню!A:E,4,0)</f>
        <v>Суши</v>
      </c>
      <c r="F5868">
        <f>VLOOKUP(C5868,Меню!A:E,5,0)</f>
        <v>200</v>
      </c>
    </row>
    <row r="5869" spans="1:6" ht="15.75" hidden="1" customHeight="1" x14ac:dyDescent="0.35">
      <c r="A5869" s="1">
        <v>5868</v>
      </c>
      <c r="B5869" s="1">
        <v>1159</v>
      </c>
      <c r="C5869" s="1">
        <v>54</v>
      </c>
      <c r="D5869" t="str">
        <f>VLOOKUP(B5869,Заказы!A:C,3,0)</f>
        <v>2023-12-09 21:32:00</v>
      </c>
      <c r="E5869" t="str">
        <f>VLOOKUP(C5869,Меню!A:E,4,0)</f>
        <v>Суши</v>
      </c>
      <c r="F5869">
        <f>VLOOKUP(C5869,Меню!A:E,5,0)</f>
        <v>100</v>
      </c>
    </row>
    <row r="5870" spans="1:6" ht="15.75" hidden="1" customHeight="1" x14ac:dyDescent="0.35">
      <c r="A5870" s="1">
        <v>5869</v>
      </c>
      <c r="B5870" s="1">
        <v>1159</v>
      </c>
      <c r="C5870" s="1">
        <v>41</v>
      </c>
      <c r="D5870" t="str">
        <f>VLOOKUP(B5870,Заказы!A:C,3,0)</f>
        <v>2023-12-09 21:32:00</v>
      </c>
      <c r="E5870" t="str">
        <f>VLOOKUP(C5870,Меню!A:E,4,0)</f>
        <v>Суши</v>
      </c>
      <c r="F5870">
        <f>VLOOKUP(C5870,Меню!A:E,5,0)</f>
        <v>220</v>
      </c>
    </row>
    <row r="5871" spans="1:6" ht="15.75" hidden="1" customHeight="1" x14ac:dyDescent="0.35">
      <c r="A5871" s="1">
        <v>5870</v>
      </c>
      <c r="B5871" s="1">
        <v>1159</v>
      </c>
      <c r="C5871" s="1">
        <v>43</v>
      </c>
      <c r="D5871" t="str">
        <f>VLOOKUP(B5871,Заказы!A:C,3,0)</f>
        <v>2023-12-09 21:32:00</v>
      </c>
      <c r="E5871" t="str">
        <f>VLOOKUP(C5871,Меню!A:E,4,0)</f>
        <v>Суши</v>
      </c>
      <c r="F5871">
        <f>VLOOKUP(C5871,Меню!A:E,5,0)</f>
        <v>250</v>
      </c>
    </row>
    <row r="5872" spans="1:6" ht="15.75" hidden="1" customHeight="1" x14ac:dyDescent="0.35">
      <c r="A5872" s="1">
        <v>5871</v>
      </c>
      <c r="B5872" s="1">
        <v>1160</v>
      </c>
      <c r="C5872" s="1">
        <v>46</v>
      </c>
      <c r="D5872" t="str">
        <f>VLOOKUP(B5872,Заказы!A:C,3,0)</f>
        <v>2023-12-10 15:13:00</v>
      </c>
      <c r="E5872" t="str">
        <f>VLOOKUP(C5872,Меню!A:E,4,0)</f>
        <v>Суши</v>
      </c>
      <c r="F5872">
        <f>VLOOKUP(C5872,Меню!A:E,5,0)</f>
        <v>200</v>
      </c>
    </row>
    <row r="5873" spans="1:6" ht="15.75" hidden="1" customHeight="1" x14ac:dyDescent="0.35">
      <c r="A5873" s="1">
        <v>5872</v>
      </c>
      <c r="B5873" s="1">
        <v>1160</v>
      </c>
      <c r="C5873" s="1">
        <v>40</v>
      </c>
      <c r="D5873" t="str">
        <f>VLOOKUP(B5873,Заказы!A:C,3,0)</f>
        <v>2023-12-10 15:13:00</v>
      </c>
      <c r="E5873" t="str">
        <f>VLOOKUP(C5873,Меню!A:E,4,0)</f>
        <v>Десерт</v>
      </c>
      <c r="F5873">
        <f>VLOOKUP(C5873,Меню!A:E,5,0)</f>
        <v>150</v>
      </c>
    </row>
    <row r="5874" spans="1:6" ht="15.75" hidden="1" customHeight="1" x14ac:dyDescent="0.35">
      <c r="A5874" s="1">
        <v>5873</v>
      </c>
      <c r="B5874" s="1">
        <v>1160</v>
      </c>
      <c r="C5874" s="1">
        <v>32</v>
      </c>
      <c r="D5874" t="str">
        <f>VLOOKUP(B5874,Заказы!A:C,3,0)</f>
        <v>2023-12-10 15:13:00</v>
      </c>
      <c r="E5874" t="str">
        <f>VLOOKUP(C5874,Меню!A:E,4,0)</f>
        <v>Десерт</v>
      </c>
      <c r="F5874">
        <f>VLOOKUP(C5874,Меню!A:E,5,0)</f>
        <v>150</v>
      </c>
    </row>
    <row r="5875" spans="1:6" ht="15.75" hidden="1" customHeight="1" x14ac:dyDescent="0.35">
      <c r="A5875" s="1">
        <v>5874</v>
      </c>
      <c r="B5875" s="1">
        <v>1160</v>
      </c>
      <c r="C5875" s="1">
        <v>9</v>
      </c>
      <c r="D5875" t="str">
        <f>VLOOKUP(B5875,Заказы!A:C,3,0)</f>
        <v>2023-12-10 15:13:00</v>
      </c>
      <c r="E5875" t="str">
        <f>VLOOKUP(C5875,Меню!A:E,4,0)</f>
        <v>Завтрак</v>
      </c>
      <c r="F5875">
        <f>VLOOKUP(C5875,Меню!A:E,5,0)</f>
        <v>220</v>
      </c>
    </row>
    <row r="5876" spans="1:6" ht="15.75" hidden="1" customHeight="1" x14ac:dyDescent="0.35">
      <c r="A5876" s="1">
        <v>5875</v>
      </c>
      <c r="B5876" s="1">
        <v>1160</v>
      </c>
      <c r="C5876" s="1">
        <v>6</v>
      </c>
      <c r="D5876" t="str">
        <f>VLOOKUP(B5876,Заказы!A:C,3,0)</f>
        <v>2023-12-10 15:13:00</v>
      </c>
      <c r="E5876" t="str">
        <f>VLOOKUP(C5876,Меню!A:E,4,0)</f>
        <v>Завтрак</v>
      </c>
      <c r="F5876">
        <f>VLOOKUP(C5876,Меню!A:E,5,0)</f>
        <v>300</v>
      </c>
    </row>
    <row r="5877" spans="1:6" ht="15.75" hidden="1" customHeight="1" x14ac:dyDescent="0.35">
      <c r="A5877" s="1">
        <v>5876</v>
      </c>
      <c r="B5877" s="1">
        <v>1160</v>
      </c>
      <c r="C5877" s="1">
        <v>16</v>
      </c>
      <c r="D5877" t="str">
        <f>VLOOKUP(B5877,Заказы!A:C,3,0)</f>
        <v>2023-12-10 15:13:00</v>
      </c>
      <c r="E5877" t="str">
        <f>VLOOKUP(C5877,Меню!A:E,4,0)</f>
        <v>Первое</v>
      </c>
      <c r="F5877">
        <f>VLOOKUP(C5877,Меню!A:E,5,0)</f>
        <v>250</v>
      </c>
    </row>
    <row r="5878" spans="1:6" ht="15.75" hidden="1" customHeight="1" x14ac:dyDescent="0.35">
      <c r="A5878" s="1">
        <v>5877</v>
      </c>
      <c r="B5878" s="1">
        <v>1160</v>
      </c>
      <c r="C5878" s="1">
        <v>47</v>
      </c>
      <c r="D5878" t="str">
        <f>VLOOKUP(B5878,Заказы!A:C,3,0)</f>
        <v>2023-12-10 15:13:00</v>
      </c>
      <c r="E5878" t="str">
        <f>VLOOKUP(C5878,Меню!A:E,4,0)</f>
        <v>Суши</v>
      </c>
      <c r="F5878">
        <f>VLOOKUP(C5878,Меню!A:E,5,0)</f>
        <v>200</v>
      </c>
    </row>
    <row r="5879" spans="1:6" ht="15.75" hidden="1" customHeight="1" x14ac:dyDescent="0.35">
      <c r="A5879" s="1">
        <v>5878</v>
      </c>
      <c r="B5879" s="1">
        <v>1161</v>
      </c>
      <c r="C5879" s="1">
        <v>25</v>
      </c>
      <c r="D5879" t="str">
        <f>VLOOKUP(B5879,Заказы!A:C,3,0)</f>
        <v>2023-12-10 16:12:00</v>
      </c>
      <c r="E5879" t="str">
        <f>VLOOKUP(C5879,Меню!A:E,4,0)</f>
        <v>Салат</v>
      </c>
      <c r="F5879">
        <f>VLOOKUP(C5879,Меню!A:E,5,0)</f>
        <v>250</v>
      </c>
    </row>
    <row r="5880" spans="1:6" ht="15.75" hidden="1" customHeight="1" x14ac:dyDescent="0.35">
      <c r="A5880" s="1">
        <v>5879</v>
      </c>
      <c r="B5880" s="1">
        <v>1161</v>
      </c>
      <c r="C5880" s="1">
        <v>30</v>
      </c>
      <c r="D5880" t="str">
        <f>VLOOKUP(B5880,Заказы!A:C,3,0)</f>
        <v>2023-12-10 16:12:00</v>
      </c>
      <c r="E5880" t="str">
        <f>VLOOKUP(C5880,Меню!A:E,4,0)</f>
        <v>Салат</v>
      </c>
      <c r="F5880">
        <f>VLOOKUP(C5880,Меню!A:E,5,0)</f>
        <v>250</v>
      </c>
    </row>
    <row r="5881" spans="1:6" ht="15.75" hidden="1" customHeight="1" x14ac:dyDescent="0.35">
      <c r="A5881" s="1">
        <v>5880</v>
      </c>
      <c r="B5881" s="1">
        <v>1161</v>
      </c>
      <c r="C5881" s="1">
        <v>60</v>
      </c>
      <c r="D5881" t="str">
        <f>VLOOKUP(B5881,Заказы!A:C,3,0)</f>
        <v>2023-12-10 16:12:00</v>
      </c>
      <c r="E5881" t="str">
        <f>VLOOKUP(C5881,Меню!A:E,4,0)</f>
        <v>Суши</v>
      </c>
      <c r="F5881">
        <f>VLOOKUP(C5881,Меню!A:E,5,0)</f>
        <v>250</v>
      </c>
    </row>
    <row r="5882" spans="1:6" ht="15.75" hidden="1" customHeight="1" x14ac:dyDescent="0.35">
      <c r="A5882" s="1">
        <v>5881</v>
      </c>
      <c r="B5882" s="1">
        <v>1161</v>
      </c>
      <c r="C5882" s="1">
        <v>14</v>
      </c>
      <c r="D5882" t="str">
        <f>VLOOKUP(B5882,Заказы!A:C,3,0)</f>
        <v>2023-12-10 16:12:00</v>
      </c>
      <c r="E5882" t="str">
        <f>VLOOKUP(C5882,Меню!A:E,4,0)</f>
        <v>Первое</v>
      </c>
      <c r="F5882">
        <f>VLOOKUP(C5882,Меню!A:E,5,0)</f>
        <v>350</v>
      </c>
    </row>
    <row r="5883" spans="1:6" ht="15.75" hidden="1" customHeight="1" x14ac:dyDescent="0.35">
      <c r="A5883" s="1">
        <v>5882</v>
      </c>
      <c r="B5883" s="1">
        <v>1161</v>
      </c>
      <c r="C5883" s="1">
        <v>35</v>
      </c>
      <c r="D5883" t="str">
        <f>VLOOKUP(B5883,Заказы!A:C,3,0)</f>
        <v>2023-12-10 16:12:00</v>
      </c>
      <c r="E5883" t="str">
        <f>VLOOKUP(C5883,Меню!A:E,4,0)</f>
        <v>Десерт</v>
      </c>
      <c r="F5883">
        <f>VLOOKUP(C5883,Меню!A:E,5,0)</f>
        <v>150</v>
      </c>
    </row>
    <row r="5884" spans="1:6" ht="15.75" hidden="1" customHeight="1" x14ac:dyDescent="0.35">
      <c r="A5884" s="1">
        <v>5883</v>
      </c>
      <c r="B5884" s="1">
        <v>1161</v>
      </c>
      <c r="C5884" s="1">
        <v>49</v>
      </c>
      <c r="D5884" t="str">
        <f>VLOOKUP(B5884,Заказы!A:C,3,0)</f>
        <v>2023-12-10 16:12:00</v>
      </c>
      <c r="E5884" t="str">
        <f>VLOOKUP(C5884,Меню!A:E,4,0)</f>
        <v>Суши</v>
      </c>
      <c r="F5884">
        <f>VLOOKUP(C5884,Меню!A:E,5,0)</f>
        <v>200</v>
      </c>
    </row>
    <row r="5885" spans="1:6" ht="15.75" hidden="1" customHeight="1" x14ac:dyDescent="0.35">
      <c r="A5885" s="1">
        <v>5884</v>
      </c>
      <c r="B5885" s="1">
        <v>1161</v>
      </c>
      <c r="C5885" s="1">
        <v>13</v>
      </c>
      <c r="D5885" t="str">
        <f>VLOOKUP(B5885,Заказы!A:C,3,0)</f>
        <v>2023-12-10 16:12:00</v>
      </c>
      <c r="E5885" t="str">
        <f>VLOOKUP(C5885,Меню!A:E,4,0)</f>
        <v>Первое</v>
      </c>
      <c r="F5885">
        <f>VLOOKUP(C5885,Меню!A:E,5,0)</f>
        <v>280</v>
      </c>
    </row>
    <row r="5886" spans="1:6" ht="15.75" hidden="1" customHeight="1" x14ac:dyDescent="0.35">
      <c r="A5886" s="1">
        <v>5885</v>
      </c>
      <c r="B5886" s="1">
        <v>1162</v>
      </c>
      <c r="C5886" s="1">
        <v>11</v>
      </c>
      <c r="D5886" t="str">
        <f>VLOOKUP(B5886,Заказы!A:C,3,0)</f>
        <v>2023-12-10 20:05:00</v>
      </c>
      <c r="E5886" t="str">
        <f>VLOOKUP(C5886,Меню!A:E,4,0)</f>
        <v>Первое</v>
      </c>
      <c r="F5886">
        <f>VLOOKUP(C5886,Меню!A:E,5,0)</f>
        <v>300</v>
      </c>
    </row>
    <row r="5887" spans="1:6" ht="15.75" hidden="1" customHeight="1" x14ac:dyDescent="0.35">
      <c r="A5887" s="1">
        <v>5886</v>
      </c>
      <c r="B5887" s="1">
        <v>1162</v>
      </c>
      <c r="C5887" s="1">
        <v>11</v>
      </c>
      <c r="D5887" t="str">
        <f>VLOOKUP(B5887,Заказы!A:C,3,0)</f>
        <v>2023-12-10 20:05:00</v>
      </c>
      <c r="E5887" t="str">
        <f>VLOOKUP(C5887,Меню!A:E,4,0)</f>
        <v>Первое</v>
      </c>
      <c r="F5887">
        <f>VLOOKUP(C5887,Меню!A:E,5,0)</f>
        <v>300</v>
      </c>
    </row>
    <row r="5888" spans="1:6" ht="15.75" hidden="1" customHeight="1" x14ac:dyDescent="0.35">
      <c r="A5888" s="1">
        <v>5887</v>
      </c>
      <c r="B5888" s="1">
        <v>1162</v>
      </c>
      <c r="C5888" s="1">
        <v>2</v>
      </c>
      <c r="D5888" t="str">
        <f>VLOOKUP(B5888,Заказы!A:C,3,0)</f>
        <v>2023-12-10 20:05:00</v>
      </c>
      <c r="E5888" t="str">
        <f>VLOOKUP(C5888,Меню!A:E,4,0)</f>
        <v>Завтрак</v>
      </c>
      <c r="F5888">
        <f>VLOOKUP(C5888,Меню!A:E,5,0)</f>
        <v>250</v>
      </c>
    </row>
    <row r="5889" spans="1:6" ht="15.75" hidden="1" customHeight="1" x14ac:dyDescent="0.35">
      <c r="A5889" s="1">
        <v>5888</v>
      </c>
      <c r="B5889" s="1">
        <v>1162</v>
      </c>
      <c r="C5889" s="1">
        <v>26</v>
      </c>
      <c r="D5889" t="str">
        <f>VLOOKUP(B5889,Заказы!A:C,3,0)</f>
        <v>2023-12-10 20:05:00</v>
      </c>
      <c r="E5889" t="str">
        <f>VLOOKUP(C5889,Меню!A:E,4,0)</f>
        <v>Салат</v>
      </c>
      <c r="F5889">
        <f>VLOOKUP(C5889,Меню!A:E,5,0)</f>
        <v>250</v>
      </c>
    </row>
    <row r="5890" spans="1:6" ht="15.75" hidden="1" customHeight="1" x14ac:dyDescent="0.35">
      <c r="A5890" s="1">
        <v>5889</v>
      </c>
      <c r="B5890" s="1">
        <v>1162</v>
      </c>
      <c r="C5890" s="1">
        <v>7</v>
      </c>
      <c r="D5890" t="str">
        <f>VLOOKUP(B5890,Заказы!A:C,3,0)</f>
        <v>2023-12-10 20:05:00</v>
      </c>
      <c r="E5890" t="str">
        <f>VLOOKUP(C5890,Меню!A:E,4,0)</f>
        <v>Завтрак</v>
      </c>
      <c r="F5890">
        <f>VLOOKUP(C5890,Меню!A:E,5,0)</f>
        <v>200</v>
      </c>
    </row>
    <row r="5891" spans="1:6" ht="15.75" hidden="1" customHeight="1" x14ac:dyDescent="0.35">
      <c r="A5891" s="1">
        <v>5890</v>
      </c>
      <c r="B5891" s="1">
        <v>1162</v>
      </c>
      <c r="C5891" s="1">
        <v>29</v>
      </c>
      <c r="D5891" t="str">
        <f>VLOOKUP(B5891,Заказы!A:C,3,0)</f>
        <v>2023-12-10 20:05:00</v>
      </c>
      <c r="E5891" t="str">
        <f>VLOOKUP(C5891,Меню!A:E,4,0)</f>
        <v>Салат</v>
      </c>
      <c r="F5891">
        <f>VLOOKUP(C5891,Меню!A:E,5,0)</f>
        <v>250</v>
      </c>
    </row>
    <row r="5892" spans="1:6" ht="15.75" hidden="1" customHeight="1" x14ac:dyDescent="0.35">
      <c r="A5892" s="1">
        <v>5891</v>
      </c>
      <c r="B5892" s="1">
        <v>1162</v>
      </c>
      <c r="C5892" s="1">
        <v>43</v>
      </c>
      <c r="D5892" t="str">
        <f>VLOOKUP(B5892,Заказы!A:C,3,0)</f>
        <v>2023-12-10 20:05:00</v>
      </c>
      <c r="E5892" t="str">
        <f>VLOOKUP(C5892,Меню!A:E,4,0)</f>
        <v>Суши</v>
      </c>
      <c r="F5892">
        <f>VLOOKUP(C5892,Меню!A:E,5,0)</f>
        <v>250</v>
      </c>
    </row>
    <row r="5893" spans="1:6" ht="15.75" hidden="1" customHeight="1" x14ac:dyDescent="0.35">
      <c r="A5893" s="1">
        <v>5892</v>
      </c>
      <c r="B5893" s="1">
        <v>1163</v>
      </c>
      <c r="C5893" s="1">
        <v>45</v>
      </c>
      <c r="D5893" t="str">
        <f>VLOOKUP(B5893,Заказы!A:C,3,0)</f>
        <v>2023-12-11 17:04:00</v>
      </c>
      <c r="E5893" t="str">
        <f>VLOOKUP(C5893,Меню!A:E,4,0)</f>
        <v>Суши</v>
      </c>
      <c r="F5893">
        <f>VLOOKUP(C5893,Меню!A:E,5,0)</f>
        <v>200</v>
      </c>
    </row>
    <row r="5894" spans="1:6" ht="15.75" hidden="1" customHeight="1" x14ac:dyDescent="0.35">
      <c r="A5894" s="1">
        <v>5893</v>
      </c>
      <c r="B5894" s="1">
        <v>1163</v>
      </c>
      <c r="C5894" s="1">
        <v>34</v>
      </c>
      <c r="D5894" t="str">
        <f>VLOOKUP(B5894,Заказы!A:C,3,0)</f>
        <v>2023-12-11 17:04:00</v>
      </c>
      <c r="E5894" t="str">
        <f>VLOOKUP(C5894,Меню!A:E,4,0)</f>
        <v>Десерт</v>
      </c>
      <c r="F5894">
        <f>VLOOKUP(C5894,Меню!A:E,5,0)</f>
        <v>150</v>
      </c>
    </row>
    <row r="5895" spans="1:6" ht="15.75" hidden="1" customHeight="1" x14ac:dyDescent="0.35">
      <c r="A5895" s="1">
        <v>5894</v>
      </c>
      <c r="B5895" s="1">
        <v>1164</v>
      </c>
      <c r="C5895" s="1">
        <v>32</v>
      </c>
      <c r="D5895" t="str">
        <f>VLOOKUP(B5895,Заказы!A:C,3,0)</f>
        <v>2023-12-11 19:26:00</v>
      </c>
      <c r="E5895" t="str">
        <f>VLOOKUP(C5895,Меню!A:E,4,0)</f>
        <v>Десерт</v>
      </c>
      <c r="F5895">
        <f>VLOOKUP(C5895,Меню!A:E,5,0)</f>
        <v>150</v>
      </c>
    </row>
    <row r="5896" spans="1:6" ht="15.75" hidden="1" customHeight="1" x14ac:dyDescent="0.35">
      <c r="A5896" s="1">
        <v>5895</v>
      </c>
      <c r="B5896" s="1">
        <v>1164</v>
      </c>
      <c r="C5896" s="1">
        <v>26</v>
      </c>
      <c r="D5896" t="str">
        <f>VLOOKUP(B5896,Заказы!A:C,3,0)</f>
        <v>2023-12-11 19:26:00</v>
      </c>
      <c r="E5896" t="str">
        <f>VLOOKUP(C5896,Меню!A:E,4,0)</f>
        <v>Салат</v>
      </c>
      <c r="F5896">
        <f>VLOOKUP(C5896,Меню!A:E,5,0)</f>
        <v>250</v>
      </c>
    </row>
    <row r="5897" spans="1:6" ht="15.75" hidden="1" customHeight="1" x14ac:dyDescent="0.35">
      <c r="A5897" s="1">
        <v>5896</v>
      </c>
      <c r="B5897" s="1">
        <v>1164</v>
      </c>
      <c r="C5897" s="1">
        <v>49</v>
      </c>
      <c r="D5897" t="str">
        <f>VLOOKUP(B5897,Заказы!A:C,3,0)</f>
        <v>2023-12-11 19:26:00</v>
      </c>
      <c r="E5897" t="str">
        <f>VLOOKUP(C5897,Меню!A:E,4,0)</f>
        <v>Суши</v>
      </c>
      <c r="F5897">
        <f>VLOOKUP(C5897,Меню!A:E,5,0)</f>
        <v>200</v>
      </c>
    </row>
    <row r="5898" spans="1:6" ht="15.75" hidden="1" customHeight="1" x14ac:dyDescent="0.35">
      <c r="A5898" s="1">
        <v>5897</v>
      </c>
      <c r="B5898" s="1">
        <v>1164</v>
      </c>
      <c r="C5898" s="1">
        <v>39</v>
      </c>
      <c r="D5898" t="str">
        <f>VLOOKUP(B5898,Заказы!A:C,3,0)</f>
        <v>2023-12-11 19:26:00</v>
      </c>
      <c r="E5898" t="str">
        <f>VLOOKUP(C5898,Меню!A:E,4,0)</f>
        <v>Десерт</v>
      </c>
      <c r="F5898">
        <f>VLOOKUP(C5898,Меню!A:E,5,0)</f>
        <v>150</v>
      </c>
    </row>
    <row r="5899" spans="1:6" ht="15.75" hidden="1" customHeight="1" x14ac:dyDescent="0.35">
      <c r="A5899" s="1">
        <v>5898</v>
      </c>
      <c r="B5899" s="1">
        <v>1165</v>
      </c>
      <c r="C5899" s="1">
        <v>9</v>
      </c>
      <c r="D5899" t="str">
        <f>VLOOKUP(B5899,Заказы!A:C,3,0)</f>
        <v>2023-12-11 22:12:00</v>
      </c>
      <c r="E5899" t="str">
        <f>VLOOKUP(C5899,Меню!A:E,4,0)</f>
        <v>Завтрак</v>
      </c>
      <c r="F5899">
        <f>VLOOKUP(C5899,Меню!A:E,5,0)</f>
        <v>220</v>
      </c>
    </row>
    <row r="5900" spans="1:6" ht="15.75" hidden="1" customHeight="1" x14ac:dyDescent="0.35">
      <c r="A5900" s="1">
        <v>5899</v>
      </c>
      <c r="B5900" s="1">
        <v>1165</v>
      </c>
      <c r="C5900" s="1">
        <v>13</v>
      </c>
      <c r="D5900" t="str">
        <f>VLOOKUP(B5900,Заказы!A:C,3,0)</f>
        <v>2023-12-11 22:12:00</v>
      </c>
      <c r="E5900" t="str">
        <f>VLOOKUP(C5900,Меню!A:E,4,0)</f>
        <v>Первое</v>
      </c>
      <c r="F5900">
        <f>VLOOKUP(C5900,Меню!A:E,5,0)</f>
        <v>280</v>
      </c>
    </row>
    <row r="5901" spans="1:6" ht="15.75" hidden="1" customHeight="1" x14ac:dyDescent="0.35">
      <c r="A5901" s="1">
        <v>5900</v>
      </c>
      <c r="B5901" s="1">
        <v>1165</v>
      </c>
      <c r="C5901" s="1">
        <v>34</v>
      </c>
      <c r="D5901" t="str">
        <f>VLOOKUP(B5901,Заказы!A:C,3,0)</f>
        <v>2023-12-11 22:12:00</v>
      </c>
      <c r="E5901" t="str">
        <f>VLOOKUP(C5901,Меню!A:E,4,0)</f>
        <v>Десерт</v>
      </c>
      <c r="F5901">
        <f>VLOOKUP(C5901,Меню!A:E,5,0)</f>
        <v>150</v>
      </c>
    </row>
    <row r="5902" spans="1:6" ht="15.75" hidden="1" customHeight="1" x14ac:dyDescent="0.35">
      <c r="A5902" s="1">
        <v>5901</v>
      </c>
      <c r="B5902" s="1">
        <v>1166</v>
      </c>
      <c r="C5902" s="1">
        <v>44</v>
      </c>
      <c r="D5902" t="str">
        <f>VLOOKUP(B5902,Заказы!A:C,3,0)</f>
        <v>2023-12-12 16:22:00</v>
      </c>
      <c r="E5902" t="str">
        <f>VLOOKUP(C5902,Меню!A:E,4,0)</f>
        <v>Суши</v>
      </c>
      <c r="F5902">
        <f>VLOOKUP(C5902,Меню!A:E,5,0)</f>
        <v>250</v>
      </c>
    </row>
    <row r="5903" spans="1:6" ht="15.75" hidden="1" customHeight="1" x14ac:dyDescent="0.35">
      <c r="A5903" s="1">
        <v>5902</v>
      </c>
      <c r="B5903" s="1">
        <v>1166</v>
      </c>
      <c r="C5903" s="1">
        <v>14</v>
      </c>
      <c r="D5903" t="str">
        <f>VLOOKUP(B5903,Заказы!A:C,3,0)</f>
        <v>2023-12-12 16:22:00</v>
      </c>
      <c r="E5903" t="str">
        <f>VLOOKUP(C5903,Меню!A:E,4,0)</f>
        <v>Первое</v>
      </c>
      <c r="F5903">
        <f>VLOOKUP(C5903,Меню!A:E,5,0)</f>
        <v>350</v>
      </c>
    </row>
    <row r="5904" spans="1:6" ht="15.75" hidden="1" customHeight="1" x14ac:dyDescent="0.35">
      <c r="A5904" s="1">
        <v>5903</v>
      </c>
      <c r="B5904" s="1">
        <v>1166</v>
      </c>
      <c r="C5904" s="1">
        <v>29</v>
      </c>
      <c r="D5904" t="str">
        <f>VLOOKUP(B5904,Заказы!A:C,3,0)</f>
        <v>2023-12-12 16:22:00</v>
      </c>
      <c r="E5904" t="str">
        <f>VLOOKUP(C5904,Меню!A:E,4,0)</f>
        <v>Салат</v>
      </c>
      <c r="F5904">
        <f>VLOOKUP(C5904,Меню!A:E,5,0)</f>
        <v>250</v>
      </c>
    </row>
    <row r="5905" spans="1:6" ht="15.75" hidden="1" customHeight="1" x14ac:dyDescent="0.35">
      <c r="A5905" s="1">
        <v>5904</v>
      </c>
      <c r="B5905" s="1">
        <v>1167</v>
      </c>
      <c r="C5905" s="1">
        <v>14</v>
      </c>
      <c r="D5905" t="str">
        <f>VLOOKUP(B5905,Заказы!A:C,3,0)</f>
        <v>2023-12-12 16:52:00</v>
      </c>
      <c r="E5905" t="str">
        <f>VLOOKUP(C5905,Меню!A:E,4,0)</f>
        <v>Первое</v>
      </c>
      <c r="F5905">
        <f>VLOOKUP(C5905,Меню!A:E,5,0)</f>
        <v>350</v>
      </c>
    </row>
    <row r="5906" spans="1:6" ht="15.75" hidden="1" customHeight="1" x14ac:dyDescent="0.35">
      <c r="A5906" s="1">
        <v>5905</v>
      </c>
      <c r="B5906" s="1">
        <v>1167</v>
      </c>
      <c r="C5906" s="1">
        <v>6</v>
      </c>
      <c r="D5906" t="str">
        <f>VLOOKUP(B5906,Заказы!A:C,3,0)</f>
        <v>2023-12-12 16:52:00</v>
      </c>
      <c r="E5906" t="str">
        <f>VLOOKUP(C5906,Меню!A:E,4,0)</f>
        <v>Завтрак</v>
      </c>
      <c r="F5906">
        <f>VLOOKUP(C5906,Меню!A:E,5,0)</f>
        <v>300</v>
      </c>
    </row>
    <row r="5907" spans="1:6" ht="15.75" hidden="1" customHeight="1" x14ac:dyDescent="0.35">
      <c r="A5907" s="1">
        <v>5906</v>
      </c>
      <c r="B5907" s="1">
        <v>1167</v>
      </c>
      <c r="C5907" s="1">
        <v>50</v>
      </c>
      <c r="D5907" t="str">
        <f>VLOOKUP(B5907,Заказы!A:C,3,0)</f>
        <v>2023-12-12 16:52:00</v>
      </c>
      <c r="E5907" t="str">
        <f>VLOOKUP(C5907,Меню!A:E,4,0)</f>
        <v>Суши</v>
      </c>
      <c r="F5907">
        <f>VLOOKUP(C5907,Меню!A:E,5,0)</f>
        <v>200</v>
      </c>
    </row>
    <row r="5908" spans="1:6" ht="15.75" hidden="1" customHeight="1" x14ac:dyDescent="0.35">
      <c r="A5908" s="1">
        <v>5907</v>
      </c>
      <c r="B5908" s="1">
        <v>1167</v>
      </c>
      <c r="C5908" s="1">
        <v>24</v>
      </c>
      <c r="D5908" t="str">
        <f>VLOOKUP(B5908,Заказы!A:C,3,0)</f>
        <v>2023-12-12 16:52:00</v>
      </c>
      <c r="E5908" t="str">
        <f>VLOOKUP(C5908,Меню!A:E,4,0)</f>
        <v>Салат</v>
      </c>
      <c r="F5908">
        <f>VLOOKUP(C5908,Меню!A:E,5,0)</f>
        <v>250</v>
      </c>
    </row>
    <row r="5909" spans="1:6" ht="15.75" hidden="1" customHeight="1" x14ac:dyDescent="0.35">
      <c r="A5909" s="1">
        <v>5908</v>
      </c>
      <c r="B5909" s="1">
        <v>1168</v>
      </c>
      <c r="C5909" s="1">
        <v>27</v>
      </c>
      <c r="D5909" t="str">
        <f>VLOOKUP(B5909,Заказы!A:C,3,0)</f>
        <v>2023-12-12 21:15:00</v>
      </c>
      <c r="E5909" t="str">
        <f>VLOOKUP(C5909,Меню!A:E,4,0)</f>
        <v>Салат</v>
      </c>
      <c r="F5909">
        <f>VLOOKUP(C5909,Меню!A:E,5,0)</f>
        <v>250</v>
      </c>
    </row>
    <row r="5910" spans="1:6" ht="15.75" hidden="1" customHeight="1" x14ac:dyDescent="0.35">
      <c r="A5910" s="1">
        <v>5909</v>
      </c>
      <c r="B5910" s="1">
        <v>1168</v>
      </c>
      <c r="C5910" s="1">
        <v>31</v>
      </c>
      <c r="D5910" t="str">
        <f>VLOOKUP(B5910,Заказы!A:C,3,0)</f>
        <v>2023-12-12 21:15:00</v>
      </c>
      <c r="E5910" t="str">
        <f>VLOOKUP(C5910,Меню!A:E,4,0)</f>
        <v>Десерт</v>
      </c>
      <c r="F5910">
        <f>VLOOKUP(C5910,Меню!A:E,5,0)</f>
        <v>150</v>
      </c>
    </row>
    <row r="5911" spans="1:6" ht="15.75" hidden="1" customHeight="1" x14ac:dyDescent="0.35">
      <c r="A5911" s="1">
        <v>5910</v>
      </c>
      <c r="B5911" s="1">
        <v>1168</v>
      </c>
      <c r="C5911" s="1">
        <v>33</v>
      </c>
      <c r="D5911" t="str">
        <f>VLOOKUP(B5911,Заказы!A:C,3,0)</f>
        <v>2023-12-12 21:15:00</v>
      </c>
      <c r="E5911" t="str">
        <f>VLOOKUP(C5911,Меню!A:E,4,0)</f>
        <v>Десерт</v>
      </c>
      <c r="F5911">
        <f>VLOOKUP(C5911,Меню!A:E,5,0)</f>
        <v>150</v>
      </c>
    </row>
    <row r="5912" spans="1:6" ht="15.75" hidden="1" customHeight="1" x14ac:dyDescent="0.35">
      <c r="A5912" s="1">
        <v>5911</v>
      </c>
      <c r="B5912" s="1">
        <v>1168</v>
      </c>
      <c r="C5912" s="1">
        <v>25</v>
      </c>
      <c r="D5912" t="str">
        <f>VLOOKUP(B5912,Заказы!A:C,3,0)</f>
        <v>2023-12-12 21:15:00</v>
      </c>
      <c r="E5912" t="str">
        <f>VLOOKUP(C5912,Меню!A:E,4,0)</f>
        <v>Салат</v>
      </c>
      <c r="F5912">
        <f>VLOOKUP(C5912,Меню!A:E,5,0)</f>
        <v>250</v>
      </c>
    </row>
    <row r="5913" spans="1:6" ht="15.75" hidden="1" customHeight="1" x14ac:dyDescent="0.35">
      <c r="A5913" s="1">
        <v>5912</v>
      </c>
      <c r="B5913" s="1">
        <v>1169</v>
      </c>
      <c r="C5913" s="1">
        <v>10</v>
      </c>
      <c r="D5913" t="str">
        <f>VLOOKUP(B5913,Заказы!A:C,3,0)</f>
        <v>2023-12-12 22:48:00</v>
      </c>
      <c r="E5913" t="str">
        <f>VLOOKUP(C5913,Меню!A:E,4,0)</f>
        <v>Завтрак</v>
      </c>
      <c r="F5913">
        <f>VLOOKUP(C5913,Меню!A:E,5,0)</f>
        <v>200</v>
      </c>
    </row>
    <row r="5914" spans="1:6" ht="15.75" hidden="1" customHeight="1" x14ac:dyDescent="0.35">
      <c r="A5914" s="1">
        <v>5913</v>
      </c>
      <c r="B5914" s="1">
        <v>1169</v>
      </c>
      <c r="C5914" s="1">
        <v>2</v>
      </c>
      <c r="D5914" t="str">
        <f>VLOOKUP(B5914,Заказы!A:C,3,0)</f>
        <v>2023-12-12 22:48:00</v>
      </c>
      <c r="E5914" t="str">
        <f>VLOOKUP(C5914,Меню!A:E,4,0)</f>
        <v>Завтрак</v>
      </c>
      <c r="F5914">
        <f>VLOOKUP(C5914,Меню!A:E,5,0)</f>
        <v>250</v>
      </c>
    </row>
    <row r="5915" spans="1:6" ht="15.75" hidden="1" customHeight="1" x14ac:dyDescent="0.35">
      <c r="A5915" s="1">
        <v>5914</v>
      </c>
      <c r="B5915" s="1">
        <v>1169</v>
      </c>
      <c r="C5915" s="1">
        <v>2</v>
      </c>
      <c r="D5915" t="str">
        <f>VLOOKUP(B5915,Заказы!A:C,3,0)</f>
        <v>2023-12-12 22:48:00</v>
      </c>
      <c r="E5915" t="str">
        <f>VLOOKUP(C5915,Меню!A:E,4,0)</f>
        <v>Завтрак</v>
      </c>
      <c r="F5915">
        <f>VLOOKUP(C5915,Меню!A:E,5,0)</f>
        <v>250</v>
      </c>
    </row>
    <row r="5916" spans="1:6" ht="15.75" hidden="1" customHeight="1" x14ac:dyDescent="0.35">
      <c r="A5916" s="1">
        <v>5915</v>
      </c>
      <c r="B5916" s="1">
        <v>1169</v>
      </c>
      <c r="C5916" s="1">
        <v>10</v>
      </c>
      <c r="D5916" t="str">
        <f>VLOOKUP(B5916,Заказы!A:C,3,0)</f>
        <v>2023-12-12 22:48:00</v>
      </c>
      <c r="E5916" t="str">
        <f>VLOOKUP(C5916,Меню!A:E,4,0)</f>
        <v>Завтрак</v>
      </c>
      <c r="F5916">
        <f>VLOOKUP(C5916,Меню!A:E,5,0)</f>
        <v>200</v>
      </c>
    </row>
    <row r="5917" spans="1:6" ht="15.75" hidden="1" customHeight="1" x14ac:dyDescent="0.35">
      <c r="A5917" s="1">
        <v>5916</v>
      </c>
      <c r="B5917" s="1">
        <v>1169</v>
      </c>
      <c r="C5917" s="1">
        <v>26</v>
      </c>
      <c r="D5917" t="str">
        <f>VLOOKUP(B5917,Заказы!A:C,3,0)</f>
        <v>2023-12-12 22:48:00</v>
      </c>
      <c r="E5917" t="str">
        <f>VLOOKUP(C5917,Меню!A:E,4,0)</f>
        <v>Салат</v>
      </c>
      <c r="F5917">
        <f>VLOOKUP(C5917,Меню!A:E,5,0)</f>
        <v>250</v>
      </c>
    </row>
    <row r="5918" spans="1:6" ht="15.75" hidden="1" customHeight="1" x14ac:dyDescent="0.35">
      <c r="A5918" s="1">
        <v>5917</v>
      </c>
      <c r="B5918" s="1">
        <v>1170</v>
      </c>
      <c r="C5918" s="1">
        <v>16</v>
      </c>
      <c r="D5918" t="str">
        <f>VLOOKUP(B5918,Заказы!A:C,3,0)</f>
        <v>2023-12-13 20:39:00</v>
      </c>
      <c r="E5918" t="str">
        <f>VLOOKUP(C5918,Меню!A:E,4,0)</f>
        <v>Первое</v>
      </c>
      <c r="F5918">
        <f>VLOOKUP(C5918,Меню!A:E,5,0)</f>
        <v>250</v>
      </c>
    </row>
    <row r="5919" spans="1:6" ht="15.75" hidden="1" customHeight="1" x14ac:dyDescent="0.35">
      <c r="A5919" s="1">
        <v>5918</v>
      </c>
      <c r="B5919" s="1">
        <v>1170</v>
      </c>
      <c r="C5919" s="1">
        <v>50</v>
      </c>
      <c r="D5919" t="str">
        <f>VLOOKUP(B5919,Заказы!A:C,3,0)</f>
        <v>2023-12-13 20:39:00</v>
      </c>
      <c r="E5919" t="str">
        <f>VLOOKUP(C5919,Меню!A:E,4,0)</f>
        <v>Суши</v>
      </c>
      <c r="F5919">
        <f>VLOOKUP(C5919,Меню!A:E,5,0)</f>
        <v>200</v>
      </c>
    </row>
    <row r="5920" spans="1:6" ht="15.75" hidden="1" customHeight="1" x14ac:dyDescent="0.35">
      <c r="A5920" s="1">
        <v>5919</v>
      </c>
      <c r="B5920" s="1">
        <v>1170</v>
      </c>
      <c r="C5920" s="1">
        <v>51</v>
      </c>
      <c r="D5920" t="str">
        <f>VLOOKUP(B5920,Заказы!A:C,3,0)</f>
        <v>2023-12-13 20:39:00</v>
      </c>
      <c r="E5920" t="str">
        <f>VLOOKUP(C5920,Меню!A:E,4,0)</f>
        <v>Суши</v>
      </c>
      <c r="F5920">
        <f>VLOOKUP(C5920,Меню!A:E,5,0)</f>
        <v>100</v>
      </c>
    </row>
    <row r="5921" spans="1:6" ht="15.75" hidden="1" customHeight="1" x14ac:dyDescent="0.35">
      <c r="A5921" s="1">
        <v>5920</v>
      </c>
      <c r="B5921" s="1">
        <v>1170</v>
      </c>
      <c r="C5921" s="1">
        <v>36</v>
      </c>
      <c r="D5921" t="str">
        <f>VLOOKUP(B5921,Заказы!A:C,3,0)</f>
        <v>2023-12-13 20:39:00</v>
      </c>
      <c r="E5921" t="str">
        <f>VLOOKUP(C5921,Меню!A:E,4,0)</f>
        <v>Десерт</v>
      </c>
      <c r="F5921">
        <f>VLOOKUP(C5921,Меню!A:E,5,0)</f>
        <v>150</v>
      </c>
    </row>
    <row r="5922" spans="1:6" ht="15.75" hidden="1" customHeight="1" x14ac:dyDescent="0.35">
      <c r="A5922" s="1">
        <v>5921</v>
      </c>
      <c r="B5922" s="1">
        <v>1170</v>
      </c>
      <c r="C5922" s="1">
        <v>14</v>
      </c>
      <c r="D5922" t="str">
        <f>VLOOKUP(B5922,Заказы!A:C,3,0)</f>
        <v>2023-12-13 20:39:00</v>
      </c>
      <c r="E5922" t="str">
        <f>VLOOKUP(C5922,Меню!A:E,4,0)</f>
        <v>Первое</v>
      </c>
      <c r="F5922">
        <f>VLOOKUP(C5922,Меню!A:E,5,0)</f>
        <v>350</v>
      </c>
    </row>
    <row r="5923" spans="1:6" ht="15.75" hidden="1" customHeight="1" x14ac:dyDescent="0.35">
      <c r="A5923" s="1">
        <v>5922</v>
      </c>
      <c r="B5923" s="1">
        <v>1170</v>
      </c>
      <c r="C5923" s="1">
        <v>50</v>
      </c>
      <c r="D5923" t="str">
        <f>VLOOKUP(B5923,Заказы!A:C,3,0)</f>
        <v>2023-12-13 20:39:00</v>
      </c>
      <c r="E5923" t="str">
        <f>VLOOKUP(C5923,Меню!A:E,4,0)</f>
        <v>Суши</v>
      </c>
      <c r="F5923">
        <f>VLOOKUP(C5923,Меню!A:E,5,0)</f>
        <v>200</v>
      </c>
    </row>
    <row r="5924" spans="1:6" ht="15.75" hidden="1" customHeight="1" x14ac:dyDescent="0.35">
      <c r="A5924" s="1">
        <v>5923</v>
      </c>
      <c r="B5924" s="1">
        <v>1170</v>
      </c>
      <c r="C5924" s="1">
        <v>18</v>
      </c>
      <c r="D5924" t="str">
        <f>VLOOKUP(B5924,Заказы!A:C,3,0)</f>
        <v>2023-12-13 20:39:00</v>
      </c>
      <c r="E5924" t="str">
        <f>VLOOKUP(C5924,Меню!A:E,4,0)</f>
        <v>Первое</v>
      </c>
      <c r="F5924">
        <f>VLOOKUP(C5924,Меню!A:E,5,0)</f>
        <v>300</v>
      </c>
    </row>
    <row r="5925" spans="1:6" ht="15.75" hidden="1" customHeight="1" x14ac:dyDescent="0.35">
      <c r="A5925" s="1">
        <v>5924</v>
      </c>
      <c r="B5925" s="1">
        <v>1171</v>
      </c>
      <c r="C5925" s="1">
        <v>42</v>
      </c>
      <c r="D5925" t="str">
        <f>VLOOKUP(B5925,Заказы!A:C,3,0)</f>
        <v>2023-12-14 15:26:00</v>
      </c>
      <c r="E5925" t="str">
        <f>VLOOKUP(C5925,Меню!A:E,4,0)</f>
        <v>Суши</v>
      </c>
      <c r="F5925">
        <f>VLOOKUP(C5925,Меню!A:E,5,0)</f>
        <v>250</v>
      </c>
    </row>
    <row r="5926" spans="1:6" ht="15.75" hidden="1" customHeight="1" x14ac:dyDescent="0.35">
      <c r="A5926" s="1">
        <v>5925</v>
      </c>
      <c r="B5926" s="1">
        <v>1171</v>
      </c>
      <c r="C5926" s="1">
        <v>59</v>
      </c>
      <c r="D5926" t="str">
        <f>VLOOKUP(B5926,Заказы!A:C,3,0)</f>
        <v>2023-12-14 15:26:00</v>
      </c>
      <c r="E5926" t="str">
        <f>VLOOKUP(C5926,Меню!A:E,4,0)</f>
        <v>Суши</v>
      </c>
      <c r="F5926">
        <f>VLOOKUP(C5926,Меню!A:E,5,0)</f>
        <v>300</v>
      </c>
    </row>
    <row r="5927" spans="1:6" ht="15.75" hidden="1" customHeight="1" x14ac:dyDescent="0.35">
      <c r="A5927" s="1">
        <v>5926</v>
      </c>
      <c r="B5927" s="1">
        <v>1171</v>
      </c>
      <c r="C5927" s="1">
        <v>9</v>
      </c>
      <c r="D5927" t="str">
        <f>VLOOKUP(B5927,Заказы!A:C,3,0)</f>
        <v>2023-12-14 15:26:00</v>
      </c>
      <c r="E5927" t="str">
        <f>VLOOKUP(C5927,Меню!A:E,4,0)</f>
        <v>Завтрак</v>
      </c>
      <c r="F5927">
        <f>VLOOKUP(C5927,Меню!A:E,5,0)</f>
        <v>220</v>
      </c>
    </row>
    <row r="5928" spans="1:6" ht="15.75" hidden="1" customHeight="1" x14ac:dyDescent="0.35">
      <c r="A5928" s="1">
        <v>5927</v>
      </c>
      <c r="B5928" s="1">
        <v>1171</v>
      </c>
      <c r="C5928" s="1">
        <v>34</v>
      </c>
      <c r="D5928" t="str">
        <f>VLOOKUP(B5928,Заказы!A:C,3,0)</f>
        <v>2023-12-14 15:26:00</v>
      </c>
      <c r="E5928" t="str">
        <f>VLOOKUP(C5928,Меню!A:E,4,0)</f>
        <v>Десерт</v>
      </c>
      <c r="F5928">
        <f>VLOOKUP(C5928,Меню!A:E,5,0)</f>
        <v>150</v>
      </c>
    </row>
    <row r="5929" spans="1:6" ht="15.75" hidden="1" customHeight="1" x14ac:dyDescent="0.35">
      <c r="A5929" s="1">
        <v>5928</v>
      </c>
      <c r="B5929" s="1">
        <v>1171</v>
      </c>
      <c r="C5929" s="1">
        <v>32</v>
      </c>
      <c r="D5929" t="str">
        <f>VLOOKUP(B5929,Заказы!A:C,3,0)</f>
        <v>2023-12-14 15:26:00</v>
      </c>
      <c r="E5929" t="str">
        <f>VLOOKUP(C5929,Меню!A:E,4,0)</f>
        <v>Десерт</v>
      </c>
      <c r="F5929">
        <f>VLOOKUP(C5929,Меню!A:E,5,0)</f>
        <v>150</v>
      </c>
    </row>
    <row r="5930" spans="1:6" ht="15.75" hidden="1" customHeight="1" x14ac:dyDescent="0.35">
      <c r="A5930" s="1">
        <v>5929</v>
      </c>
      <c r="B5930" s="1">
        <v>1171</v>
      </c>
      <c r="C5930" s="1">
        <v>2</v>
      </c>
      <c r="D5930" t="str">
        <f>VLOOKUP(B5930,Заказы!A:C,3,0)</f>
        <v>2023-12-14 15:26:00</v>
      </c>
      <c r="E5930" t="str">
        <f>VLOOKUP(C5930,Меню!A:E,4,0)</f>
        <v>Завтрак</v>
      </c>
      <c r="F5930">
        <f>VLOOKUP(C5930,Меню!A:E,5,0)</f>
        <v>250</v>
      </c>
    </row>
    <row r="5931" spans="1:6" ht="15.75" hidden="1" customHeight="1" x14ac:dyDescent="0.35">
      <c r="A5931" s="1">
        <v>5930</v>
      </c>
      <c r="B5931" s="1">
        <v>1171</v>
      </c>
      <c r="C5931" s="1">
        <v>56</v>
      </c>
      <c r="D5931" t="str">
        <f>VLOOKUP(B5931,Заказы!A:C,3,0)</f>
        <v>2023-12-14 15:26:00</v>
      </c>
      <c r="E5931" t="str">
        <f>VLOOKUP(C5931,Меню!A:E,4,0)</f>
        <v>Суши</v>
      </c>
      <c r="F5931">
        <f>VLOOKUP(C5931,Меню!A:E,5,0)</f>
        <v>200</v>
      </c>
    </row>
    <row r="5932" spans="1:6" ht="15.75" hidden="1" customHeight="1" x14ac:dyDescent="0.35">
      <c r="A5932" s="1">
        <v>5931</v>
      </c>
      <c r="B5932" s="1">
        <v>1172</v>
      </c>
      <c r="C5932" s="1">
        <v>51</v>
      </c>
      <c r="D5932" t="str">
        <f>VLOOKUP(B5932,Заказы!A:C,3,0)</f>
        <v>2023-12-14 16:35:00</v>
      </c>
      <c r="E5932" t="str">
        <f>VLOOKUP(C5932,Меню!A:E,4,0)</f>
        <v>Суши</v>
      </c>
      <c r="F5932">
        <f>VLOOKUP(C5932,Меню!A:E,5,0)</f>
        <v>100</v>
      </c>
    </row>
    <row r="5933" spans="1:6" ht="15.75" hidden="1" customHeight="1" x14ac:dyDescent="0.35">
      <c r="A5933" s="1">
        <v>5932</v>
      </c>
      <c r="B5933" s="1">
        <v>1172</v>
      </c>
      <c r="C5933" s="1">
        <v>42</v>
      </c>
      <c r="D5933" t="str">
        <f>VLOOKUP(B5933,Заказы!A:C,3,0)</f>
        <v>2023-12-14 16:35:00</v>
      </c>
      <c r="E5933" t="str">
        <f>VLOOKUP(C5933,Меню!A:E,4,0)</f>
        <v>Суши</v>
      </c>
      <c r="F5933">
        <f>VLOOKUP(C5933,Меню!A:E,5,0)</f>
        <v>250</v>
      </c>
    </row>
    <row r="5934" spans="1:6" ht="15.75" hidden="1" customHeight="1" x14ac:dyDescent="0.35">
      <c r="A5934" s="1">
        <v>5933</v>
      </c>
      <c r="B5934" s="1">
        <v>1172</v>
      </c>
      <c r="C5934" s="1">
        <v>59</v>
      </c>
      <c r="D5934" t="str">
        <f>VLOOKUP(B5934,Заказы!A:C,3,0)</f>
        <v>2023-12-14 16:35:00</v>
      </c>
      <c r="E5934" t="str">
        <f>VLOOKUP(C5934,Меню!A:E,4,0)</f>
        <v>Суши</v>
      </c>
      <c r="F5934">
        <f>VLOOKUP(C5934,Меню!A:E,5,0)</f>
        <v>300</v>
      </c>
    </row>
    <row r="5935" spans="1:6" ht="15.75" hidden="1" customHeight="1" x14ac:dyDescent="0.35">
      <c r="A5935" s="1">
        <v>5934</v>
      </c>
      <c r="B5935" s="1">
        <v>1172</v>
      </c>
      <c r="C5935" s="1">
        <v>33</v>
      </c>
      <c r="D5935" t="str">
        <f>VLOOKUP(B5935,Заказы!A:C,3,0)</f>
        <v>2023-12-14 16:35:00</v>
      </c>
      <c r="E5935" t="str">
        <f>VLOOKUP(C5935,Меню!A:E,4,0)</f>
        <v>Десерт</v>
      </c>
      <c r="F5935">
        <f>VLOOKUP(C5935,Меню!A:E,5,0)</f>
        <v>150</v>
      </c>
    </row>
    <row r="5936" spans="1:6" ht="15.75" hidden="1" customHeight="1" x14ac:dyDescent="0.35">
      <c r="A5936" s="1">
        <v>5935</v>
      </c>
      <c r="B5936" s="1">
        <v>1172</v>
      </c>
      <c r="C5936" s="1">
        <v>27</v>
      </c>
      <c r="D5936" t="str">
        <f>VLOOKUP(B5936,Заказы!A:C,3,0)</f>
        <v>2023-12-14 16:35:00</v>
      </c>
      <c r="E5936" t="str">
        <f>VLOOKUP(C5936,Меню!A:E,4,0)</f>
        <v>Салат</v>
      </c>
      <c r="F5936">
        <f>VLOOKUP(C5936,Меню!A:E,5,0)</f>
        <v>250</v>
      </c>
    </row>
    <row r="5937" spans="1:6" ht="15.75" hidden="1" customHeight="1" x14ac:dyDescent="0.35">
      <c r="A5937" s="1">
        <v>5936</v>
      </c>
      <c r="B5937" s="1">
        <v>1172</v>
      </c>
      <c r="C5937" s="1">
        <v>18</v>
      </c>
      <c r="D5937" t="str">
        <f>VLOOKUP(B5937,Заказы!A:C,3,0)</f>
        <v>2023-12-14 16:35:00</v>
      </c>
      <c r="E5937" t="str">
        <f>VLOOKUP(C5937,Меню!A:E,4,0)</f>
        <v>Первое</v>
      </c>
      <c r="F5937">
        <f>VLOOKUP(C5937,Меню!A:E,5,0)</f>
        <v>300</v>
      </c>
    </row>
    <row r="5938" spans="1:6" ht="15.75" hidden="1" customHeight="1" x14ac:dyDescent="0.35">
      <c r="A5938" s="1">
        <v>5937</v>
      </c>
      <c r="B5938" s="1">
        <v>1173</v>
      </c>
      <c r="C5938" s="1">
        <v>35</v>
      </c>
      <c r="D5938" t="str">
        <f>VLOOKUP(B5938,Заказы!A:C,3,0)</f>
        <v>2023-12-14 16:50:00</v>
      </c>
      <c r="E5938" t="str">
        <f>VLOOKUP(C5938,Меню!A:E,4,0)</f>
        <v>Десерт</v>
      </c>
      <c r="F5938">
        <f>VLOOKUP(C5938,Меню!A:E,5,0)</f>
        <v>150</v>
      </c>
    </row>
    <row r="5939" spans="1:6" ht="15.75" hidden="1" customHeight="1" x14ac:dyDescent="0.35">
      <c r="A5939" s="1">
        <v>5938</v>
      </c>
      <c r="B5939" s="1">
        <v>1173</v>
      </c>
      <c r="C5939" s="1">
        <v>55</v>
      </c>
      <c r="D5939" t="str">
        <f>VLOOKUP(B5939,Заказы!A:C,3,0)</f>
        <v>2023-12-14 16:50:00</v>
      </c>
      <c r="E5939" t="str">
        <f>VLOOKUP(C5939,Меню!A:E,4,0)</f>
        <v>Суши</v>
      </c>
      <c r="F5939">
        <f>VLOOKUP(C5939,Меню!A:E,5,0)</f>
        <v>100</v>
      </c>
    </row>
    <row r="5940" spans="1:6" ht="15.75" hidden="1" customHeight="1" x14ac:dyDescent="0.35">
      <c r="A5940" s="1">
        <v>5939</v>
      </c>
      <c r="B5940" s="1">
        <v>1173</v>
      </c>
      <c r="C5940" s="1">
        <v>13</v>
      </c>
      <c r="D5940" t="str">
        <f>VLOOKUP(B5940,Заказы!A:C,3,0)</f>
        <v>2023-12-14 16:50:00</v>
      </c>
      <c r="E5940" t="str">
        <f>VLOOKUP(C5940,Меню!A:E,4,0)</f>
        <v>Первое</v>
      </c>
      <c r="F5940">
        <f>VLOOKUP(C5940,Меню!A:E,5,0)</f>
        <v>280</v>
      </c>
    </row>
    <row r="5941" spans="1:6" ht="15.75" hidden="1" customHeight="1" x14ac:dyDescent="0.35">
      <c r="A5941" s="1">
        <v>5940</v>
      </c>
      <c r="B5941" s="1">
        <v>1173</v>
      </c>
      <c r="C5941" s="1">
        <v>50</v>
      </c>
      <c r="D5941" t="str">
        <f>VLOOKUP(B5941,Заказы!A:C,3,0)</f>
        <v>2023-12-14 16:50:00</v>
      </c>
      <c r="E5941" t="str">
        <f>VLOOKUP(C5941,Меню!A:E,4,0)</f>
        <v>Суши</v>
      </c>
      <c r="F5941">
        <f>VLOOKUP(C5941,Меню!A:E,5,0)</f>
        <v>200</v>
      </c>
    </row>
    <row r="5942" spans="1:6" ht="15.75" hidden="1" customHeight="1" x14ac:dyDescent="0.35">
      <c r="A5942" s="1">
        <v>5941</v>
      </c>
      <c r="B5942" s="1">
        <v>1174</v>
      </c>
      <c r="C5942" s="1">
        <v>29</v>
      </c>
      <c r="D5942" t="str">
        <f>VLOOKUP(B5942,Заказы!A:C,3,0)</f>
        <v>2023-12-14 17:43:00</v>
      </c>
      <c r="E5942" t="str">
        <f>VLOOKUP(C5942,Меню!A:E,4,0)</f>
        <v>Салат</v>
      </c>
      <c r="F5942">
        <f>VLOOKUP(C5942,Меню!A:E,5,0)</f>
        <v>250</v>
      </c>
    </row>
    <row r="5943" spans="1:6" ht="15.75" hidden="1" customHeight="1" x14ac:dyDescent="0.35">
      <c r="A5943" s="1">
        <v>5942</v>
      </c>
      <c r="B5943" s="1">
        <v>1174</v>
      </c>
      <c r="C5943" s="1">
        <v>45</v>
      </c>
      <c r="D5943" t="str">
        <f>VLOOKUP(B5943,Заказы!A:C,3,0)</f>
        <v>2023-12-14 17:43:00</v>
      </c>
      <c r="E5943" t="str">
        <f>VLOOKUP(C5943,Меню!A:E,4,0)</f>
        <v>Суши</v>
      </c>
      <c r="F5943">
        <f>VLOOKUP(C5943,Меню!A:E,5,0)</f>
        <v>200</v>
      </c>
    </row>
    <row r="5944" spans="1:6" ht="15.75" hidden="1" customHeight="1" x14ac:dyDescent="0.35">
      <c r="A5944" s="1">
        <v>5943</v>
      </c>
      <c r="B5944" s="1">
        <v>1174</v>
      </c>
      <c r="C5944" s="1">
        <v>58</v>
      </c>
      <c r="D5944" t="str">
        <f>VLOOKUP(B5944,Заказы!A:C,3,0)</f>
        <v>2023-12-14 17:43:00</v>
      </c>
      <c r="E5944" t="str">
        <f>VLOOKUP(C5944,Меню!A:E,4,0)</f>
        <v>Суши</v>
      </c>
      <c r="F5944">
        <f>VLOOKUP(C5944,Меню!A:E,5,0)</f>
        <v>200</v>
      </c>
    </row>
    <row r="5945" spans="1:6" ht="15.75" hidden="1" customHeight="1" x14ac:dyDescent="0.35">
      <c r="A5945" s="1">
        <v>5944</v>
      </c>
      <c r="B5945" s="1">
        <v>1175</v>
      </c>
      <c r="C5945" s="1">
        <v>17</v>
      </c>
      <c r="D5945" t="str">
        <f>VLOOKUP(B5945,Заказы!A:C,3,0)</f>
        <v>2023-12-14 20:28:00</v>
      </c>
      <c r="E5945" t="str">
        <f>VLOOKUP(C5945,Меню!A:E,4,0)</f>
        <v>Первое</v>
      </c>
      <c r="F5945">
        <f>VLOOKUP(C5945,Меню!A:E,5,0)</f>
        <v>250</v>
      </c>
    </row>
    <row r="5946" spans="1:6" ht="15.75" hidden="1" customHeight="1" x14ac:dyDescent="0.35">
      <c r="A5946" s="1">
        <v>5945</v>
      </c>
      <c r="B5946" s="1">
        <v>1175</v>
      </c>
      <c r="C5946" s="1">
        <v>41</v>
      </c>
      <c r="D5946" t="str">
        <f>VLOOKUP(B5946,Заказы!A:C,3,0)</f>
        <v>2023-12-14 20:28:00</v>
      </c>
      <c r="E5946" t="str">
        <f>VLOOKUP(C5946,Меню!A:E,4,0)</f>
        <v>Суши</v>
      </c>
      <c r="F5946">
        <f>VLOOKUP(C5946,Меню!A:E,5,0)</f>
        <v>220</v>
      </c>
    </row>
    <row r="5947" spans="1:6" ht="15.75" hidden="1" customHeight="1" x14ac:dyDescent="0.35">
      <c r="A5947" s="1">
        <v>5946</v>
      </c>
      <c r="B5947" s="1">
        <v>1175</v>
      </c>
      <c r="C5947" s="1">
        <v>59</v>
      </c>
      <c r="D5947" t="str">
        <f>VLOOKUP(B5947,Заказы!A:C,3,0)</f>
        <v>2023-12-14 20:28:00</v>
      </c>
      <c r="E5947" t="str">
        <f>VLOOKUP(C5947,Меню!A:E,4,0)</f>
        <v>Суши</v>
      </c>
      <c r="F5947">
        <f>VLOOKUP(C5947,Меню!A:E,5,0)</f>
        <v>300</v>
      </c>
    </row>
    <row r="5948" spans="1:6" ht="15.75" hidden="1" customHeight="1" x14ac:dyDescent="0.35">
      <c r="A5948" s="1">
        <v>5947</v>
      </c>
      <c r="B5948" s="1">
        <v>1175</v>
      </c>
      <c r="C5948" s="1">
        <v>54</v>
      </c>
      <c r="D5948" t="str">
        <f>VLOOKUP(B5948,Заказы!A:C,3,0)</f>
        <v>2023-12-14 20:28:00</v>
      </c>
      <c r="E5948" t="str">
        <f>VLOOKUP(C5948,Меню!A:E,4,0)</f>
        <v>Суши</v>
      </c>
      <c r="F5948">
        <f>VLOOKUP(C5948,Меню!A:E,5,0)</f>
        <v>100</v>
      </c>
    </row>
    <row r="5949" spans="1:6" ht="15.75" hidden="1" customHeight="1" x14ac:dyDescent="0.35">
      <c r="A5949" s="1">
        <v>5948</v>
      </c>
      <c r="B5949" s="1">
        <v>1175</v>
      </c>
      <c r="C5949" s="1">
        <v>9</v>
      </c>
      <c r="D5949" t="str">
        <f>VLOOKUP(B5949,Заказы!A:C,3,0)</f>
        <v>2023-12-14 20:28:00</v>
      </c>
      <c r="E5949" t="str">
        <f>VLOOKUP(C5949,Меню!A:E,4,0)</f>
        <v>Завтрак</v>
      </c>
      <c r="F5949">
        <f>VLOOKUP(C5949,Меню!A:E,5,0)</f>
        <v>220</v>
      </c>
    </row>
    <row r="5950" spans="1:6" ht="15.75" hidden="1" customHeight="1" x14ac:dyDescent="0.35">
      <c r="A5950" s="1">
        <v>5949</v>
      </c>
      <c r="B5950" s="1">
        <v>1175</v>
      </c>
      <c r="C5950" s="1">
        <v>19</v>
      </c>
      <c r="D5950" t="str">
        <f>VLOOKUP(B5950,Заказы!A:C,3,0)</f>
        <v>2023-12-14 20:28:00</v>
      </c>
      <c r="E5950" t="str">
        <f>VLOOKUP(C5950,Меню!A:E,4,0)</f>
        <v>Первое</v>
      </c>
      <c r="F5950">
        <f>VLOOKUP(C5950,Меню!A:E,5,0)</f>
        <v>300</v>
      </c>
    </row>
    <row r="5951" spans="1:6" ht="15.75" hidden="1" customHeight="1" x14ac:dyDescent="0.35">
      <c r="A5951" s="1">
        <v>5950</v>
      </c>
      <c r="B5951" s="1">
        <v>1176</v>
      </c>
      <c r="C5951" s="1">
        <v>17</v>
      </c>
      <c r="D5951" t="str">
        <f>VLOOKUP(B5951,Заказы!A:C,3,0)</f>
        <v>2023-12-14 21:27:00</v>
      </c>
      <c r="E5951" t="str">
        <f>VLOOKUP(C5951,Меню!A:E,4,0)</f>
        <v>Первое</v>
      </c>
      <c r="F5951">
        <f>VLOOKUP(C5951,Меню!A:E,5,0)</f>
        <v>250</v>
      </c>
    </row>
    <row r="5952" spans="1:6" ht="15.75" hidden="1" customHeight="1" x14ac:dyDescent="0.35">
      <c r="A5952" s="1">
        <v>5951</v>
      </c>
      <c r="B5952" s="1">
        <v>1176</v>
      </c>
      <c r="C5952" s="1">
        <v>28</v>
      </c>
      <c r="D5952" t="str">
        <f>VLOOKUP(B5952,Заказы!A:C,3,0)</f>
        <v>2023-12-14 21:27:00</v>
      </c>
      <c r="E5952" t="str">
        <f>VLOOKUP(C5952,Меню!A:E,4,0)</f>
        <v>Салат</v>
      </c>
      <c r="F5952">
        <f>VLOOKUP(C5952,Меню!A:E,5,0)</f>
        <v>250</v>
      </c>
    </row>
    <row r="5953" spans="1:6" ht="15.75" hidden="1" customHeight="1" x14ac:dyDescent="0.35">
      <c r="A5953" s="1">
        <v>5952</v>
      </c>
      <c r="B5953" s="1">
        <v>1176</v>
      </c>
      <c r="C5953" s="1">
        <v>60</v>
      </c>
      <c r="D5953" t="str">
        <f>VLOOKUP(B5953,Заказы!A:C,3,0)</f>
        <v>2023-12-14 21:27:00</v>
      </c>
      <c r="E5953" t="str">
        <f>VLOOKUP(C5953,Меню!A:E,4,0)</f>
        <v>Суши</v>
      </c>
      <c r="F5953">
        <f>VLOOKUP(C5953,Меню!A:E,5,0)</f>
        <v>250</v>
      </c>
    </row>
    <row r="5954" spans="1:6" ht="15.75" hidden="1" customHeight="1" x14ac:dyDescent="0.35">
      <c r="A5954" s="1">
        <v>5953</v>
      </c>
      <c r="B5954" s="1">
        <v>1176</v>
      </c>
      <c r="C5954" s="1">
        <v>2</v>
      </c>
      <c r="D5954" t="str">
        <f>VLOOKUP(B5954,Заказы!A:C,3,0)</f>
        <v>2023-12-14 21:27:00</v>
      </c>
      <c r="E5954" t="str">
        <f>VLOOKUP(C5954,Меню!A:E,4,0)</f>
        <v>Завтрак</v>
      </c>
      <c r="F5954">
        <f>VLOOKUP(C5954,Меню!A:E,5,0)</f>
        <v>250</v>
      </c>
    </row>
    <row r="5955" spans="1:6" ht="15.75" hidden="1" customHeight="1" x14ac:dyDescent="0.35">
      <c r="A5955" s="1">
        <v>5954</v>
      </c>
      <c r="B5955" s="1">
        <v>1176</v>
      </c>
      <c r="C5955" s="1">
        <v>14</v>
      </c>
      <c r="D5955" t="str">
        <f>VLOOKUP(B5955,Заказы!A:C,3,0)</f>
        <v>2023-12-14 21:27:00</v>
      </c>
      <c r="E5955" t="str">
        <f>VLOOKUP(C5955,Меню!A:E,4,0)</f>
        <v>Первое</v>
      </c>
      <c r="F5955">
        <f>VLOOKUP(C5955,Меню!A:E,5,0)</f>
        <v>350</v>
      </c>
    </row>
    <row r="5956" spans="1:6" ht="15.75" hidden="1" customHeight="1" x14ac:dyDescent="0.35">
      <c r="A5956" s="1">
        <v>5955</v>
      </c>
      <c r="B5956" s="1">
        <v>1176</v>
      </c>
      <c r="C5956" s="1">
        <v>54</v>
      </c>
      <c r="D5956" t="str">
        <f>VLOOKUP(B5956,Заказы!A:C,3,0)</f>
        <v>2023-12-14 21:27:00</v>
      </c>
      <c r="E5956" t="str">
        <f>VLOOKUP(C5956,Меню!A:E,4,0)</f>
        <v>Суши</v>
      </c>
      <c r="F5956">
        <f>VLOOKUP(C5956,Меню!A:E,5,0)</f>
        <v>100</v>
      </c>
    </row>
    <row r="5957" spans="1:6" ht="15.75" hidden="1" customHeight="1" x14ac:dyDescent="0.35">
      <c r="A5957" s="1">
        <v>5956</v>
      </c>
      <c r="B5957" s="1">
        <v>1176</v>
      </c>
      <c r="C5957" s="1">
        <v>46</v>
      </c>
      <c r="D5957" t="str">
        <f>VLOOKUP(B5957,Заказы!A:C,3,0)</f>
        <v>2023-12-14 21:27:00</v>
      </c>
      <c r="E5957" t="str">
        <f>VLOOKUP(C5957,Меню!A:E,4,0)</f>
        <v>Суши</v>
      </c>
      <c r="F5957">
        <f>VLOOKUP(C5957,Меню!A:E,5,0)</f>
        <v>200</v>
      </c>
    </row>
    <row r="5958" spans="1:6" ht="15.75" hidden="1" customHeight="1" x14ac:dyDescent="0.35">
      <c r="A5958" s="1">
        <v>5957</v>
      </c>
      <c r="B5958" s="1">
        <v>1176</v>
      </c>
      <c r="C5958" s="1">
        <v>8</v>
      </c>
      <c r="D5958" t="str">
        <f>VLOOKUP(B5958,Заказы!A:C,3,0)</f>
        <v>2023-12-14 21:27:00</v>
      </c>
      <c r="E5958" t="str">
        <f>VLOOKUP(C5958,Меню!A:E,4,0)</f>
        <v>Завтрак</v>
      </c>
      <c r="F5958">
        <f>VLOOKUP(C5958,Меню!A:E,5,0)</f>
        <v>180</v>
      </c>
    </row>
    <row r="5959" spans="1:6" ht="15.75" hidden="1" customHeight="1" x14ac:dyDescent="0.35">
      <c r="A5959" s="1">
        <v>5958</v>
      </c>
      <c r="B5959" s="1">
        <v>1177</v>
      </c>
      <c r="C5959" s="1">
        <v>15</v>
      </c>
      <c r="D5959" t="str">
        <f>VLOOKUP(B5959,Заказы!A:C,3,0)</f>
        <v>2023-12-15 17:15:00</v>
      </c>
      <c r="E5959" t="str">
        <f>VLOOKUP(C5959,Меню!A:E,4,0)</f>
        <v>Первое</v>
      </c>
      <c r="F5959">
        <f>VLOOKUP(C5959,Меню!A:E,5,0)</f>
        <v>250</v>
      </c>
    </row>
    <row r="5960" spans="1:6" ht="15.75" hidden="1" customHeight="1" x14ac:dyDescent="0.35">
      <c r="A5960" s="1">
        <v>5959</v>
      </c>
      <c r="B5960" s="1">
        <v>1177</v>
      </c>
      <c r="C5960" s="1">
        <v>8</v>
      </c>
      <c r="D5960" t="str">
        <f>VLOOKUP(B5960,Заказы!A:C,3,0)</f>
        <v>2023-12-15 17:15:00</v>
      </c>
      <c r="E5960" t="str">
        <f>VLOOKUP(C5960,Меню!A:E,4,0)</f>
        <v>Завтрак</v>
      </c>
      <c r="F5960">
        <f>VLOOKUP(C5960,Меню!A:E,5,0)</f>
        <v>180</v>
      </c>
    </row>
    <row r="5961" spans="1:6" ht="15.75" hidden="1" customHeight="1" x14ac:dyDescent="0.35">
      <c r="A5961" s="1">
        <v>5960</v>
      </c>
      <c r="B5961" s="1">
        <v>1177</v>
      </c>
      <c r="C5961" s="1">
        <v>52</v>
      </c>
      <c r="D5961" t="str">
        <f>VLOOKUP(B5961,Заказы!A:C,3,0)</f>
        <v>2023-12-15 17:15:00</v>
      </c>
      <c r="E5961" t="str">
        <f>VLOOKUP(C5961,Меню!A:E,4,0)</f>
        <v>Суши</v>
      </c>
      <c r="F5961">
        <f>VLOOKUP(C5961,Меню!A:E,5,0)</f>
        <v>100</v>
      </c>
    </row>
    <row r="5962" spans="1:6" ht="15.75" hidden="1" customHeight="1" x14ac:dyDescent="0.35">
      <c r="A5962" s="1">
        <v>5961</v>
      </c>
      <c r="B5962" s="1">
        <v>1177</v>
      </c>
      <c r="C5962" s="1">
        <v>14</v>
      </c>
      <c r="D5962" t="str">
        <f>VLOOKUP(B5962,Заказы!A:C,3,0)</f>
        <v>2023-12-15 17:15:00</v>
      </c>
      <c r="E5962" t="str">
        <f>VLOOKUP(C5962,Меню!A:E,4,0)</f>
        <v>Первое</v>
      </c>
      <c r="F5962">
        <f>VLOOKUP(C5962,Меню!A:E,5,0)</f>
        <v>350</v>
      </c>
    </row>
    <row r="5963" spans="1:6" ht="15.75" hidden="1" customHeight="1" x14ac:dyDescent="0.35">
      <c r="A5963" s="1">
        <v>5962</v>
      </c>
      <c r="B5963" s="1">
        <v>1178</v>
      </c>
      <c r="C5963" s="1">
        <v>28</v>
      </c>
      <c r="D5963" t="str">
        <f>VLOOKUP(B5963,Заказы!A:C,3,0)</f>
        <v>2023-12-15 18:24:00</v>
      </c>
      <c r="E5963" t="str">
        <f>VLOOKUP(C5963,Меню!A:E,4,0)</f>
        <v>Салат</v>
      </c>
      <c r="F5963">
        <f>VLOOKUP(C5963,Меню!A:E,5,0)</f>
        <v>250</v>
      </c>
    </row>
    <row r="5964" spans="1:6" ht="15.75" hidden="1" customHeight="1" x14ac:dyDescent="0.35">
      <c r="A5964" s="1">
        <v>5963</v>
      </c>
      <c r="B5964" s="1">
        <v>1178</v>
      </c>
      <c r="C5964" s="1">
        <v>1</v>
      </c>
      <c r="D5964" t="str">
        <f>VLOOKUP(B5964,Заказы!A:C,3,0)</f>
        <v>2023-12-15 18:24:00</v>
      </c>
      <c r="E5964" t="str">
        <f>VLOOKUP(C5964,Меню!A:E,4,0)</f>
        <v>Завтрак</v>
      </c>
      <c r="F5964">
        <f>VLOOKUP(C5964,Меню!A:E,5,0)</f>
        <v>200</v>
      </c>
    </row>
    <row r="5965" spans="1:6" ht="15.75" hidden="1" customHeight="1" x14ac:dyDescent="0.35">
      <c r="A5965" s="1">
        <v>5964</v>
      </c>
      <c r="B5965" s="1">
        <v>1178</v>
      </c>
      <c r="C5965" s="1">
        <v>2</v>
      </c>
      <c r="D5965" t="str">
        <f>VLOOKUP(B5965,Заказы!A:C,3,0)</f>
        <v>2023-12-15 18:24:00</v>
      </c>
      <c r="E5965" t="str">
        <f>VLOOKUP(C5965,Меню!A:E,4,0)</f>
        <v>Завтрак</v>
      </c>
      <c r="F5965">
        <f>VLOOKUP(C5965,Меню!A:E,5,0)</f>
        <v>250</v>
      </c>
    </row>
    <row r="5966" spans="1:6" ht="15.75" hidden="1" customHeight="1" x14ac:dyDescent="0.35">
      <c r="A5966" s="1">
        <v>5965</v>
      </c>
      <c r="B5966" s="1">
        <v>1179</v>
      </c>
      <c r="C5966" s="1">
        <v>27</v>
      </c>
      <c r="D5966" t="str">
        <f>VLOOKUP(B5966,Заказы!A:C,3,0)</f>
        <v>2023-12-15 21:43:00</v>
      </c>
      <c r="E5966" t="str">
        <f>VLOOKUP(C5966,Меню!A:E,4,0)</f>
        <v>Салат</v>
      </c>
      <c r="F5966">
        <f>VLOOKUP(C5966,Меню!A:E,5,0)</f>
        <v>250</v>
      </c>
    </row>
    <row r="5967" spans="1:6" ht="15.75" hidden="1" customHeight="1" x14ac:dyDescent="0.35">
      <c r="A5967" s="1">
        <v>5966</v>
      </c>
      <c r="B5967" s="1">
        <v>1180</v>
      </c>
      <c r="C5967" s="1">
        <v>2</v>
      </c>
      <c r="D5967" t="str">
        <f>VLOOKUP(B5967,Заказы!A:C,3,0)</f>
        <v>2023-12-15 22:38:00</v>
      </c>
      <c r="E5967" t="str">
        <f>VLOOKUP(C5967,Меню!A:E,4,0)</f>
        <v>Завтрак</v>
      </c>
      <c r="F5967">
        <f>VLOOKUP(C5967,Меню!A:E,5,0)</f>
        <v>250</v>
      </c>
    </row>
    <row r="5968" spans="1:6" ht="15.75" hidden="1" customHeight="1" x14ac:dyDescent="0.35">
      <c r="A5968" s="1">
        <v>5967</v>
      </c>
      <c r="B5968" s="1">
        <v>1180</v>
      </c>
      <c r="C5968" s="1">
        <v>32</v>
      </c>
      <c r="D5968" t="str">
        <f>VLOOKUP(B5968,Заказы!A:C,3,0)</f>
        <v>2023-12-15 22:38:00</v>
      </c>
      <c r="E5968" t="str">
        <f>VLOOKUP(C5968,Меню!A:E,4,0)</f>
        <v>Десерт</v>
      </c>
      <c r="F5968">
        <f>VLOOKUP(C5968,Меню!A:E,5,0)</f>
        <v>150</v>
      </c>
    </row>
    <row r="5969" spans="1:6" ht="15.75" hidden="1" customHeight="1" x14ac:dyDescent="0.35">
      <c r="A5969" s="1">
        <v>5968</v>
      </c>
      <c r="B5969" s="1">
        <v>1180</v>
      </c>
      <c r="C5969" s="1">
        <v>34</v>
      </c>
      <c r="D5969" t="str">
        <f>VLOOKUP(B5969,Заказы!A:C,3,0)</f>
        <v>2023-12-15 22:38:00</v>
      </c>
      <c r="E5969" t="str">
        <f>VLOOKUP(C5969,Меню!A:E,4,0)</f>
        <v>Десерт</v>
      </c>
      <c r="F5969">
        <f>VLOOKUP(C5969,Меню!A:E,5,0)</f>
        <v>150</v>
      </c>
    </row>
    <row r="5970" spans="1:6" ht="15.75" hidden="1" customHeight="1" x14ac:dyDescent="0.35">
      <c r="A5970" s="1">
        <v>5969</v>
      </c>
      <c r="B5970" s="1">
        <v>1180</v>
      </c>
      <c r="C5970" s="1">
        <v>54</v>
      </c>
      <c r="D5970" t="str">
        <f>VLOOKUP(B5970,Заказы!A:C,3,0)</f>
        <v>2023-12-15 22:38:00</v>
      </c>
      <c r="E5970" t="str">
        <f>VLOOKUP(C5970,Меню!A:E,4,0)</f>
        <v>Суши</v>
      </c>
      <c r="F5970">
        <f>VLOOKUP(C5970,Меню!A:E,5,0)</f>
        <v>100</v>
      </c>
    </row>
    <row r="5971" spans="1:6" ht="15.75" hidden="1" customHeight="1" x14ac:dyDescent="0.35">
      <c r="A5971" s="1">
        <v>5970</v>
      </c>
      <c r="B5971" s="1">
        <v>1180</v>
      </c>
      <c r="C5971" s="1">
        <v>12</v>
      </c>
      <c r="D5971" t="str">
        <f>VLOOKUP(B5971,Заказы!A:C,3,0)</f>
        <v>2023-12-15 22:38:00</v>
      </c>
      <c r="E5971" t="str">
        <f>VLOOKUP(C5971,Меню!A:E,4,0)</f>
        <v>Первое</v>
      </c>
      <c r="F5971">
        <f>VLOOKUP(C5971,Меню!A:E,5,0)</f>
        <v>300</v>
      </c>
    </row>
    <row r="5972" spans="1:6" ht="15.75" hidden="1" customHeight="1" x14ac:dyDescent="0.35">
      <c r="A5972" s="1">
        <v>5971</v>
      </c>
      <c r="B5972" s="1">
        <v>1181</v>
      </c>
      <c r="C5972" s="1">
        <v>18</v>
      </c>
      <c r="D5972" t="str">
        <f>VLOOKUP(B5972,Заказы!A:C,3,0)</f>
        <v>2023-12-16 15:57:00</v>
      </c>
      <c r="E5972" t="str">
        <f>VLOOKUP(C5972,Меню!A:E,4,0)</f>
        <v>Первое</v>
      </c>
      <c r="F5972">
        <f>VLOOKUP(C5972,Меню!A:E,5,0)</f>
        <v>300</v>
      </c>
    </row>
    <row r="5973" spans="1:6" ht="15.75" hidden="1" customHeight="1" x14ac:dyDescent="0.35">
      <c r="A5973" s="1">
        <v>5972</v>
      </c>
      <c r="B5973" s="1">
        <v>1181</v>
      </c>
      <c r="C5973" s="1">
        <v>54</v>
      </c>
      <c r="D5973" t="str">
        <f>VLOOKUP(B5973,Заказы!A:C,3,0)</f>
        <v>2023-12-16 15:57:00</v>
      </c>
      <c r="E5973" t="str">
        <f>VLOOKUP(C5973,Меню!A:E,4,0)</f>
        <v>Суши</v>
      </c>
      <c r="F5973">
        <f>VLOOKUP(C5973,Меню!A:E,5,0)</f>
        <v>100</v>
      </c>
    </row>
    <row r="5974" spans="1:6" ht="15.75" hidden="1" customHeight="1" x14ac:dyDescent="0.35">
      <c r="A5974" s="1">
        <v>5973</v>
      </c>
      <c r="B5974" s="1">
        <v>1181</v>
      </c>
      <c r="C5974" s="1">
        <v>27</v>
      </c>
      <c r="D5974" t="str">
        <f>VLOOKUP(B5974,Заказы!A:C,3,0)</f>
        <v>2023-12-16 15:57:00</v>
      </c>
      <c r="E5974" t="str">
        <f>VLOOKUP(C5974,Меню!A:E,4,0)</f>
        <v>Салат</v>
      </c>
      <c r="F5974">
        <f>VLOOKUP(C5974,Меню!A:E,5,0)</f>
        <v>250</v>
      </c>
    </row>
    <row r="5975" spans="1:6" ht="15.75" hidden="1" customHeight="1" x14ac:dyDescent="0.35">
      <c r="A5975" s="1">
        <v>5974</v>
      </c>
      <c r="B5975" s="1">
        <v>1181</v>
      </c>
      <c r="C5975" s="1">
        <v>23</v>
      </c>
      <c r="D5975" t="str">
        <f>VLOOKUP(B5975,Заказы!A:C,3,0)</f>
        <v>2023-12-16 15:57:00</v>
      </c>
      <c r="E5975" t="str">
        <f>VLOOKUP(C5975,Меню!A:E,4,0)</f>
        <v>Салат</v>
      </c>
      <c r="F5975">
        <f>VLOOKUP(C5975,Меню!A:E,5,0)</f>
        <v>250</v>
      </c>
    </row>
    <row r="5976" spans="1:6" ht="15.75" hidden="1" customHeight="1" x14ac:dyDescent="0.35">
      <c r="A5976" s="1">
        <v>5975</v>
      </c>
      <c r="B5976" s="1">
        <v>1182</v>
      </c>
      <c r="C5976" s="1">
        <v>37</v>
      </c>
      <c r="D5976" t="str">
        <f>VLOOKUP(B5976,Заказы!A:C,3,0)</f>
        <v>2023-12-16 16:53:00</v>
      </c>
      <c r="E5976" t="str">
        <f>VLOOKUP(C5976,Меню!A:E,4,0)</f>
        <v>Десерт</v>
      </c>
      <c r="F5976">
        <f>VLOOKUP(C5976,Меню!A:E,5,0)</f>
        <v>100</v>
      </c>
    </row>
    <row r="5977" spans="1:6" ht="15.75" hidden="1" customHeight="1" x14ac:dyDescent="0.35">
      <c r="A5977" s="1">
        <v>5976</v>
      </c>
      <c r="B5977" s="1">
        <v>1182</v>
      </c>
      <c r="C5977" s="1">
        <v>2</v>
      </c>
      <c r="D5977" t="str">
        <f>VLOOKUP(B5977,Заказы!A:C,3,0)</f>
        <v>2023-12-16 16:53:00</v>
      </c>
      <c r="E5977" t="str">
        <f>VLOOKUP(C5977,Меню!A:E,4,0)</f>
        <v>Завтрак</v>
      </c>
      <c r="F5977">
        <f>VLOOKUP(C5977,Меню!A:E,5,0)</f>
        <v>250</v>
      </c>
    </row>
    <row r="5978" spans="1:6" ht="15.75" hidden="1" customHeight="1" x14ac:dyDescent="0.35">
      <c r="A5978" s="1">
        <v>5977</v>
      </c>
      <c r="B5978" s="1">
        <v>1182</v>
      </c>
      <c r="C5978" s="1">
        <v>48</v>
      </c>
      <c r="D5978" t="str">
        <f>VLOOKUP(B5978,Заказы!A:C,3,0)</f>
        <v>2023-12-16 16:53:00</v>
      </c>
      <c r="E5978" t="str">
        <f>VLOOKUP(C5978,Меню!A:E,4,0)</f>
        <v>Суши</v>
      </c>
      <c r="F5978">
        <f>VLOOKUP(C5978,Меню!A:E,5,0)</f>
        <v>200</v>
      </c>
    </row>
    <row r="5979" spans="1:6" ht="15.75" hidden="1" customHeight="1" x14ac:dyDescent="0.35">
      <c r="A5979" s="1">
        <v>5978</v>
      </c>
      <c r="B5979" s="1">
        <v>1182</v>
      </c>
      <c r="C5979" s="1">
        <v>28</v>
      </c>
      <c r="D5979" t="str">
        <f>VLOOKUP(B5979,Заказы!A:C,3,0)</f>
        <v>2023-12-16 16:53:00</v>
      </c>
      <c r="E5979" t="str">
        <f>VLOOKUP(C5979,Меню!A:E,4,0)</f>
        <v>Салат</v>
      </c>
      <c r="F5979">
        <f>VLOOKUP(C5979,Меню!A:E,5,0)</f>
        <v>250</v>
      </c>
    </row>
    <row r="5980" spans="1:6" ht="15.75" hidden="1" customHeight="1" x14ac:dyDescent="0.35">
      <c r="A5980" s="1">
        <v>5979</v>
      </c>
      <c r="B5980" s="1">
        <v>1182</v>
      </c>
      <c r="C5980" s="1">
        <v>58</v>
      </c>
      <c r="D5980" t="str">
        <f>VLOOKUP(B5980,Заказы!A:C,3,0)</f>
        <v>2023-12-16 16:53:00</v>
      </c>
      <c r="E5980" t="str">
        <f>VLOOKUP(C5980,Меню!A:E,4,0)</f>
        <v>Суши</v>
      </c>
      <c r="F5980">
        <f>VLOOKUP(C5980,Меню!A:E,5,0)</f>
        <v>200</v>
      </c>
    </row>
    <row r="5981" spans="1:6" ht="15.75" hidden="1" customHeight="1" x14ac:dyDescent="0.35">
      <c r="A5981" s="1">
        <v>5980</v>
      </c>
      <c r="B5981" s="1">
        <v>1182</v>
      </c>
      <c r="C5981" s="1">
        <v>10</v>
      </c>
      <c r="D5981" t="str">
        <f>VLOOKUP(B5981,Заказы!A:C,3,0)</f>
        <v>2023-12-16 16:53:00</v>
      </c>
      <c r="E5981" t="str">
        <f>VLOOKUP(C5981,Меню!A:E,4,0)</f>
        <v>Завтрак</v>
      </c>
      <c r="F5981">
        <f>VLOOKUP(C5981,Меню!A:E,5,0)</f>
        <v>200</v>
      </c>
    </row>
    <row r="5982" spans="1:6" ht="15.75" hidden="1" customHeight="1" x14ac:dyDescent="0.35">
      <c r="A5982" s="1">
        <v>5981</v>
      </c>
      <c r="B5982" s="1">
        <v>1183</v>
      </c>
      <c r="C5982" s="1">
        <v>43</v>
      </c>
      <c r="D5982" t="str">
        <f>VLOOKUP(B5982,Заказы!A:C,3,0)</f>
        <v>2023-12-16 20:36:00</v>
      </c>
      <c r="E5982" t="str">
        <f>VLOOKUP(C5982,Меню!A:E,4,0)</f>
        <v>Суши</v>
      </c>
      <c r="F5982">
        <f>VLOOKUP(C5982,Меню!A:E,5,0)</f>
        <v>250</v>
      </c>
    </row>
    <row r="5983" spans="1:6" ht="15.75" hidden="1" customHeight="1" x14ac:dyDescent="0.35">
      <c r="A5983" s="1">
        <v>5982</v>
      </c>
      <c r="B5983" s="1">
        <v>1183</v>
      </c>
      <c r="C5983" s="1">
        <v>32</v>
      </c>
      <c r="D5983" t="str">
        <f>VLOOKUP(B5983,Заказы!A:C,3,0)</f>
        <v>2023-12-16 20:36:00</v>
      </c>
      <c r="E5983" t="str">
        <f>VLOOKUP(C5983,Меню!A:E,4,0)</f>
        <v>Десерт</v>
      </c>
      <c r="F5983">
        <f>VLOOKUP(C5983,Меню!A:E,5,0)</f>
        <v>150</v>
      </c>
    </row>
    <row r="5984" spans="1:6" ht="15.75" hidden="1" customHeight="1" x14ac:dyDescent="0.35">
      <c r="A5984" s="1">
        <v>5983</v>
      </c>
      <c r="B5984" s="1">
        <v>1184</v>
      </c>
      <c r="C5984" s="1">
        <v>42</v>
      </c>
      <c r="D5984" t="str">
        <f>VLOOKUP(B5984,Заказы!A:C,3,0)</f>
        <v>2023-12-16 21:23:00</v>
      </c>
      <c r="E5984" t="str">
        <f>VLOOKUP(C5984,Меню!A:E,4,0)</f>
        <v>Суши</v>
      </c>
      <c r="F5984">
        <f>VLOOKUP(C5984,Меню!A:E,5,0)</f>
        <v>250</v>
      </c>
    </row>
    <row r="5985" spans="1:6" ht="15.75" hidden="1" customHeight="1" x14ac:dyDescent="0.35">
      <c r="A5985" s="1">
        <v>5984</v>
      </c>
      <c r="B5985" s="1">
        <v>1185</v>
      </c>
      <c r="C5985" s="1">
        <v>7</v>
      </c>
      <c r="D5985" t="str">
        <f>VLOOKUP(B5985,Заказы!A:C,3,0)</f>
        <v>2023-12-17 17:42:00</v>
      </c>
      <c r="E5985" t="str">
        <f>VLOOKUP(C5985,Меню!A:E,4,0)</f>
        <v>Завтрак</v>
      </c>
      <c r="F5985">
        <f>VLOOKUP(C5985,Меню!A:E,5,0)</f>
        <v>200</v>
      </c>
    </row>
    <row r="5986" spans="1:6" ht="15.75" hidden="1" customHeight="1" x14ac:dyDescent="0.35">
      <c r="A5986" s="1">
        <v>5985</v>
      </c>
      <c r="B5986" s="1">
        <v>1185</v>
      </c>
      <c r="C5986" s="1">
        <v>8</v>
      </c>
      <c r="D5986" t="str">
        <f>VLOOKUP(B5986,Заказы!A:C,3,0)</f>
        <v>2023-12-17 17:42:00</v>
      </c>
      <c r="E5986" t="str">
        <f>VLOOKUP(C5986,Меню!A:E,4,0)</f>
        <v>Завтрак</v>
      </c>
      <c r="F5986">
        <f>VLOOKUP(C5986,Меню!A:E,5,0)</f>
        <v>180</v>
      </c>
    </row>
    <row r="5987" spans="1:6" ht="15.75" hidden="1" customHeight="1" x14ac:dyDescent="0.35">
      <c r="A5987" s="1">
        <v>5986</v>
      </c>
      <c r="B5987" s="1">
        <v>1185</v>
      </c>
      <c r="C5987" s="1">
        <v>16</v>
      </c>
      <c r="D5987" t="str">
        <f>VLOOKUP(B5987,Заказы!A:C,3,0)</f>
        <v>2023-12-17 17:42:00</v>
      </c>
      <c r="E5987" t="str">
        <f>VLOOKUP(C5987,Меню!A:E,4,0)</f>
        <v>Первое</v>
      </c>
      <c r="F5987">
        <f>VLOOKUP(C5987,Меню!A:E,5,0)</f>
        <v>250</v>
      </c>
    </row>
    <row r="5988" spans="1:6" ht="15.75" hidden="1" customHeight="1" x14ac:dyDescent="0.35">
      <c r="A5988" s="1">
        <v>5987</v>
      </c>
      <c r="B5988" s="1">
        <v>1185</v>
      </c>
      <c r="C5988" s="1">
        <v>47</v>
      </c>
      <c r="D5988" t="str">
        <f>VLOOKUP(B5988,Заказы!A:C,3,0)</f>
        <v>2023-12-17 17:42:00</v>
      </c>
      <c r="E5988" t="str">
        <f>VLOOKUP(C5988,Меню!A:E,4,0)</f>
        <v>Суши</v>
      </c>
      <c r="F5988">
        <f>VLOOKUP(C5988,Меню!A:E,5,0)</f>
        <v>200</v>
      </c>
    </row>
    <row r="5989" spans="1:6" ht="15.75" hidden="1" customHeight="1" x14ac:dyDescent="0.35">
      <c r="A5989" s="1">
        <v>5988</v>
      </c>
      <c r="B5989" s="1">
        <v>1185</v>
      </c>
      <c r="C5989" s="1">
        <v>44</v>
      </c>
      <c r="D5989" t="str">
        <f>VLOOKUP(B5989,Заказы!A:C,3,0)</f>
        <v>2023-12-17 17:42:00</v>
      </c>
      <c r="E5989" t="str">
        <f>VLOOKUP(C5989,Меню!A:E,4,0)</f>
        <v>Суши</v>
      </c>
      <c r="F5989">
        <f>VLOOKUP(C5989,Меню!A:E,5,0)</f>
        <v>250</v>
      </c>
    </row>
    <row r="5990" spans="1:6" ht="15.75" hidden="1" customHeight="1" x14ac:dyDescent="0.35">
      <c r="A5990" s="1">
        <v>5989</v>
      </c>
      <c r="B5990" s="1">
        <v>1185</v>
      </c>
      <c r="C5990" s="1">
        <v>7</v>
      </c>
      <c r="D5990" t="str">
        <f>VLOOKUP(B5990,Заказы!A:C,3,0)</f>
        <v>2023-12-17 17:42:00</v>
      </c>
      <c r="E5990" t="str">
        <f>VLOOKUP(C5990,Меню!A:E,4,0)</f>
        <v>Завтрак</v>
      </c>
      <c r="F5990">
        <f>VLOOKUP(C5990,Меню!A:E,5,0)</f>
        <v>200</v>
      </c>
    </row>
    <row r="5991" spans="1:6" ht="15.75" hidden="1" customHeight="1" x14ac:dyDescent="0.35">
      <c r="A5991" s="1">
        <v>5990</v>
      </c>
      <c r="B5991" s="1">
        <v>1186</v>
      </c>
      <c r="C5991" s="1">
        <v>40</v>
      </c>
      <c r="D5991" t="str">
        <f>VLOOKUP(B5991,Заказы!A:C,3,0)</f>
        <v>2023-12-17 18:18:00</v>
      </c>
      <c r="E5991" t="str">
        <f>VLOOKUP(C5991,Меню!A:E,4,0)</f>
        <v>Десерт</v>
      </c>
      <c r="F5991">
        <f>VLOOKUP(C5991,Меню!A:E,5,0)</f>
        <v>150</v>
      </c>
    </row>
    <row r="5992" spans="1:6" ht="15.75" hidden="1" customHeight="1" x14ac:dyDescent="0.35">
      <c r="A5992" s="1">
        <v>5991</v>
      </c>
      <c r="B5992" s="1">
        <v>1186</v>
      </c>
      <c r="C5992" s="1">
        <v>27</v>
      </c>
      <c r="D5992" t="str">
        <f>VLOOKUP(B5992,Заказы!A:C,3,0)</f>
        <v>2023-12-17 18:18:00</v>
      </c>
      <c r="E5992" t="str">
        <f>VLOOKUP(C5992,Меню!A:E,4,0)</f>
        <v>Салат</v>
      </c>
      <c r="F5992">
        <f>VLOOKUP(C5992,Меню!A:E,5,0)</f>
        <v>250</v>
      </c>
    </row>
    <row r="5993" spans="1:6" ht="15.75" hidden="1" customHeight="1" x14ac:dyDescent="0.35">
      <c r="A5993" s="1">
        <v>5992</v>
      </c>
      <c r="B5993" s="1">
        <v>1186</v>
      </c>
      <c r="C5993" s="1">
        <v>18</v>
      </c>
      <c r="D5993" t="str">
        <f>VLOOKUP(B5993,Заказы!A:C,3,0)</f>
        <v>2023-12-17 18:18:00</v>
      </c>
      <c r="E5993" t="str">
        <f>VLOOKUP(C5993,Меню!A:E,4,0)</f>
        <v>Первое</v>
      </c>
      <c r="F5993">
        <f>VLOOKUP(C5993,Меню!A:E,5,0)</f>
        <v>300</v>
      </c>
    </row>
    <row r="5994" spans="1:6" ht="15.75" hidden="1" customHeight="1" x14ac:dyDescent="0.35">
      <c r="A5994" s="1">
        <v>5993</v>
      </c>
      <c r="B5994" s="1">
        <v>1186</v>
      </c>
      <c r="C5994" s="1">
        <v>37</v>
      </c>
      <c r="D5994" t="str">
        <f>VLOOKUP(B5994,Заказы!A:C,3,0)</f>
        <v>2023-12-17 18:18:00</v>
      </c>
      <c r="E5994" t="str">
        <f>VLOOKUP(C5994,Меню!A:E,4,0)</f>
        <v>Десерт</v>
      </c>
      <c r="F5994">
        <f>VLOOKUP(C5994,Меню!A:E,5,0)</f>
        <v>100</v>
      </c>
    </row>
    <row r="5995" spans="1:6" ht="15.75" hidden="1" customHeight="1" x14ac:dyDescent="0.35">
      <c r="A5995" s="1">
        <v>5994</v>
      </c>
      <c r="B5995" s="1">
        <v>1186</v>
      </c>
      <c r="C5995" s="1">
        <v>52</v>
      </c>
      <c r="D5995" t="str">
        <f>VLOOKUP(B5995,Заказы!A:C,3,0)</f>
        <v>2023-12-17 18:18:00</v>
      </c>
      <c r="E5995" t="str">
        <f>VLOOKUP(C5995,Меню!A:E,4,0)</f>
        <v>Суши</v>
      </c>
      <c r="F5995">
        <f>VLOOKUP(C5995,Меню!A:E,5,0)</f>
        <v>100</v>
      </c>
    </row>
    <row r="5996" spans="1:6" ht="15.75" hidden="1" customHeight="1" x14ac:dyDescent="0.35">
      <c r="A5996" s="1">
        <v>5995</v>
      </c>
      <c r="B5996" s="1">
        <v>1186</v>
      </c>
      <c r="C5996" s="1">
        <v>30</v>
      </c>
      <c r="D5996" t="str">
        <f>VLOOKUP(B5996,Заказы!A:C,3,0)</f>
        <v>2023-12-17 18:18:00</v>
      </c>
      <c r="E5996" t="str">
        <f>VLOOKUP(C5996,Меню!A:E,4,0)</f>
        <v>Салат</v>
      </c>
      <c r="F5996">
        <f>VLOOKUP(C5996,Меню!A:E,5,0)</f>
        <v>250</v>
      </c>
    </row>
    <row r="5997" spans="1:6" ht="15.75" hidden="1" customHeight="1" x14ac:dyDescent="0.35">
      <c r="A5997" s="1">
        <v>5996</v>
      </c>
      <c r="B5997" s="1">
        <v>1187</v>
      </c>
      <c r="C5997" s="1">
        <v>23</v>
      </c>
      <c r="D5997" t="str">
        <f>VLOOKUP(B5997,Заказы!A:C,3,0)</f>
        <v>2023-12-17 19:51:00</v>
      </c>
      <c r="E5997" t="str">
        <f>VLOOKUP(C5997,Меню!A:E,4,0)</f>
        <v>Салат</v>
      </c>
      <c r="F5997">
        <f>VLOOKUP(C5997,Меню!A:E,5,0)</f>
        <v>250</v>
      </c>
    </row>
    <row r="5998" spans="1:6" ht="15.75" hidden="1" customHeight="1" x14ac:dyDescent="0.35">
      <c r="A5998" s="1">
        <v>5997</v>
      </c>
      <c r="B5998" s="1">
        <v>1187</v>
      </c>
      <c r="C5998" s="1">
        <v>9</v>
      </c>
      <c r="D5998" t="str">
        <f>VLOOKUP(B5998,Заказы!A:C,3,0)</f>
        <v>2023-12-17 19:51:00</v>
      </c>
      <c r="E5998" t="str">
        <f>VLOOKUP(C5998,Меню!A:E,4,0)</f>
        <v>Завтрак</v>
      </c>
      <c r="F5998">
        <f>VLOOKUP(C5998,Меню!A:E,5,0)</f>
        <v>220</v>
      </c>
    </row>
    <row r="5999" spans="1:6" ht="15.75" hidden="1" customHeight="1" x14ac:dyDescent="0.35">
      <c r="A5999" s="1">
        <v>5998</v>
      </c>
      <c r="B5999" s="1">
        <v>1187</v>
      </c>
      <c r="C5999" s="1">
        <v>2</v>
      </c>
      <c r="D5999" t="str">
        <f>VLOOKUP(B5999,Заказы!A:C,3,0)</f>
        <v>2023-12-17 19:51:00</v>
      </c>
      <c r="E5999" t="str">
        <f>VLOOKUP(C5999,Меню!A:E,4,0)</f>
        <v>Завтрак</v>
      </c>
      <c r="F5999">
        <f>VLOOKUP(C5999,Меню!A:E,5,0)</f>
        <v>250</v>
      </c>
    </row>
    <row r="6000" spans="1:6" ht="15.75" hidden="1" customHeight="1" x14ac:dyDescent="0.35">
      <c r="A6000" s="1">
        <v>5999</v>
      </c>
      <c r="B6000" s="1">
        <v>1188</v>
      </c>
      <c r="C6000" s="1">
        <v>20</v>
      </c>
      <c r="D6000" t="str">
        <f>VLOOKUP(B6000,Заказы!A:C,3,0)</f>
        <v>2023-12-17 20:23:00</v>
      </c>
      <c r="E6000" t="str">
        <f>VLOOKUP(C6000,Меню!A:E,4,0)</f>
        <v>Первое</v>
      </c>
      <c r="F6000">
        <f>VLOOKUP(C6000,Меню!A:E,5,0)</f>
        <v>250</v>
      </c>
    </row>
    <row r="6001" spans="1:6" ht="15.75" hidden="1" customHeight="1" x14ac:dyDescent="0.35">
      <c r="A6001" s="1">
        <v>6000</v>
      </c>
      <c r="B6001" s="1">
        <v>1188</v>
      </c>
      <c r="C6001" s="1">
        <v>37</v>
      </c>
      <c r="D6001" t="str">
        <f>VLOOKUP(B6001,Заказы!A:C,3,0)</f>
        <v>2023-12-17 20:23:00</v>
      </c>
      <c r="E6001" t="str">
        <f>VLOOKUP(C6001,Меню!A:E,4,0)</f>
        <v>Десерт</v>
      </c>
      <c r="F6001">
        <f>VLOOKUP(C6001,Меню!A:E,5,0)</f>
        <v>100</v>
      </c>
    </row>
    <row r="6002" spans="1:6" ht="15.75" hidden="1" customHeight="1" x14ac:dyDescent="0.35">
      <c r="A6002" s="1">
        <v>6001</v>
      </c>
      <c r="B6002" s="1">
        <v>1188</v>
      </c>
      <c r="C6002" s="1">
        <v>47</v>
      </c>
      <c r="D6002" t="str">
        <f>VLOOKUP(B6002,Заказы!A:C,3,0)</f>
        <v>2023-12-17 20:23:00</v>
      </c>
      <c r="E6002" t="str">
        <f>VLOOKUP(C6002,Меню!A:E,4,0)</f>
        <v>Суши</v>
      </c>
      <c r="F6002">
        <f>VLOOKUP(C6002,Меню!A:E,5,0)</f>
        <v>200</v>
      </c>
    </row>
    <row r="6003" spans="1:6" ht="15.75" hidden="1" customHeight="1" x14ac:dyDescent="0.35">
      <c r="A6003" s="1">
        <v>6002</v>
      </c>
      <c r="B6003" s="1">
        <v>1188</v>
      </c>
      <c r="C6003" s="1">
        <v>59</v>
      </c>
      <c r="D6003" t="str">
        <f>VLOOKUP(B6003,Заказы!A:C,3,0)</f>
        <v>2023-12-17 20:23:00</v>
      </c>
      <c r="E6003" t="str">
        <f>VLOOKUP(C6003,Меню!A:E,4,0)</f>
        <v>Суши</v>
      </c>
      <c r="F6003">
        <f>VLOOKUP(C6003,Меню!A:E,5,0)</f>
        <v>300</v>
      </c>
    </row>
    <row r="6004" spans="1:6" ht="15.75" hidden="1" customHeight="1" x14ac:dyDescent="0.35">
      <c r="A6004" s="1">
        <v>6003</v>
      </c>
      <c r="B6004" s="1">
        <v>1188</v>
      </c>
      <c r="C6004" s="1">
        <v>36</v>
      </c>
      <c r="D6004" t="str">
        <f>VLOOKUP(B6004,Заказы!A:C,3,0)</f>
        <v>2023-12-17 20:23:00</v>
      </c>
      <c r="E6004" t="str">
        <f>VLOOKUP(C6004,Меню!A:E,4,0)</f>
        <v>Десерт</v>
      </c>
      <c r="F6004">
        <f>VLOOKUP(C6004,Меню!A:E,5,0)</f>
        <v>150</v>
      </c>
    </row>
    <row r="6005" spans="1:6" ht="15.75" hidden="1" customHeight="1" x14ac:dyDescent="0.35">
      <c r="A6005" s="1">
        <v>6004</v>
      </c>
      <c r="B6005" s="1">
        <v>1188</v>
      </c>
      <c r="C6005" s="1">
        <v>9</v>
      </c>
      <c r="D6005" t="str">
        <f>VLOOKUP(B6005,Заказы!A:C,3,0)</f>
        <v>2023-12-17 20:23:00</v>
      </c>
      <c r="E6005" t="str">
        <f>VLOOKUP(C6005,Меню!A:E,4,0)</f>
        <v>Завтрак</v>
      </c>
      <c r="F6005">
        <f>VLOOKUP(C6005,Меню!A:E,5,0)</f>
        <v>220</v>
      </c>
    </row>
    <row r="6006" spans="1:6" ht="15.75" hidden="1" customHeight="1" x14ac:dyDescent="0.35">
      <c r="A6006" s="1">
        <v>6005</v>
      </c>
      <c r="B6006" s="1">
        <v>1188</v>
      </c>
      <c r="C6006" s="1">
        <v>55</v>
      </c>
      <c r="D6006" t="str">
        <f>VLOOKUP(B6006,Заказы!A:C,3,0)</f>
        <v>2023-12-17 20:23:00</v>
      </c>
      <c r="E6006" t="str">
        <f>VLOOKUP(C6006,Меню!A:E,4,0)</f>
        <v>Суши</v>
      </c>
      <c r="F6006">
        <f>VLOOKUP(C6006,Меню!A:E,5,0)</f>
        <v>100</v>
      </c>
    </row>
    <row r="6007" spans="1:6" ht="15.75" hidden="1" customHeight="1" x14ac:dyDescent="0.35">
      <c r="A6007" s="1">
        <v>6006</v>
      </c>
      <c r="B6007" s="1">
        <v>1189</v>
      </c>
      <c r="C6007" s="1">
        <v>34</v>
      </c>
      <c r="D6007" t="str">
        <f>VLOOKUP(B6007,Заказы!A:C,3,0)</f>
        <v>2023-12-17 21:05:00</v>
      </c>
      <c r="E6007" t="str">
        <f>VLOOKUP(C6007,Меню!A:E,4,0)</f>
        <v>Десерт</v>
      </c>
      <c r="F6007">
        <f>VLOOKUP(C6007,Меню!A:E,5,0)</f>
        <v>150</v>
      </c>
    </row>
    <row r="6008" spans="1:6" ht="15.75" hidden="1" customHeight="1" x14ac:dyDescent="0.35">
      <c r="A6008" s="1">
        <v>6007</v>
      </c>
      <c r="B6008" s="1">
        <v>1189</v>
      </c>
      <c r="C6008" s="1">
        <v>14</v>
      </c>
      <c r="D6008" t="str">
        <f>VLOOKUP(B6008,Заказы!A:C,3,0)</f>
        <v>2023-12-17 21:05:00</v>
      </c>
      <c r="E6008" t="str">
        <f>VLOOKUP(C6008,Меню!A:E,4,0)</f>
        <v>Первое</v>
      </c>
      <c r="F6008">
        <f>VLOOKUP(C6008,Меню!A:E,5,0)</f>
        <v>350</v>
      </c>
    </row>
    <row r="6009" spans="1:6" ht="15.75" hidden="1" customHeight="1" x14ac:dyDescent="0.35">
      <c r="A6009" s="1">
        <v>6008</v>
      </c>
      <c r="B6009" s="1">
        <v>1189</v>
      </c>
      <c r="C6009" s="1">
        <v>44</v>
      </c>
      <c r="D6009" t="str">
        <f>VLOOKUP(B6009,Заказы!A:C,3,0)</f>
        <v>2023-12-17 21:05:00</v>
      </c>
      <c r="E6009" t="str">
        <f>VLOOKUP(C6009,Меню!A:E,4,0)</f>
        <v>Суши</v>
      </c>
      <c r="F6009">
        <f>VLOOKUP(C6009,Меню!A:E,5,0)</f>
        <v>250</v>
      </c>
    </row>
    <row r="6010" spans="1:6" ht="15.75" hidden="1" customHeight="1" x14ac:dyDescent="0.35">
      <c r="A6010" s="1">
        <v>6009</v>
      </c>
      <c r="B6010" s="1">
        <v>1189</v>
      </c>
      <c r="C6010" s="1">
        <v>8</v>
      </c>
      <c r="D6010" t="str">
        <f>VLOOKUP(B6010,Заказы!A:C,3,0)</f>
        <v>2023-12-17 21:05:00</v>
      </c>
      <c r="E6010" t="str">
        <f>VLOOKUP(C6010,Меню!A:E,4,0)</f>
        <v>Завтрак</v>
      </c>
      <c r="F6010">
        <f>VLOOKUP(C6010,Меню!A:E,5,0)</f>
        <v>180</v>
      </c>
    </row>
    <row r="6011" spans="1:6" ht="15.75" hidden="1" customHeight="1" x14ac:dyDescent="0.35">
      <c r="A6011" s="1">
        <v>6010</v>
      </c>
      <c r="B6011" s="1">
        <v>1189</v>
      </c>
      <c r="C6011" s="1">
        <v>59</v>
      </c>
      <c r="D6011" t="str">
        <f>VLOOKUP(B6011,Заказы!A:C,3,0)</f>
        <v>2023-12-17 21:05:00</v>
      </c>
      <c r="E6011" t="str">
        <f>VLOOKUP(C6011,Меню!A:E,4,0)</f>
        <v>Суши</v>
      </c>
      <c r="F6011">
        <f>VLOOKUP(C6011,Меню!A:E,5,0)</f>
        <v>300</v>
      </c>
    </row>
    <row r="6012" spans="1:6" ht="15.75" hidden="1" customHeight="1" x14ac:dyDescent="0.35">
      <c r="A6012" s="1">
        <v>6011</v>
      </c>
      <c r="B6012" s="1">
        <v>1190</v>
      </c>
      <c r="C6012" s="1">
        <v>12</v>
      </c>
      <c r="D6012" t="str">
        <f>VLOOKUP(B6012,Заказы!A:C,3,0)</f>
        <v>2023-12-18 20:44:00</v>
      </c>
      <c r="E6012" t="str">
        <f>VLOOKUP(C6012,Меню!A:E,4,0)</f>
        <v>Первое</v>
      </c>
      <c r="F6012">
        <f>VLOOKUP(C6012,Меню!A:E,5,0)</f>
        <v>300</v>
      </c>
    </row>
    <row r="6013" spans="1:6" ht="15.75" hidden="1" customHeight="1" x14ac:dyDescent="0.35">
      <c r="A6013" s="1">
        <v>6012</v>
      </c>
      <c r="B6013" s="1">
        <v>1190</v>
      </c>
      <c r="C6013" s="1">
        <v>45</v>
      </c>
      <c r="D6013" t="str">
        <f>VLOOKUP(B6013,Заказы!A:C,3,0)</f>
        <v>2023-12-18 20:44:00</v>
      </c>
      <c r="E6013" t="str">
        <f>VLOOKUP(C6013,Меню!A:E,4,0)</f>
        <v>Суши</v>
      </c>
      <c r="F6013">
        <f>VLOOKUP(C6013,Меню!A:E,5,0)</f>
        <v>200</v>
      </c>
    </row>
    <row r="6014" spans="1:6" ht="15.75" hidden="1" customHeight="1" x14ac:dyDescent="0.35">
      <c r="A6014" s="1">
        <v>6013</v>
      </c>
      <c r="B6014" s="1">
        <v>1190</v>
      </c>
      <c r="C6014" s="1">
        <v>37</v>
      </c>
      <c r="D6014" t="str">
        <f>VLOOKUP(B6014,Заказы!A:C,3,0)</f>
        <v>2023-12-18 20:44:00</v>
      </c>
      <c r="E6014" t="str">
        <f>VLOOKUP(C6014,Меню!A:E,4,0)</f>
        <v>Десерт</v>
      </c>
      <c r="F6014">
        <f>VLOOKUP(C6014,Меню!A:E,5,0)</f>
        <v>100</v>
      </c>
    </row>
    <row r="6015" spans="1:6" ht="15.75" hidden="1" customHeight="1" x14ac:dyDescent="0.35">
      <c r="A6015" s="1">
        <v>6014</v>
      </c>
      <c r="B6015" s="1">
        <v>1190</v>
      </c>
      <c r="C6015" s="1">
        <v>42</v>
      </c>
      <c r="D6015" t="str">
        <f>VLOOKUP(B6015,Заказы!A:C,3,0)</f>
        <v>2023-12-18 20:44:00</v>
      </c>
      <c r="E6015" t="str">
        <f>VLOOKUP(C6015,Меню!A:E,4,0)</f>
        <v>Суши</v>
      </c>
      <c r="F6015">
        <f>VLOOKUP(C6015,Меню!A:E,5,0)</f>
        <v>250</v>
      </c>
    </row>
    <row r="6016" spans="1:6" ht="15.75" hidden="1" customHeight="1" x14ac:dyDescent="0.35">
      <c r="A6016" s="1">
        <v>6015</v>
      </c>
      <c r="B6016" s="1">
        <v>1191</v>
      </c>
      <c r="C6016" s="1">
        <v>45</v>
      </c>
      <c r="D6016" t="str">
        <f>VLOOKUP(B6016,Заказы!A:C,3,0)</f>
        <v>2023-12-18 21:33:00</v>
      </c>
      <c r="E6016" t="str">
        <f>VLOOKUP(C6016,Меню!A:E,4,0)</f>
        <v>Суши</v>
      </c>
      <c r="F6016">
        <f>VLOOKUP(C6016,Меню!A:E,5,0)</f>
        <v>200</v>
      </c>
    </row>
    <row r="6017" spans="1:6" ht="15.75" hidden="1" customHeight="1" x14ac:dyDescent="0.35">
      <c r="A6017" s="1">
        <v>6016</v>
      </c>
      <c r="B6017" s="1">
        <v>1191</v>
      </c>
      <c r="C6017" s="1">
        <v>56</v>
      </c>
      <c r="D6017" t="str">
        <f>VLOOKUP(B6017,Заказы!A:C,3,0)</f>
        <v>2023-12-18 21:33:00</v>
      </c>
      <c r="E6017" t="str">
        <f>VLOOKUP(C6017,Меню!A:E,4,0)</f>
        <v>Суши</v>
      </c>
      <c r="F6017">
        <f>VLOOKUP(C6017,Меню!A:E,5,0)</f>
        <v>200</v>
      </c>
    </row>
    <row r="6018" spans="1:6" ht="15.75" hidden="1" customHeight="1" x14ac:dyDescent="0.35">
      <c r="A6018" s="1">
        <v>6017</v>
      </c>
      <c r="B6018" s="1">
        <v>1191</v>
      </c>
      <c r="C6018" s="1">
        <v>58</v>
      </c>
      <c r="D6018" t="str">
        <f>VLOOKUP(B6018,Заказы!A:C,3,0)</f>
        <v>2023-12-18 21:33:00</v>
      </c>
      <c r="E6018" t="str">
        <f>VLOOKUP(C6018,Меню!A:E,4,0)</f>
        <v>Суши</v>
      </c>
      <c r="F6018">
        <f>VLOOKUP(C6018,Меню!A:E,5,0)</f>
        <v>200</v>
      </c>
    </row>
    <row r="6019" spans="1:6" ht="15.75" hidden="1" customHeight="1" x14ac:dyDescent="0.35">
      <c r="A6019" s="1">
        <v>6018</v>
      </c>
      <c r="B6019" s="1">
        <v>1191</v>
      </c>
      <c r="C6019" s="1">
        <v>2</v>
      </c>
      <c r="D6019" t="str">
        <f>VLOOKUP(B6019,Заказы!A:C,3,0)</f>
        <v>2023-12-18 21:33:00</v>
      </c>
      <c r="E6019" t="str">
        <f>VLOOKUP(C6019,Меню!A:E,4,0)</f>
        <v>Завтрак</v>
      </c>
      <c r="F6019">
        <f>VLOOKUP(C6019,Меню!A:E,5,0)</f>
        <v>250</v>
      </c>
    </row>
    <row r="6020" spans="1:6" ht="15.75" hidden="1" customHeight="1" x14ac:dyDescent="0.35">
      <c r="A6020" s="1">
        <v>6019</v>
      </c>
      <c r="B6020" s="1">
        <v>1191</v>
      </c>
      <c r="C6020" s="1">
        <v>27</v>
      </c>
      <c r="D6020" t="str">
        <f>VLOOKUP(B6020,Заказы!A:C,3,0)</f>
        <v>2023-12-18 21:33:00</v>
      </c>
      <c r="E6020" t="str">
        <f>VLOOKUP(C6020,Меню!A:E,4,0)</f>
        <v>Салат</v>
      </c>
      <c r="F6020">
        <f>VLOOKUP(C6020,Меню!A:E,5,0)</f>
        <v>250</v>
      </c>
    </row>
    <row r="6021" spans="1:6" ht="15.75" hidden="1" customHeight="1" x14ac:dyDescent="0.35">
      <c r="A6021" s="1">
        <v>6020</v>
      </c>
      <c r="B6021" s="1">
        <v>1191</v>
      </c>
      <c r="C6021" s="1">
        <v>23</v>
      </c>
      <c r="D6021" t="str">
        <f>VLOOKUP(B6021,Заказы!A:C,3,0)</f>
        <v>2023-12-18 21:33:00</v>
      </c>
      <c r="E6021" t="str">
        <f>VLOOKUP(C6021,Меню!A:E,4,0)</f>
        <v>Салат</v>
      </c>
      <c r="F6021">
        <f>VLOOKUP(C6021,Меню!A:E,5,0)</f>
        <v>250</v>
      </c>
    </row>
    <row r="6022" spans="1:6" ht="15.75" hidden="1" customHeight="1" x14ac:dyDescent="0.35">
      <c r="A6022" s="1">
        <v>6021</v>
      </c>
      <c r="B6022" s="1">
        <v>1192</v>
      </c>
      <c r="C6022" s="1">
        <v>22</v>
      </c>
      <c r="D6022" t="str">
        <f>VLOOKUP(B6022,Заказы!A:C,3,0)</f>
        <v>2023-12-18 21:57:00</v>
      </c>
      <c r="E6022" t="str">
        <f>VLOOKUP(C6022,Меню!A:E,4,0)</f>
        <v>Салат</v>
      </c>
      <c r="F6022">
        <f>VLOOKUP(C6022,Меню!A:E,5,0)</f>
        <v>250</v>
      </c>
    </row>
    <row r="6023" spans="1:6" ht="15.75" hidden="1" customHeight="1" x14ac:dyDescent="0.35">
      <c r="A6023" s="1">
        <v>6022</v>
      </c>
      <c r="B6023" s="1">
        <v>1193</v>
      </c>
      <c r="C6023" s="1">
        <v>49</v>
      </c>
      <c r="D6023" t="str">
        <f>VLOOKUP(B6023,Заказы!A:C,3,0)</f>
        <v>2023-12-19 15:16:00</v>
      </c>
      <c r="E6023" t="str">
        <f>VLOOKUP(C6023,Меню!A:E,4,0)</f>
        <v>Суши</v>
      </c>
      <c r="F6023">
        <f>VLOOKUP(C6023,Меню!A:E,5,0)</f>
        <v>200</v>
      </c>
    </row>
    <row r="6024" spans="1:6" ht="15.75" hidden="1" customHeight="1" x14ac:dyDescent="0.35">
      <c r="A6024" s="1">
        <v>6023</v>
      </c>
      <c r="B6024" s="1">
        <v>1193</v>
      </c>
      <c r="C6024" s="1">
        <v>8</v>
      </c>
      <c r="D6024" t="str">
        <f>VLOOKUP(B6024,Заказы!A:C,3,0)</f>
        <v>2023-12-19 15:16:00</v>
      </c>
      <c r="E6024" t="str">
        <f>VLOOKUP(C6024,Меню!A:E,4,0)</f>
        <v>Завтрак</v>
      </c>
      <c r="F6024">
        <f>VLOOKUP(C6024,Меню!A:E,5,0)</f>
        <v>180</v>
      </c>
    </row>
    <row r="6025" spans="1:6" ht="15.75" hidden="1" customHeight="1" x14ac:dyDescent="0.35">
      <c r="A6025" s="1">
        <v>6024</v>
      </c>
      <c r="B6025" s="1">
        <v>1193</v>
      </c>
      <c r="C6025" s="1">
        <v>22</v>
      </c>
      <c r="D6025" t="str">
        <f>VLOOKUP(B6025,Заказы!A:C,3,0)</f>
        <v>2023-12-19 15:16:00</v>
      </c>
      <c r="E6025" t="str">
        <f>VLOOKUP(C6025,Меню!A:E,4,0)</f>
        <v>Салат</v>
      </c>
      <c r="F6025">
        <f>VLOOKUP(C6025,Меню!A:E,5,0)</f>
        <v>250</v>
      </c>
    </row>
    <row r="6026" spans="1:6" ht="15.75" hidden="1" customHeight="1" x14ac:dyDescent="0.35">
      <c r="A6026" s="1">
        <v>6025</v>
      </c>
      <c r="B6026" s="1">
        <v>1194</v>
      </c>
      <c r="C6026" s="1">
        <v>49</v>
      </c>
      <c r="D6026" t="str">
        <f>VLOOKUP(B6026,Заказы!A:C,3,0)</f>
        <v>2023-12-19 17:01:00</v>
      </c>
      <c r="E6026" t="str">
        <f>VLOOKUP(C6026,Меню!A:E,4,0)</f>
        <v>Суши</v>
      </c>
      <c r="F6026">
        <f>VLOOKUP(C6026,Меню!A:E,5,0)</f>
        <v>200</v>
      </c>
    </row>
    <row r="6027" spans="1:6" ht="15.75" hidden="1" customHeight="1" x14ac:dyDescent="0.35">
      <c r="A6027" s="1">
        <v>6026</v>
      </c>
      <c r="B6027" s="1">
        <v>1194</v>
      </c>
      <c r="C6027" s="1">
        <v>53</v>
      </c>
      <c r="D6027" t="str">
        <f>VLOOKUP(B6027,Заказы!A:C,3,0)</f>
        <v>2023-12-19 17:01:00</v>
      </c>
      <c r="E6027" t="str">
        <f>VLOOKUP(C6027,Меню!A:E,4,0)</f>
        <v>Суши</v>
      </c>
      <c r="F6027">
        <f>VLOOKUP(C6027,Меню!A:E,5,0)</f>
        <v>100</v>
      </c>
    </row>
    <row r="6028" spans="1:6" ht="15.75" hidden="1" customHeight="1" x14ac:dyDescent="0.35">
      <c r="A6028" s="1">
        <v>6027</v>
      </c>
      <c r="B6028" s="1">
        <v>1194</v>
      </c>
      <c r="C6028" s="1">
        <v>26</v>
      </c>
      <c r="D6028" t="str">
        <f>VLOOKUP(B6028,Заказы!A:C,3,0)</f>
        <v>2023-12-19 17:01:00</v>
      </c>
      <c r="E6028" t="str">
        <f>VLOOKUP(C6028,Меню!A:E,4,0)</f>
        <v>Салат</v>
      </c>
      <c r="F6028">
        <f>VLOOKUP(C6028,Меню!A:E,5,0)</f>
        <v>250</v>
      </c>
    </row>
    <row r="6029" spans="1:6" ht="15.75" hidden="1" customHeight="1" x14ac:dyDescent="0.35">
      <c r="A6029" s="1">
        <v>6028</v>
      </c>
      <c r="B6029" s="1">
        <v>1195</v>
      </c>
      <c r="C6029" s="1">
        <v>26</v>
      </c>
      <c r="D6029" t="str">
        <f>VLOOKUP(B6029,Заказы!A:C,3,0)</f>
        <v>2023-12-19 21:34:00</v>
      </c>
      <c r="E6029" t="str">
        <f>VLOOKUP(C6029,Меню!A:E,4,0)</f>
        <v>Салат</v>
      </c>
      <c r="F6029">
        <f>VLOOKUP(C6029,Меню!A:E,5,0)</f>
        <v>250</v>
      </c>
    </row>
    <row r="6030" spans="1:6" ht="15.75" hidden="1" customHeight="1" x14ac:dyDescent="0.35">
      <c r="A6030" s="1">
        <v>6029</v>
      </c>
      <c r="B6030" s="1">
        <v>1195</v>
      </c>
      <c r="C6030" s="1">
        <v>3</v>
      </c>
      <c r="D6030" t="str">
        <f>VLOOKUP(B6030,Заказы!A:C,3,0)</f>
        <v>2023-12-19 21:34:00</v>
      </c>
      <c r="E6030" t="str">
        <f>VLOOKUP(C6030,Меню!A:E,4,0)</f>
        <v>Завтрак</v>
      </c>
      <c r="F6030">
        <f>VLOOKUP(C6030,Меню!A:E,5,0)</f>
        <v>150</v>
      </c>
    </row>
    <row r="6031" spans="1:6" ht="15.75" hidden="1" customHeight="1" x14ac:dyDescent="0.35">
      <c r="A6031" s="1">
        <v>6030</v>
      </c>
      <c r="B6031" s="1">
        <v>1195</v>
      </c>
      <c r="C6031" s="1">
        <v>24</v>
      </c>
      <c r="D6031" t="str">
        <f>VLOOKUP(B6031,Заказы!A:C,3,0)</f>
        <v>2023-12-19 21:34:00</v>
      </c>
      <c r="E6031" t="str">
        <f>VLOOKUP(C6031,Меню!A:E,4,0)</f>
        <v>Салат</v>
      </c>
      <c r="F6031">
        <f>VLOOKUP(C6031,Меню!A:E,5,0)</f>
        <v>250</v>
      </c>
    </row>
    <row r="6032" spans="1:6" ht="15.75" hidden="1" customHeight="1" x14ac:dyDescent="0.35">
      <c r="A6032" s="1">
        <v>6031</v>
      </c>
      <c r="B6032" s="1">
        <v>1195</v>
      </c>
      <c r="C6032" s="1">
        <v>11</v>
      </c>
      <c r="D6032" t="str">
        <f>VLOOKUP(B6032,Заказы!A:C,3,0)</f>
        <v>2023-12-19 21:34:00</v>
      </c>
      <c r="E6032" t="str">
        <f>VLOOKUP(C6032,Меню!A:E,4,0)</f>
        <v>Первое</v>
      </c>
      <c r="F6032">
        <f>VLOOKUP(C6032,Меню!A:E,5,0)</f>
        <v>300</v>
      </c>
    </row>
    <row r="6033" spans="1:6" ht="15.75" hidden="1" customHeight="1" x14ac:dyDescent="0.35">
      <c r="A6033" s="1">
        <v>6032</v>
      </c>
      <c r="B6033" s="1">
        <v>1195</v>
      </c>
      <c r="C6033" s="1">
        <v>22</v>
      </c>
      <c r="D6033" t="str">
        <f>VLOOKUP(B6033,Заказы!A:C,3,0)</f>
        <v>2023-12-19 21:34:00</v>
      </c>
      <c r="E6033" t="str">
        <f>VLOOKUP(C6033,Меню!A:E,4,0)</f>
        <v>Салат</v>
      </c>
      <c r="F6033">
        <f>VLOOKUP(C6033,Меню!A:E,5,0)</f>
        <v>250</v>
      </c>
    </row>
    <row r="6034" spans="1:6" ht="15.75" hidden="1" customHeight="1" x14ac:dyDescent="0.35">
      <c r="A6034" s="1">
        <v>6033</v>
      </c>
      <c r="B6034" s="1">
        <v>1195</v>
      </c>
      <c r="C6034" s="1">
        <v>29</v>
      </c>
      <c r="D6034" t="str">
        <f>VLOOKUP(B6034,Заказы!A:C,3,0)</f>
        <v>2023-12-19 21:34:00</v>
      </c>
      <c r="E6034" t="str">
        <f>VLOOKUP(C6034,Меню!A:E,4,0)</f>
        <v>Салат</v>
      </c>
      <c r="F6034">
        <f>VLOOKUP(C6034,Меню!A:E,5,0)</f>
        <v>250</v>
      </c>
    </row>
    <row r="6035" spans="1:6" ht="15.75" hidden="1" customHeight="1" x14ac:dyDescent="0.35">
      <c r="A6035" s="1">
        <v>6034</v>
      </c>
      <c r="B6035" s="1">
        <v>1195</v>
      </c>
      <c r="C6035" s="1">
        <v>9</v>
      </c>
      <c r="D6035" t="str">
        <f>VLOOKUP(B6035,Заказы!A:C,3,0)</f>
        <v>2023-12-19 21:34:00</v>
      </c>
      <c r="E6035" t="str">
        <f>VLOOKUP(C6035,Меню!A:E,4,0)</f>
        <v>Завтрак</v>
      </c>
      <c r="F6035">
        <f>VLOOKUP(C6035,Меню!A:E,5,0)</f>
        <v>220</v>
      </c>
    </row>
    <row r="6036" spans="1:6" ht="15.75" hidden="1" customHeight="1" x14ac:dyDescent="0.35">
      <c r="A6036" s="1">
        <v>6035</v>
      </c>
      <c r="B6036" s="1">
        <v>1196</v>
      </c>
      <c r="C6036" s="1">
        <v>29</v>
      </c>
      <c r="D6036" t="str">
        <f>VLOOKUP(B6036,Заказы!A:C,3,0)</f>
        <v>2023-12-19 22:08:00</v>
      </c>
      <c r="E6036" t="str">
        <f>VLOOKUP(C6036,Меню!A:E,4,0)</f>
        <v>Салат</v>
      </c>
      <c r="F6036">
        <f>VLOOKUP(C6036,Меню!A:E,5,0)</f>
        <v>250</v>
      </c>
    </row>
    <row r="6037" spans="1:6" ht="15.75" hidden="1" customHeight="1" x14ac:dyDescent="0.35">
      <c r="A6037" s="1">
        <v>6036</v>
      </c>
      <c r="B6037" s="1">
        <v>1196</v>
      </c>
      <c r="C6037" s="1">
        <v>10</v>
      </c>
      <c r="D6037" t="str">
        <f>VLOOKUP(B6037,Заказы!A:C,3,0)</f>
        <v>2023-12-19 22:08:00</v>
      </c>
      <c r="E6037" t="str">
        <f>VLOOKUP(C6037,Меню!A:E,4,0)</f>
        <v>Завтрак</v>
      </c>
      <c r="F6037">
        <f>VLOOKUP(C6037,Меню!A:E,5,0)</f>
        <v>200</v>
      </c>
    </row>
    <row r="6038" spans="1:6" ht="15.75" hidden="1" customHeight="1" x14ac:dyDescent="0.35">
      <c r="A6038" s="1">
        <v>6037</v>
      </c>
      <c r="B6038" s="1">
        <v>1196</v>
      </c>
      <c r="C6038" s="1">
        <v>39</v>
      </c>
      <c r="D6038" t="str">
        <f>VLOOKUP(B6038,Заказы!A:C,3,0)</f>
        <v>2023-12-19 22:08:00</v>
      </c>
      <c r="E6038" t="str">
        <f>VLOOKUP(C6038,Меню!A:E,4,0)</f>
        <v>Десерт</v>
      </c>
      <c r="F6038">
        <f>VLOOKUP(C6038,Меню!A:E,5,0)</f>
        <v>150</v>
      </c>
    </row>
    <row r="6039" spans="1:6" ht="15.75" hidden="1" customHeight="1" x14ac:dyDescent="0.35">
      <c r="A6039" s="1">
        <v>6038</v>
      </c>
      <c r="B6039" s="1">
        <v>1196</v>
      </c>
      <c r="C6039" s="1">
        <v>50</v>
      </c>
      <c r="D6039" t="str">
        <f>VLOOKUP(B6039,Заказы!A:C,3,0)</f>
        <v>2023-12-19 22:08:00</v>
      </c>
      <c r="E6039" t="str">
        <f>VLOOKUP(C6039,Меню!A:E,4,0)</f>
        <v>Суши</v>
      </c>
      <c r="F6039">
        <f>VLOOKUP(C6039,Меню!A:E,5,0)</f>
        <v>200</v>
      </c>
    </row>
    <row r="6040" spans="1:6" ht="15.75" hidden="1" customHeight="1" x14ac:dyDescent="0.35">
      <c r="A6040" s="1">
        <v>6039</v>
      </c>
      <c r="B6040" s="1">
        <v>1196</v>
      </c>
      <c r="C6040" s="1">
        <v>33</v>
      </c>
      <c r="D6040" t="str">
        <f>VLOOKUP(B6040,Заказы!A:C,3,0)</f>
        <v>2023-12-19 22:08:00</v>
      </c>
      <c r="E6040" t="str">
        <f>VLOOKUP(C6040,Меню!A:E,4,0)</f>
        <v>Десерт</v>
      </c>
      <c r="F6040">
        <f>VLOOKUP(C6040,Меню!A:E,5,0)</f>
        <v>150</v>
      </c>
    </row>
    <row r="6041" spans="1:6" ht="15.75" hidden="1" customHeight="1" x14ac:dyDescent="0.35">
      <c r="A6041" s="1">
        <v>6040</v>
      </c>
      <c r="B6041" s="1">
        <v>1196</v>
      </c>
      <c r="C6041" s="1">
        <v>31</v>
      </c>
      <c r="D6041" t="str">
        <f>VLOOKUP(B6041,Заказы!A:C,3,0)</f>
        <v>2023-12-19 22:08:00</v>
      </c>
      <c r="E6041" t="str">
        <f>VLOOKUP(C6041,Меню!A:E,4,0)</f>
        <v>Десерт</v>
      </c>
      <c r="F6041">
        <f>VLOOKUP(C6041,Меню!A:E,5,0)</f>
        <v>150</v>
      </c>
    </row>
    <row r="6042" spans="1:6" ht="15.75" hidden="1" customHeight="1" x14ac:dyDescent="0.35">
      <c r="A6042" s="1">
        <v>6041</v>
      </c>
      <c r="B6042" s="1">
        <v>1196</v>
      </c>
      <c r="C6042" s="1">
        <v>47</v>
      </c>
      <c r="D6042" t="str">
        <f>VLOOKUP(B6042,Заказы!A:C,3,0)</f>
        <v>2023-12-19 22:08:00</v>
      </c>
      <c r="E6042" t="str">
        <f>VLOOKUP(C6042,Меню!A:E,4,0)</f>
        <v>Суши</v>
      </c>
      <c r="F6042">
        <f>VLOOKUP(C6042,Меню!A:E,5,0)</f>
        <v>200</v>
      </c>
    </row>
    <row r="6043" spans="1:6" ht="15.75" hidden="1" customHeight="1" x14ac:dyDescent="0.35">
      <c r="A6043" s="1">
        <v>6042</v>
      </c>
      <c r="B6043" s="1">
        <v>1197</v>
      </c>
      <c r="C6043" s="1">
        <v>27</v>
      </c>
      <c r="D6043" t="str">
        <f>VLOOKUP(B6043,Заказы!A:C,3,0)</f>
        <v>2023-12-21 17:13:00</v>
      </c>
      <c r="E6043" t="str">
        <f>VLOOKUP(C6043,Меню!A:E,4,0)</f>
        <v>Салат</v>
      </c>
      <c r="F6043">
        <f>VLOOKUP(C6043,Меню!A:E,5,0)</f>
        <v>250</v>
      </c>
    </row>
    <row r="6044" spans="1:6" ht="15.75" hidden="1" customHeight="1" x14ac:dyDescent="0.35">
      <c r="A6044" s="1">
        <v>6043</v>
      </c>
      <c r="B6044" s="1">
        <v>1197</v>
      </c>
      <c r="C6044" s="1">
        <v>33</v>
      </c>
      <c r="D6044" t="str">
        <f>VLOOKUP(B6044,Заказы!A:C,3,0)</f>
        <v>2023-12-21 17:13:00</v>
      </c>
      <c r="E6044" t="str">
        <f>VLOOKUP(C6044,Меню!A:E,4,0)</f>
        <v>Десерт</v>
      </c>
      <c r="F6044">
        <f>VLOOKUP(C6044,Меню!A:E,5,0)</f>
        <v>150</v>
      </c>
    </row>
    <row r="6045" spans="1:6" ht="15.75" hidden="1" customHeight="1" x14ac:dyDescent="0.35">
      <c r="A6045" s="1">
        <v>6044</v>
      </c>
      <c r="B6045" s="1">
        <v>1197</v>
      </c>
      <c r="C6045" s="1">
        <v>50</v>
      </c>
      <c r="D6045" t="str">
        <f>VLOOKUP(B6045,Заказы!A:C,3,0)</f>
        <v>2023-12-21 17:13:00</v>
      </c>
      <c r="E6045" t="str">
        <f>VLOOKUP(C6045,Меню!A:E,4,0)</f>
        <v>Суши</v>
      </c>
      <c r="F6045">
        <f>VLOOKUP(C6045,Меню!A:E,5,0)</f>
        <v>200</v>
      </c>
    </row>
    <row r="6046" spans="1:6" ht="15.75" hidden="1" customHeight="1" x14ac:dyDescent="0.35">
      <c r="A6046" s="1">
        <v>6045</v>
      </c>
      <c r="B6046" s="1">
        <v>1197</v>
      </c>
      <c r="C6046" s="1">
        <v>8</v>
      </c>
      <c r="D6046" t="str">
        <f>VLOOKUP(B6046,Заказы!A:C,3,0)</f>
        <v>2023-12-21 17:13:00</v>
      </c>
      <c r="E6046" t="str">
        <f>VLOOKUP(C6046,Меню!A:E,4,0)</f>
        <v>Завтрак</v>
      </c>
      <c r="F6046">
        <f>VLOOKUP(C6046,Меню!A:E,5,0)</f>
        <v>180</v>
      </c>
    </row>
    <row r="6047" spans="1:6" ht="15.75" hidden="1" customHeight="1" x14ac:dyDescent="0.35">
      <c r="A6047" s="1">
        <v>6046</v>
      </c>
      <c r="B6047" s="1">
        <v>1197</v>
      </c>
      <c r="C6047" s="1">
        <v>50</v>
      </c>
      <c r="D6047" t="str">
        <f>VLOOKUP(B6047,Заказы!A:C,3,0)</f>
        <v>2023-12-21 17:13:00</v>
      </c>
      <c r="E6047" t="str">
        <f>VLOOKUP(C6047,Меню!A:E,4,0)</f>
        <v>Суши</v>
      </c>
      <c r="F6047">
        <f>VLOOKUP(C6047,Меню!A:E,5,0)</f>
        <v>200</v>
      </c>
    </row>
    <row r="6048" spans="1:6" ht="15.75" hidden="1" customHeight="1" x14ac:dyDescent="0.35">
      <c r="A6048" s="1">
        <v>6047</v>
      </c>
      <c r="B6048" s="1">
        <v>1197</v>
      </c>
      <c r="C6048" s="1">
        <v>58</v>
      </c>
      <c r="D6048" t="str">
        <f>VLOOKUP(B6048,Заказы!A:C,3,0)</f>
        <v>2023-12-21 17:13:00</v>
      </c>
      <c r="E6048" t="str">
        <f>VLOOKUP(C6048,Меню!A:E,4,0)</f>
        <v>Суши</v>
      </c>
      <c r="F6048">
        <f>VLOOKUP(C6048,Меню!A:E,5,0)</f>
        <v>200</v>
      </c>
    </row>
    <row r="6049" spans="1:6" ht="15.75" hidden="1" customHeight="1" x14ac:dyDescent="0.35">
      <c r="A6049" s="1">
        <v>6048</v>
      </c>
      <c r="B6049" s="1">
        <v>1197</v>
      </c>
      <c r="C6049" s="1">
        <v>6</v>
      </c>
      <c r="D6049" t="str">
        <f>VLOOKUP(B6049,Заказы!A:C,3,0)</f>
        <v>2023-12-21 17:13:00</v>
      </c>
      <c r="E6049" t="str">
        <f>VLOOKUP(C6049,Меню!A:E,4,0)</f>
        <v>Завтрак</v>
      </c>
      <c r="F6049">
        <f>VLOOKUP(C6049,Меню!A:E,5,0)</f>
        <v>300</v>
      </c>
    </row>
    <row r="6050" spans="1:6" ht="15.75" hidden="1" customHeight="1" x14ac:dyDescent="0.35">
      <c r="A6050" s="1">
        <v>6049</v>
      </c>
      <c r="B6050" s="1">
        <v>1197</v>
      </c>
      <c r="C6050" s="1">
        <v>37</v>
      </c>
      <c r="D6050" t="str">
        <f>VLOOKUP(B6050,Заказы!A:C,3,0)</f>
        <v>2023-12-21 17:13:00</v>
      </c>
      <c r="E6050" t="str">
        <f>VLOOKUP(C6050,Меню!A:E,4,0)</f>
        <v>Десерт</v>
      </c>
      <c r="F6050">
        <f>VLOOKUP(C6050,Меню!A:E,5,0)</f>
        <v>100</v>
      </c>
    </row>
    <row r="6051" spans="1:6" ht="15.75" hidden="1" customHeight="1" x14ac:dyDescent="0.35">
      <c r="A6051" s="1">
        <v>6050</v>
      </c>
      <c r="B6051" s="1">
        <v>1198</v>
      </c>
      <c r="C6051" s="1">
        <v>32</v>
      </c>
      <c r="D6051" t="str">
        <f>VLOOKUP(B6051,Заказы!A:C,3,0)</f>
        <v>2023-12-21 19:13:00</v>
      </c>
      <c r="E6051" t="str">
        <f>VLOOKUP(C6051,Меню!A:E,4,0)</f>
        <v>Десерт</v>
      </c>
      <c r="F6051">
        <f>VLOOKUP(C6051,Меню!A:E,5,0)</f>
        <v>150</v>
      </c>
    </row>
    <row r="6052" spans="1:6" ht="15.75" hidden="1" customHeight="1" x14ac:dyDescent="0.35">
      <c r="A6052" s="1">
        <v>6051</v>
      </c>
      <c r="B6052" s="1">
        <v>1198</v>
      </c>
      <c r="C6052" s="1">
        <v>7</v>
      </c>
      <c r="D6052" t="str">
        <f>VLOOKUP(B6052,Заказы!A:C,3,0)</f>
        <v>2023-12-21 19:13:00</v>
      </c>
      <c r="E6052" t="str">
        <f>VLOOKUP(C6052,Меню!A:E,4,0)</f>
        <v>Завтрак</v>
      </c>
      <c r="F6052">
        <f>VLOOKUP(C6052,Меню!A:E,5,0)</f>
        <v>200</v>
      </c>
    </row>
    <row r="6053" spans="1:6" ht="15.75" hidden="1" customHeight="1" x14ac:dyDescent="0.35">
      <c r="A6053" s="1">
        <v>6052</v>
      </c>
      <c r="B6053" s="1">
        <v>1198</v>
      </c>
      <c r="C6053" s="1">
        <v>55</v>
      </c>
      <c r="D6053" t="str">
        <f>VLOOKUP(B6053,Заказы!A:C,3,0)</f>
        <v>2023-12-21 19:13:00</v>
      </c>
      <c r="E6053" t="str">
        <f>VLOOKUP(C6053,Меню!A:E,4,0)</f>
        <v>Суши</v>
      </c>
      <c r="F6053">
        <f>VLOOKUP(C6053,Меню!A:E,5,0)</f>
        <v>100</v>
      </c>
    </row>
    <row r="6054" spans="1:6" ht="15.75" hidden="1" customHeight="1" x14ac:dyDescent="0.35">
      <c r="A6054" s="1">
        <v>6053</v>
      </c>
      <c r="B6054" s="1">
        <v>1199</v>
      </c>
      <c r="C6054" s="1">
        <v>15</v>
      </c>
      <c r="D6054" t="str">
        <f>VLOOKUP(B6054,Заказы!A:C,3,0)</f>
        <v>2023-12-21 20:50:00</v>
      </c>
      <c r="E6054" t="str">
        <f>VLOOKUP(C6054,Меню!A:E,4,0)</f>
        <v>Первое</v>
      </c>
      <c r="F6054">
        <f>VLOOKUP(C6054,Меню!A:E,5,0)</f>
        <v>250</v>
      </c>
    </row>
    <row r="6055" spans="1:6" ht="15.75" hidden="1" customHeight="1" x14ac:dyDescent="0.35">
      <c r="A6055" s="1">
        <v>6054</v>
      </c>
      <c r="B6055" s="1">
        <v>1199</v>
      </c>
      <c r="C6055" s="1">
        <v>53</v>
      </c>
      <c r="D6055" t="str">
        <f>VLOOKUP(B6055,Заказы!A:C,3,0)</f>
        <v>2023-12-21 20:50:00</v>
      </c>
      <c r="E6055" t="str">
        <f>VLOOKUP(C6055,Меню!A:E,4,0)</f>
        <v>Суши</v>
      </c>
      <c r="F6055">
        <f>VLOOKUP(C6055,Меню!A:E,5,0)</f>
        <v>100</v>
      </c>
    </row>
    <row r="6056" spans="1:6" ht="15.75" hidden="1" customHeight="1" x14ac:dyDescent="0.35">
      <c r="A6056" s="1">
        <v>6055</v>
      </c>
      <c r="B6056" s="1">
        <v>1199</v>
      </c>
      <c r="C6056" s="1">
        <v>39</v>
      </c>
      <c r="D6056" t="str">
        <f>VLOOKUP(B6056,Заказы!A:C,3,0)</f>
        <v>2023-12-21 20:50:00</v>
      </c>
      <c r="E6056" t="str">
        <f>VLOOKUP(C6056,Меню!A:E,4,0)</f>
        <v>Десерт</v>
      </c>
      <c r="F6056">
        <f>VLOOKUP(C6056,Меню!A:E,5,0)</f>
        <v>150</v>
      </c>
    </row>
    <row r="6057" spans="1:6" ht="15.75" hidden="1" customHeight="1" x14ac:dyDescent="0.35">
      <c r="A6057" s="1">
        <v>6056</v>
      </c>
      <c r="B6057" s="1">
        <v>1199</v>
      </c>
      <c r="C6057" s="1">
        <v>60</v>
      </c>
      <c r="D6057" t="str">
        <f>VLOOKUP(B6057,Заказы!A:C,3,0)</f>
        <v>2023-12-21 20:50:00</v>
      </c>
      <c r="E6057" t="str">
        <f>VLOOKUP(C6057,Меню!A:E,4,0)</f>
        <v>Суши</v>
      </c>
      <c r="F6057">
        <f>VLOOKUP(C6057,Меню!A:E,5,0)</f>
        <v>250</v>
      </c>
    </row>
    <row r="6058" spans="1:6" ht="15.75" hidden="1" customHeight="1" x14ac:dyDescent="0.35">
      <c r="A6058" s="1">
        <v>6057</v>
      </c>
      <c r="B6058" s="1">
        <v>1199</v>
      </c>
      <c r="C6058" s="1">
        <v>58</v>
      </c>
      <c r="D6058" t="str">
        <f>VLOOKUP(B6058,Заказы!A:C,3,0)</f>
        <v>2023-12-21 20:50:00</v>
      </c>
      <c r="E6058" t="str">
        <f>VLOOKUP(C6058,Меню!A:E,4,0)</f>
        <v>Суши</v>
      </c>
      <c r="F6058">
        <f>VLOOKUP(C6058,Меню!A:E,5,0)</f>
        <v>200</v>
      </c>
    </row>
    <row r="6059" spans="1:6" ht="15.75" hidden="1" customHeight="1" x14ac:dyDescent="0.35">
      <c r="A6059" s="1">
        <v>6058</v>
      </c>
      <c r="B6059" s="1">
        <v>1199</v>
      </c>
      <c r="C6059" s="1">
        <v>4</v>
      </c>
      <c r="D6059" t="str">
        <f>VLOOKUP(B6059,Заказы!A:C,3,0)</f>
        <v>2023-12-21 20:50:00</v>
      </c>
      <c r="E6059" t="str">
        <f>VLOOKUP(C6059,Меню!A:E,4,0)</f>
        <v>Завтрак</v>
      </c>
      <c r="F6059">
        <f>VLOOKUP(C6059,Меню!A:E,5,0)</f>
        <v>180</v>
      </c>
    </row>
    <row r="6060" spans="1:6" ht="15.75" hidden="1" customHeight="1" x14ac:dyDescent="0.35">
      <c r="A6060" s="1">
        <v>6059</v>
      </c>
      <c r="B6060" s="1">
        <v>1199</v>
      </c>
      <c r="C6060" s="1">
        <v>7</v>
      </c>
      <c r="D6060" t="str">
        <f>VLOOKUP(B6060,Заказы!A:C,3,0)</f>
        <v>2023-12-21 20:50:00</v>
      </c>
      <c r="E6060" t="str">
        <f>VLOOKUP(C6060,Меню!A:E,4,0)</f>
        <v>Завтрак</v>
      </c>
      <c r="F6060">
        <f>VLOOKUP(C6060,Меню!A:E,5,0)</f>
        <v>200</v>
      </c>
    </row>
    <row r="6061" spans="1:6" ht="15.75" hidden="1" customHeight="1" x14ac:dyDescent="0.35">
      <c r="A6061" s="1">
        <v>6060</v>
      </c>
      <c r="B6061" s="1">
        <v>1199</v>
      </c>
      <c r="C6061" s="1">
        <v>18</v>
      </c>
      <c r="D6061" t="str">
        <f>VLOOKUP(B6061,Заказы!A:C,3,0)</f>
        <v>2023-12-21 20:50:00</v>
      </c>
      <c r="E6061" t="str">
        <f>VLOOKUP(C6061,Меню!A:E,4,0)</f>
        <v>Первое</v>
      </c>
      <c r="F6061">
        <f>VLOOKUP(C6061,Меню!A:E,5,0)</f>
        <v>300</v>
      </c>
    </row>
    <row r="6062" spans="1:6" ht="15.75" hidden="1" customHeight="1" x14ac:dyDescent="0.35">
      <c r="A6062" s="1">
        <v>6061</v>
      </c>
      <c r="B6062" s="1">
        <v>1199</v>
      </c>
      <c r="C6062" s="1">
        <v>54</v>
      </c>
      <c r="D6062" t="str">
        <f>VLOOKUP(B6062,Заказы!A:C,3,0)</f>
        <v>2023-12-21 20:50:00</v>
      </c>
      <c r="E6062" t="str">
        <f>VLOOKUP(C6062,Меню!A:E,4,0)</f>
        <v>Суши</v>
      </c>
      <c r="F6062">
        <f>VLOOKUP(C6062,Меню!A:E,5,0)</f>
        <v>100</v>
      </c>
    </row>
    <row r="6063" spans="1:6" ht="15.75" hidden="1" customHeight="1" x14ac:dyDescent="0.35">
      <c r="A6063" s="1">
        <v>6062</v>
      </c>
      <c r="B6063" s="1">
        <v>1199</v>
      </c>
      <c r="C6063" s="1">
        <v>58</v>
      </c>
      <c r="D6063" t="str">
        <f>VLOOKUP(B6063,Заказы!A:C,3,0)</f>
        <v>2023-12-21 20:50:00</v>
      </c>
      <c r="E6063" t="str">
        <f>VLOOKUP(C6063,Меню!A:E,4,0)</f>
        <v>Суши</v>
      </c>
      <c r="F6063">
        <f>VLOOKUP(C6063,Меню!A:E,5,0)</f>
        <v>200</v>
      </c>
    </row>
    <row r="6064" spans="1:6" ht="15.75" hidden="1" customHeight="1" x14ac:dyDescent="0.35">
      <c r="A6064" s="1">
        <v>6063</v>
      </c>
      <c r="B6064" s="1">
        <v>1199</v>
      </c>
      <c r="C6064" s="1">
        <v>3</v>
      </c>
      <c r="D6064" t="str">
        <f>VLOOKUP(B6064,Заказы!A:C,3,0)</f>
        <v>2023-12-21 20:50:00</v>
      </c>
      <c r="E6064" t="str">
        <f>VLOOKUP(C6064,Меню!A:E,4,0)</f>
        <v>Завтрак</v>
      </c>
      <c r="F6064">
        <f>VLOOKUP(C6064,Меню!A:E,5,0)</f>
        <v>150</v>
      </c>
    </row>
    <row r="6065" spans="1:6" ht="15.75" hidden="1" customHeight="1" x14ac:dyDescent="0.35">
      <c r="A6065" s="1">
        <v>6064</v>
      </c>
      <c r="B6065" s="1">
        <v>1199</v>
      </c>
      <c r="C6065" s="1">
        <v>15</v>
      </c>
      <c r="D6065" t="str">
        <f>VLOOKUP(B6065,Заказы!A:C,3,0)</f>
        <v>2023-12-21 20:50:00</v>
      </c>
      <c r="E6065" t="str">
        <f>VLOOKUP(C6065,Меню!A:E,4,0)</f>
        <v>Первое</v>
      </c>
      <c r="F6065">
        <f>VLOOKUP(C6065,Меню!A:E,5,0)</f>
        <v>250</v>
      </c>
    </row>
    <row r="6066" spans="1:6" ht="15.75" hidden="1" customHeight="1" x14ac:dyDescent="0.35">
      <c r="A6066" s="1">
        <v>6065</v>
      </c>
      <c r="B6066" s="1">
        <v>1200</v>
      </c>
      <c r="C6066" s="1">
        <v>21</v>
      </c>
      <c r="D6066" t="str">
        <f>VLOOKUP(B6066,Заказы!A:C,3,0)</f>
        <v>2023-12-22 15:14:00</v>
      </c>
      <c r="E6066" t="str">
        <f>VLOOKUP(C6066,Меню!A:E,4,0)</f>
        <v>Салат</v>
      </c>
      <c r="F6066">
        <f>VLOOKUP(C6066,Меню!A:E,5,0)</f>
        <v>250</v>
      </c>
    </row>
    <row r="6067" spans="1:6" ht="15.75" hidden="1" customHeight="1" x14ac:dyDescent="0.35">
      <c r="A6067" s="1">
        <v>6066</v>
      </c>
      <c r="B6067" s="1">
        <v>1200</v>
      </c>
      <c r="C6067" s="1">
        <v>27</v>
      </c>
      <c r="D6067" t="str">
        <f>VLOOKUP(B6067,Заказы!A:C,3,0)</f>
        <v>2023-12-22 15:14:00</v>
      </c>
      <c r="E6067" t="str">
        <f>VLOOKUP(C6067,Меню!A:E,4,0)</f>
        <v>Салат</v>
      </c>
      <c r="F6067">
        <f>VLOOKUP(C6067,Меню!A:E,5,0)</f>
        <v>250</v>
      </c>
    </row>
    <row r="6068" spans="1:6" ht="15.75" hidden="1" customHeight="1" x14ac:dyDescent="0.35">
      <c r="A6068" s="1">
        <v>6067</v>
      </c>
      <c r="B6068" s="1">
        <v>1200</v>
      </c>
      <c r="C6068" s="1">
        <v>24</v>
      </c>
      <c r="D6068" t="str">
        <f>VLOOKUP(B6068,Заказы!A:C,3,0)</f>
        <v>2023-12-22 15:14:00</v>
      </c>
      <c r="E6068" t="str">
        <f>VLOOKUP(C6068,Меню!A:E,4,0)</f>
        <v>Салат</v>
      </c>
      <c r="F6068">
        <f>VLOOKUP(C6068,Меню!A:E,5,0)</f>
        <v>250</v>
      </c>
    </row>
    <row r="6069" spans="1:6" ht="15.75" hidden="1" customHeight="1" x14ac:dyDescent="0.35">
      <c r="A6069" s="1">
        <v>6068</v>
      </c>
      <c r="B6069" s="1">
        <v>1200</v>
      </c>
      <c r="C6069" s="1">
        <v>16</v>
      </c>
      <c r="D6069" t="str">
        <f>VLOOKUP(B6069,Заказы!A:C,3,0)</f>
        <v>2023-12-22 15:14:00</v>
      </c>
      <c r="E6069" t="str">
        <f>VLOOKUP(C6069,Меню!A:E,4,0)</f>
        <v>Первое</v>
      </c>
      <c r="F6069">
        <f>VLOOKUP(C6069,Меню!A:E,5,0)</f>
        <v>250</v>
      </c>
    </row>
    <row r="6070" spans="1:6" ht="15.75" hidden="1" customHeight="1" x14ac:dyDescent="0.35">
      <c r="A6070" s="1">
        <v>6069</v>
      </c>
      <c r="B6070" s="1">
        <v>1200</v>
      </c>
      <c r="C6070" s="1">
        <v>21</v>
      </c>
      <c r="D6070" t="str">
        <f>VLOOKUP(B6070,Заказы!A:C,3,0)</f>
        <v>2023-12-22 15:14:00</v>
      </c>
      <c r="E6070" t="str">
        <f>VLOOKUP(C6070,Меню!A:E,4,0)</f>
        <v>Салат</v>
      </c>
      <c r="F6070">
        <f>VLOOKUP(C6070,Меню!A:E,5,0)</f>
        <v>250</v>
      </c>
    </row>
    <row r="6071" spans="1:6" ht="15.75" hidden="1" customHeight="1" x14ac:dyDescent="0.35">
      <c r="A6071" s="1">
        <v>6070</v>
      </c>
      <c r="B6071" s="1">
        <v>1200</v>
      </c>
      <c r="C6071" s="1">
        <v>53</v>
      </c>
      <c r="D6071" t="str">
        <f>VLOOKUP(B6071,Заказы!A:C,3,0)</f>
        <v>2023-12-22 15:14:00</v>
      </c>
      <c r="E6071" t="str">
        <f>VLOOKUP(C6071,Меню!A:E,4,0)</f>
        <v>Суши</v>
      </c>
      <c r="F6071">
        <f>VLOOKUP(C6071,Меню!A:E,5,0)</f>
        <v>100</v>
      </c>
    </row>
    <row r="6072" spans="1:6" ht="15.75" hidden="1" customHeight="1" x14ac:dyDescent="0.35">
      <c r="A6072" s="1">
        <v>6071</v>
      </c>
      <c r="B6072" s="1">
        <v>1201</v>
      </c>
      <c r="C6072" s="1">
        <v>24</v>
      </c>
      <c r="D6072" t="str">
        <f>VLOOKUP(B6072,Заказы!A:C,3,0)</f>
        <v>2023-12-22 16:10:00</v>
      </c>
      <c r="E6072" t="str">
        <f>VLOOKUP(C6072,Меню!A:E,4,0)</f>
        <v>Салат</v>
      </c>
      <c r="F6072">
        <f>VLOOKUP(C6072,Меню!A:E,5,0)</f>
        <v>250</v>
      </c>
    </row>
    <row r="6073" spans="1:6" ht="15.75" hidden="1" customHeight="1" x14ac:dyDescent="0.35">
      <c r="A6073" s="1">
        <v>6072</v>
      </c>
      <c r="B6073" s="1">
        <v>1201</v>
      </c>
      <c r="C6073" s="1">
        <v>25</v>
      </c>
      <c r="D6073" t="str">
        <f>VLOOKUP(B6073,Заказы!A:C,3,0)</f>
        <v>2023-12-22 16:10:00</v>
      </c>
      <c r="E6073" t="str">
        <f>VLOOKUP(C6073,Меню!A:E,4,0)</f>
        <v>Салат</v>
      </c>
      <c r="F6073">
        <f>VLOOKUP(C6073,Меню!A:E,5,0)</f>
        <v>250</v>
      </c>
    </row>
    <row r="6074" spans="1:6" ht="15.75" hidden="1" customHeight="1" x14ac:dyDescent="0.35">
      <c r="A6074" s="1">
        <v>6073</v>
      </c>
      <c r="B6074" s="1">
        <v>1201</v>
      </c>
      <c r="C6074" s="1">
        <v>34</v>
      </c>
      <c r="D6074" t="str">
        <f>VLOOKUP(B6074,Заказы!A:C,3,0)</f>
        <v>2023-12-22 16:10:00</v>
      </c>
      <c r="E6074" t="str">
        <f>VLOOKUP(C6074,Меню!A:E,4,0)</f>
        <v>Десерт</v>
      </c>
      <c r="F6074">
        <f>VLOOKUP(C6074,Меню!A:E,5,0)</f>
        <v>150</v>
      </c>
    </row>
    <row r="6075" spans="1:6" ht="15.75" hidden="1" customHeight="1" x14ac:dyDescent="0.35">
      <c r="A6075" s="1">
        <v>6074</v>
      </c>
      <c r="B6075" s="1">
        <v>1201</v>
      </c>
      <c r="C6075" s="1">
        <v>43</v>
      </c>
      <c r="D6075" t="str">
        <f>VLOOKUP(B6075,Заказы!A:C,3,0)</f>
        <v>2023-12-22 16:10:00</v>
      </c>
      <c r="E6075" t="str">
        <f>VLOOKUP(C6075,Меню!A:E,4,0)</f>
        <v>Суши</v>
      </c>
      <c r="F6075">
        <f>VLOOKUP(C6075,Меню!A:E,5,0)</f>
        <v>250</v>
      </c>
    </row>
    <row r="6076" spans="1:6" ht="15.75" hidden="1" customHeight="1" x14ac:dyDescent="0.35">
      <c r="A6076" s="1">
        <v>6075</v>
      </c>
      <c r="B6076" s="1">
        <v>1201</v>
      </c>
      <c r="C6076" s="1">
        <v>25</v>
      </c>
      <c r="D6076" t="str">
        <f>VLOOKUP(B6076,Заказы!A:C,3,0)</f>
        <v>2023-12-22 16:10:00</v>
      </c>
      <c r="E6076" t="str">
        <f>VLOOKUP(C6076,Меню!A:E,4,0)</f>
        <v>Салат</v>
      </c>
      <c r="F6076">
        <f>VLOOKUP(C6076,Меню!A:E,5,0)</f>
        <v>250</v>
      </c>
    </row>
    <row r="6077" spans="1:6" ht="15.75" hidden="1" customHeight="1" x14ac:dyDescent="0.35">
      <c r="A6077" s="1">
        <v>6076</v>
      </c>
      <c r="B6077" s="1">
        <v>1202</v>
      </c>
      <c r="C6077" s="1">
        <v>25</v>
      </c>
      <c r="D6077" t="str">
        <f>VLOOKUP(B6077,Заказы!A:C,3,0)</f>
        <v>2023-12-22 17:42:00</v>
      </c>
      <c r="E6077" t="str">
        <f>VLOOKUP(C6077,Меню!A:E,4,0)</f>
        <v>Салат</v>
      </c>
      <c r="F6077">
        <f>VLOOKUP(C6077,Меню!A:E,5,0)</f>
        <v>250</v>
      </c>
    </row>
    <row r="6078" spans="1:6" ht="15.75" hidden="1" customHeight="1" x14ac:dyDescent="0.35">
      <c r="A6078" s="1">
        <v>6077</v>
      </c>
      <c r="B6078" s="1">
        <v>1202</v>
      </c>
      <c r="C6078" s="1">
        <v>19</v>
      </c>
      <c r="D6078" t="str">
        <f>VLOOKUP(B6078,Заказы!A:C,3,0)</f>
        <v>2023-12-22 17:42:00</v>
      </c>
      <c r="E6078" t="str">
        <f>VLOOKUP(C6078,Меню!A:E,4,0)</f>
        <v>Первое</v>
      </c>
      <c r="F6078">
        <f>VLOOKUP(C6078,Меню!A:E,5,0)</f>
        <v>300</v>
      </c>
    </row>
    <row r="6079" spans="1:6" ht="15.75" hidden="1" customHeight="1" x14ac:dyDescent="0.35">
      <c r="A6079" s="1">
        <v>6078</v>
      </c>
      <c r="B6079" s="1">
        <v>1202</v>
      </c>
      <c r="C6079" s="1">
        <v>44</v>
      </c>
      <c r="D6079" t="str">
        <f>VLOOKUP(B6079,Заказы!A:C,3,0)</f>
        <v>2023-12-22 17:42:00</v>
      </c>
      <c r="E6079" t="str">
        <f>VLOOKUP(C6079,Меню!A:E,4,0)</f>
        <v>Суши</v>
      </c>
      <c r="F6079">
        <f>VLOOKUP(C6079,Меню!A:E,5,0)</f>
        <v>250</v>
      </c>
    </row>
    <row r="6080" spans="1:6" ht="15.75" hidden="1" customHeight="1" x14ac:dyDescent="0.35">
      <c r="A6080" s="1">
        <v>6079</v>
      </c>
      <c r="B6080" s="1">
        <v>1202</v>
      </c>
      <c r="C6080" s="1">
        <v>30</v>
      </c>
      <c r="D6080" t="str">
        <f>VLOOKUP(B6080,Заказы!A:C,3,0)</f>
        <v>2023-12-22 17:42:00</v>
      </c>
      <c r="E6080" t="str">
        <f>VLOOKUP(C6080,Меню!A:E,4,0)</f>
        <v>Салат</v>
      </c>
      <c r="F6080">
        <f>VLOOKUP(C6080,Меню!A:E,5,0)</f>
        <v>250</v>
      </c>
    </row>
    <row r="6081" spans="1:6" ht="15.75" hidden="1" customHeight="1" x14ac:dyDescent="0.35">
      <c r="A6081" s="1">
        <v>6080</v>
      </c>
      <c r="B6081" s="1">
        <v>1202</v>
      </c>
      <c r="C6081" s="1">
        <v>55</v>
      </c>
      <c r="D6081" t="str">
        <f>VLOOKUP(B6081,Заказы!A:C,3,0)</f>
        <v>2023-12-22 17:42:00</v>
      </c>
      <c r="E6081" t="str">
        <f>VLOOKUP(C6081,Меню!A:E,4,0)</f>
        <v>Суши</v>
      </c>
      <c r="F6081">
        <f>VLOOKUP(C6081,Меню!A:E,5,0)</f>
        <v>100</v>
      </c>
    </row>
    <row r="6082" spans="1:6" ht="15.75" hidden="1" customHeight="1" x14ac:dyDescent="0.35">
      <c r="A6082" s="1">
        <v>6081</v>
      </c>
      <c r="B6082" s="1">
        <v>1202</v>
      </c>
      <c r="C6082" s="1">
        <v>51</v>
      </c>
      <c r="D6082" t="str">
        <f>VLOOKUP(B6082,Заказы!A:C,3,0)</f>
        <v>2023-12-22 17:42:00</v>
      </c>
      <c r="E6082" t="str">
        <f>VLOOKUP(C6082,Меню!A:E,4,0)</f>
        <v>Суши</v>
      </c>
      <c r="F6082">
        <f>VLOOKUP(C6082,Меню!A:E,5,0)</f>
        <v>100</v>
      </c>
    </row>
    <row r="6083" spans="1:6" ht="15.75" hidden="1" customHeight="1" x14ac:dyDescent="0.35">
      <c r="A6083" s="1">
        <v>6082</v>
      </c>
      <c r="B6083" s="1">
        <v>1202</v>
      </c>
      <c r="C6083" s="1">
        <v>29</v>
      </c>
      <c r="D6083" t="str">
        <f>VLOOKUP(B6083,Заказы!A:C,3,0)</f>
        <v>2023-12-22 17:42:00</v>
      </c>
      <c r="E6083" t="str">
        <f>VLOOKUP(C6083,Меню!A:E,4,0)</f>
        <v>Салат</v>
      </c>
      <c r="F6083">
        <f>VLOOKUP(C6083,Меню!A:E,5,0)</f>
        <v>250</v>
      </c>
    </row>
    <row r="6084" spans="1:6" ht="15.75" hidden="1" customHeight="1" x14ac:dyDescent="0.35">
      <c r="A6084" s="1">
        <v>6083</v>
      </c>
      <c r="B6084" s="1">
        <v>1203</v>
      </c>
      <c r="C6084" s="1">
        <v>46</v>
      </c>
      <c r="D6084" t="str">
        <f>VLOOKUP(B6084,Заказы!A:C,3,0)</f>
        <v>2023-12-22 18:17:00</v>
      </c>
      <c r="E6084" t="str">
        <f>VLOOKUP(C6084,Меню!A:E,4,0)</f>
        <v>Суши</v>
      </c>
      <c r="F6084">
        <f>VLOOKUP(C6084,Меню!A:E,5,0)</f>
        <v>200</v>
      </c>
    </row>
    <row r="6085" spans="1:6" ht="15.75" hidden="1" customHeight="1" x14ac:dyDescent="0.35">
      <c r="A6085" s="1">
        <v>6084</v>
      </c>
      <c r="B6085" s="1">
        <v>1203</v>
      </c>
      <c r="C6085" s="1">
        <v>47</v>
      </c>
      <c r="D6085" t="str">
        <f>VLOOKUP(B6085,Заказы!A:C,3,0)</f>
        <v>2023-12-22 18:17:00</v>
      </c>
      <c r="E6085" t="str">
        <f>VLOOKUP(C6085,Меню!A:E,4,0)</f>
        <v>Суши</v>
      </c>
      <c r="F6085">
        <f>VLOOKUP(C6085,Меню!A:E,5,0)</f>
        <v>200</v>
      </c>
    </row>
    <row r="6086" spans="1:6" ht="15.75" hidden="1" customHeight="1" x14ac:dyDescent="0.35">
      <c r="A6086" s="1">
        <v>6085</v>
      </c>
      <c r="B6086" s="1">
        <v>1204</v>
      </c>
      <c r="C6086" s="1">
        <v>52</v>
      </c>
      <c r="D6086" t="str">
        <f>VLOOKUP(B6086,Заказы!A:C,3,0)</f>
        <v>2023-12-22 18:44:00</v>
      </c>
      <c r="E6086" t="str">
        <f>VLOOKUP(C6086,Меню!A:E,4,0)</f>
        <v>Суши</v>
      </c>
      <c r="F6086">
        <f>VLOOKUP(C6086,Меню!A:E,5,0)</f>
        <v>100</v>
      </c>
    </row>
    <row r="6087" spans="1:6" ht="15.75" hidden="1" customHeight="1" x14ac:dyDescent="0.35">
      <c r="A6087" s="1">
        <v>6086</v>
      </c>
      <c r="B6087" s="1">
        <v>1204</v>
      </c>
      <c r="C6087" s="1">
        <v>39</v>
      </c>
      <c r="D6087" t="str">
        <f>VLOOKUP(B6087,Заказы!A:C,3,0)</f>
        <v>2023-12-22 18:44:00</v>
      </c>
      <c r="E6087" t="str">
        <f>VLOOKUP(C6087,Меню!A:E,4,0)</f>
        <v>Десерт</v>
      </c>
      <c r="F6087">
        <f>VLOOKUP(C6087,Меню!A:E,5,0)</f>
        <v>150</v>
      </c>
    </row>
    <row r="6088" spans="1:6" ht="15.75" hidden="1" customHeight="1" x14ac:dyDescent="0.35">
      <c r="A6088" s="1">
        <v>6087</v>
      </c>
      <c r="B6088" s="1">
        <v>1204</v>
      </c>
      <c r="C6088" s="1">
        <v>56</v>
      </c>
      <c r="D6088" t="str">
        <f>VLOOKUP(B6088,Заказы!A:C,3,0)</f>
        <v>2023-12-22 18:44:00</v>
      </c>
      <c r="E6088" t="str">
        <f>VLOOKUP(C6088,Меню!A:E,4,0)</f>
        <v>Суши</v>
      </c>
      <c r="F6088">
        <f>VLOOKUP(C6088,Меню!A:E,5,0)</f>
        <v>200</v>
      </c>
    </row>
    <row r="6089" spans="1:6" ht="15.75" hidden="1" customHeight="1" x14ac:dyDescent="0.35">
      <c r="A6089" s="1">
        <v>6088</v>
      </c>
      <c r="B6089" s="1">
        <v>1204</v>
      </c>
      <c r="C6089" s="1">
        <v>55</v>
      </c>
      <c r="D6089" t="str">
        <f>VLOOKUP(B6089,Заказы!A:C,3,0)</f>
        <v>2023-12-22 18:44:00</v>
      </c>
      <c r="E6089" t="str">
        <f>VLOOKUP(C6089,Меню!A:E,4,0)</f>
        <v>Суши</v>
      </c>
      <c r="F6089">
        <f>VLOOKUP(C6089,Меню!A:E,5,0)</f>
        <v>100</v>
      </c>
    </row>
    <row r="6090" spans="1:6" ht="15.75" hidden="1" customHeight="1" x14ac:dyDescent="0.35">
      <c r="A6090" s="1">
        <v>6089</v>
      </c>
      <c r="B6090" s="1">
        <v>1204</v>
      </c>
      <c r="C6090" s="1">
        <v>37</v>
      </c>
      <c r="D6090" t="str">
        <f>VLOOKUP(B6090,Заказы!A:C,3,0)</f>
        <v>2023-12-22 18:44:00</v>
      </c>
      <c r="E6090" t="str">
        <f>VLOOKUP(C6090,Меню!A:E,4,0)</f>
        <v>Десерт</v>
      </c>
      <c r="F6090">
        <f>VLOOKUP(C6090,Меню!A:E,5,0)</f>
        <v>100</v>
      </c>
    </row>
    <row r="6091" spans="1:6" ht="15.75" hidden="1" customHeight="1" x14ac:dyDescent="0.35">
      <c r="A6091" s="1">
        <v>6090</v>
      </c>
      <c r="B6091" s="1">
        <v>1204</v>
      </c>
      <c r="C6091" s="1">
        <v>54</v>
      </c>
      <c r="D6091" t="str">
        <f>VLOOKUP(B6091,Заказы!A:C,3,0)</f>
        <v>2023-12-22 18:44:00</v>
      </c>
      <c r="E6091" t="str">
        <f>VLOOKUP(C6091,Меню!A:E,4,0)</f>
        <v>Суши</v>
      </c>
      <c r="F6091">
        <f>VLOOKUP(C6091,Меню!A:E,5,0)</f>
        <v>100</v>
      </c>
    </row>
    <row r="6092" spans="1:6" ht="15.75" hidden="1" customHeight="1" x14ac:dyDescent="0.35">
      <c r="A6092" s="1">
        <v>6091</v>
      </c>
      <c r="B6092" s="1">
        <v>1204</v>
      </c>
      <c r="C6092" s="1">
        <v>9</v>
      </c>
      <c r="D6092" t="str">
        <f>VLOOKUP(B6092,Заказы!A:C,3,0)</f>
        <v>2023-12-22 18:44:00</v>
      </c>
      <c r="E6092" t="str">
        <f>VLOOKUP(C6092,Меню!A:E,4,0)</f>
        <v>Завтрак</v>
      </c>
      <c r="F6092">
        <f>VLOOKUP(C6092,Меню!A:E,5,0)</f>
        <v>220</v>
      </c>
    </row>
    <row r="6093" spans="1:6" ht="15.75" hidden="1" customHeight="1" x14ac:dyDescent="0.35">
      <c r="A6093" s="1">
        <v>6092</v>
      </c>
      <c r="B6093" s="1">
        <v>1204</v>
      </c>
      <c r="C6093" s="1">
        <v>20</v>
      </c>
      <c r="D6093" t="str">
        <f>VLOOKUP(B6093,Заказы!A:C,3,0)</f>
        <v>2023-12-22 18:44:00</v>
      </c>
      <c r="E6093" t="str">
        <f>VLOOKUP(C6093,Меню!A:E,4,0)</f>
        <v>Первое</v>
      </c>
      <c r="F6093">
        <f>VLOOKUP(C6093,Меню!A:E,5,0)</f>
        <v>250</v>
      </c>
    </row>
    <row r="6094" spans="1:6" ht="15.75" hidden="1" customHeight="1" x14ac:dyDescent="0.35">
      <c r="A6094" s="1">
        <v>6093</v>
      </c>
      <c r="B6094" s="1">
        <v>1205</v>
      </c>
      <c r="C6094" s="1">
        <v>16</v>
      </c>
      <c r="D6094" t="str">
        <f>VLOOKUP(B6094,Заказы!A:C,3,0)</f>
        <v>2023-12-22 19:41:00</v>
      </c>
      <c r="E6094" t="str">
        <f>VLOOKUP(C6094,Меню!A:E,4,0)</f>
        <v>Первое</v>
      </c>
      <c r="F6094">
        <f>VLOOKUP(C6094,Меню!A:E,5,0)</f>
        <v>250</v>
      </c>
    </row>
    <row r="6095" spans="1:6" ht="15.75" hidden="1" customHeight="1" x14ac:dyDescent="0.35">
      <c r="A6095" s="1">
        <v>6094</v>
      </c>
      <c r="B6095" s="1">
        <v>1205</v>
      </c>
      <c r="C6095" s="1">
        <v>42</v>
      </c>
      <c r="D6095" t="str">
        <f>VLOOKUP(B6095,Заказы!A:C,3,0)</f>
        <v>2023-12-22 19:41:00</v>
      </c>
      <c r="E6095" t="str">
        <f>VLOOKUP(C6095,Меню!A:E,4,0)</f>
        <v>Суши</v>
      </c>
      <c r="F6095">
        <f>VLOOKUP(C6095,Меню!A:E,5,0)</f>
        <v>250</v>
      </c>
    </row>
    <row r="6096" spans="1:6" ht="15.75" hidden="1" customHeight="1" x14ac:dyDescent="0.35">
      <c r="A6096" s="1">
        <v>6095</v>
      </c>
      <c r="B6096" s="1">
        <v>1205</v>
      </c>
      <c r="C6096" s="1">
        <v>12</v>
      </c>
      <c r="D6096" t="str">
        <f>VLOOKUP(B6096,Заказы!A:C,3,0)</f>
        <v>2023-12-22 19:41:00</v>
      </c>
      <c r="E6096" t="str">
        <f>VLOOKUP(C6096,Меню!A:E,4,0)</f>
        <v>Первое</v>
      </c>
      <c r="F6096">
        <f>VLOOKUP(C6096,Меню!A:E,5,0)</f>
        <v>300</v>
      </c>
    </row>
    <row r="6097" spans="1:6" ht="15.75" hidden="1" customHeight="1" x14ac:dyDescent="0.35">
      <c r="A6097" s="1">
        <v>6096</v>
      </c>
      <c r="B6097" s="1">
        <v>1205</v>
      </c>
      <c r="C6097" s="1">
        <v>28</v>
      </c>
      <c r="D6097" t="str">
        <f>VLOOKUP(B6097,Заказы!A:C,3,0)</f>
        <v>2023-12-22 19:41:00</v>
      </c>
      <c r="E6097" t="str">
        <f>VLOOKUP(C6097,Меню!A:E,4,0)</f>
        <v>Салат</v>
      </c>
      <c r="F6097">
        <f>VLOOKUP(C6097,Меню!A:E,5,0)</f>
        <v>250</v>
      </c>
    </row>
    <row r="6098" spans="1:6" ht="15.75" hidden="1" customHeight="1" x14ac:dyDescent="0.35">
      <c r="A6098" s="1">
        <v>6097</v>
      </c>
      <c r="B6098" s="1">
        <v>1205</v>
      </c>
      <c r="C6098" s="1">
        <v>47</v>
      </c>
      <c r="D6098" t="str">
        <f>VLOOKUP(B6098,Заказы!A:C,3,0)</f>
        <v>2023-12-22 19:41:00</v>
      </c>
      <c r="E6098" t="str">
        <f>VLOOKUP(C6098,Меню!A:E,4,0)</f>
        <v>Суши</v>
      </c>
      <c r="F6098">
        <f>VLOOKUP(C6098,Меню!A:E,5,0)</f>
        <v>200</v>
      </c>
    </row>
    <row r="6099" spans="1:6" ht="15.75" hidden="1" customHeight="1" x14ac:dyDescent="0.35">
      <c r="A6099" s="1">
        <v>6098</v>
      </c>
      <c r="B6099" s="1">
        <v>1206</v>
      </c>
      <c r="C6099" s="1">
        <v>32</v>
      </c>
      <c r="D6099" t="str">
        <f>VLOOKUP(B6099,Заказы!A:C,3,0)</f>
        <v>2023-12-22 22:44:00</v>
      </c>
      <c r="E6099" t="str">
        <f>VLOOKUP(C6099,Меню!A:E,4,0)</f>
        <v>Десерт</v>
      </c>
      <c r="F6099">
        <f>VLOOKUP(C6099,Меню!A:E,5,0)</f>
        <v>150</v>
      </c>
    </row>
    <row r="6100" spans="1:6" ht="15.75" hidden="1" customHeight="1" x14ac:dyDescent="0.35">
      <c r="A6100" s="1">
        <v>6099</v>
      </c>
      <c r="B6100" s="1">
        <v>1206</v>
      </c>
      <c r="C6100" s="1">
        <v>23</v>
      </c>
      <c r="D6100" t="str">
        <f>VLOOKUP(B6100,Заказы!A:C,3,0)</f>
        <v>2023-12-22 22:44:00</v>
      </c>
      <c r="E6100" t="str">
        <f>VLOOKUP(C6100,Меню!A:E,4,0)</f>
        <v>Салат</v>
      </c>
      <c r="F6100">
        <f>VLOOKUP(C6100,Меню!A:E,5,0)</f>
        <v>250</v>
      </c>
    </row>
    <row r="6101" spans="1:6" ht="15.75" hidden="1" customHeight="1" x14ac:dyDescent="0.35">
      <c r="A6101" s="1">
        <v>6100</v>
      </c>
      <c r="B6101" s="1">
        <v>1206</v>
      </c>
      <c r="C6101" s="1">
        <v>60</v>
      </c>
      <c r="D6101" t="str">
        <f>VLOOKUP(B6101,Заказы!A:C,3,0)</f>
        <v>2023-12-22 22:44:00</v>
      </c>
      <c r="E6101" t="str">
        <f>VLOOKUP(C6101,Меню!A:E,4,0)</f>
        <v>Суши</v>
      </c>
      <c r="F6101">
        <f>VLOOKUP(C6101,Меню!A:E,5,0)</f>
        <v>250</v>
      </c>
    </row>
    <row r="6102" spans="1:6" ht="15.75" hidden="1" customHeight="1" x14ac:dyDescent="0.35">
      <c r="A6102" s="1">
        <v>6101</v>
      </c>
      <c r="B6102" s="1">
        <v>1206</v>
      </c>
      <c r="C6102" s="1">
        <v>43</v>
      </c>
      <c r="D6102" t="str">
        <f>VLOOKUP(B6102,Заказы!A:C,3,0)</f>
        <v>2023-12-22 22:44:00</v>
      </c>
      <c r="E6102" t="str">
        <f>VLOOKUP(C6102,Меню!A:E,4,0)</f>
        <v>Суши</v>
      </c>
      <c r="F6102">
        <f>VLOOKUP(C6102,Меню!A:E,5,0)</f>
        <v>250</v>
      </c>
    </row>
    <row r="6103" spans="1:6" ht="15.75" hidden="1" customHeight="1" x14ac:dyDescent="0.35">
      <c r="A6103" s="1">
        <v>6102</v>
      </c>
      <c r="B6103" s="1">
        <v>1206</v>
      </c>
      <c r="C6103" s="1">
        <v>58</v>
      </c>
      <c r="D6103" t="str">
        <f>VLOOKUP(B6103,Заказы!A:C,3,0)</f>
        <v>2023-12-22 22:44:00</v>
      </c>
      <c r="E6103" t="str">
        <f>VLOOKUP(C6103,Меню!A:E,4,0)</f>
        <v>Суши</v>
      </c>
      <c r="F6103">
        <f>VLOOKUP(C6103,Меню!A:E,5,0)</f>
        <v>200</v>
      </c>
    </row>
    <row r="6104" spans="1:6" ht="15.75" hidden="1" customHeight="1" x14ac:dyDescent="0.35">
      <c r="A6104" s="1">
        <v>6103</v>
      </c>
      <c r="B6104" s="1">
        <v>1207</v>
      </c>
      <c r="C6104" s="1">
        <v>58</v>
      </c>
      <c r="D6104" t="str">
        <f>VLOOKUP(B6104,Заказы!A:C,3,0)</f>
        <v>2023-12-23 21:54:00</v>
      </c>
      <c r="E6104" t="str">
        <f>VLOOKUP(C6104,Меню!A:E,4,0)</f>
        <v>Суши</v>
      </c>
      <c r="F6104">
        <f>VLOOKUP(C6104,Меню!A:E,5,0)</f>
        <v>200</v>
      </c>
    </row>
    <row r="6105" spans="1:6" ht="15.75" hidden="1" customHeight="1" x14ac:dyDescent="0.35">
      <c r="A6105" s="1">
        <v>6104</v>
      </c>
      <c r="B6105" s="1">
        <v>1207</v>
      </c>
      <c r="C6105" s="1">
        <v>58</v>
      </c>
      <c r="D6105" t="str">
        <f>VLOOKUP(B6105,Заказы!A:C,3,0)</f>
        <v>2023-12-23 21:54:00</v>
      </c>
      <c r="E6105" t="str">
        <f>VLOOKUP(C6105,Меню!A:E,4,0)</f>
        <v>Суши</v>
      </c>
      <c r="F6105">
        <f>VLOOKUP(C6105,Меню!A:E,5,0)</f>
        <v>200</v>
      </c>
    </row>
    <row r="6106" spans="1:6" ht="15.75" hidden="1" customHeight="1" x14ac:dyDescent="0.35">
      <c r="A6106" s="1">
        <v>6105</v>
      </c>
      <c r="B6106" s="1">
        <v>1207</v>
      </c>
      <c r="C6106" s="1">
        <v>50</v>
      </c>
      <c r="D6106" t="str">
        <f>VLOOKUP(B6106,Заказы!A:C,3,0)</f>
        <v>2023-12-23 21:54:00</v>
      </c>
      <c r="E6106" t="str">
        <f>VLOOKUP(C6106,Меню!A:E,4,0)</f>
        <v>Суши</v>
      </c>
      <c r="F6106">
        <f>VLOOKUP(C6106,Меню!A:E,5,0)</f>
        <v>200</v>
      </c>
    </row>
    <row r="6107" spans="1:6" ht="15.75" hidden="1" customHeight="1" x14ac:dyDescent="0.35">
      <c r="A6107" s="1">
        <v>6106</v>
      </c>
      <c r="B6107" s="1">
        <v>1207</v>
      </c>
      <c r="C6107" s="1">
        <v>24</v>
      </c>
      <c r="D6107" t="str">
        <f>VLOOKUP(B6107,Заказы!A:C,3,0)</f>
        <v>2023-12-23 21:54:00</v>
      </c>
      <c r="E6107" t="str">
        <f>VLOOKUP(C6107,Меню!A:E,4,0)</f>
        <v>Салат</v>
      </c>
      <c r="F6107">
        <f>VLOOKUP(C6107,Меню!A:E,5,0)</f>
        <v>250</v>
      </c>
    </row>
    <row r="6108" spans="1:6" ht="15.75" hidden="1" customHeight="1" x14ac:dyDescent="0.35">
      <c r="A6108" s="1">
        <v>6107</v>
      </c>
      <c r="B6108" s="1">
        <v>1207</v>
      </c>
      <c r="C6108" s="1">
        <v>37</v>
      </c>
      <c r="D6108" t="str">
        <f>VLOOKUP(B6108,Заказы!A:C,3,0)</f>
        <v>2023-12-23 21:54:00</v>
      </c>
      <c r="E6108" t="str">
        <f>VLOOKUP(C6108,Меню!A:E,4,0)</f>
        <v>Десерт</v>
      </c>
      <c r="F6108">
        <f>VLOOKUP(C6108,Меню!A:E,5,0)</f>
        <v>100</v>
      </c>
    </row>
    <row r="6109" spans="1:6" ht="15.75" hidden="1" customHeight="1" x14ac:dyDescent="0.35">
      <c r="A6109" s="1">
        <v>6108</v>
      </c>
      <c r="B6109" s="1">
        <v>1207</v>
      </c>
      <c r="C6109" s="1">
        <v>15</v>
      </c>
      <c r="D6109" t="str">
        <f>VLOOKUP(B6109,Заказы!A:C,3,0)</f>
        <v>2023-12-23 21:54:00</v>
      </c>
      <c r="E6109" t="str">
        <f>VLOOKUP(C6109,Меню!A:E,4,0)</f>
        <v>Первое</v>
      </c>
      <c r="F6109">
        <f>VLOOKUP(C6109,Меню!A:E,5,0)</f>
        <v>250</v>
      </c>
    </row>
    <row r="6110" spans="1:6" ht="15.75" hidden="1" customHeight="1" x14ac:dyDescent="0.35">
      <c r="A6110" s="1">
        <v>6109</v>
      </c>
      <c r="B6110" s="1">
        <v>1207</v>
      </c>
      <c r="C6110" s="1">
        <v>50</v>
      </c>
      <c r="D6110" t="str">
        <f>VLOOKUP(B6110,Заказы!A:C,3,0)</f>
        <v>2023-12-23 21:54:00</v>
      </c>
      <c r="E6110" t="str">
        <f>VLOOKUP(C6110,Меню!A:E,4,0)</f>
        <v>Суши</v>
      </c>
      <c r="F6110">
        <f>VLOOKUP(C6110,Меню!A:E,5,0)</f>
        <v>200</v>
      </c>
    </row>
    <row r="6111" spans="1:6" ht="15.75" hidden="1" customHeight="1" x14ac:dyDescent="0.35">
      <c r="A6111" s="1">
        <v>6110</v>
      </c>
      <c r="B6111" s="1">
        <v>1208</v>
      </c>
      <c r="C6111" s="1">
        <v>4</v>
      </c>
      <c r="D6111" t="str">
        <f>VLOOKUP(B6111,Заказы!A:C,3,0)</f>
        <v>2023-12-24 16:39:00</v>
      </c>
      <c r="E6111" t="str">
        <f>VLOOKUP(C6111,Меню!A:E,4,0)</f>
        <v>Завтрак</v>
      </c>
      <c r="F6111">
        <f>VLOOKUP(C6111,Меню!A:E,5,0)</f>
        <v>180</v>
      </c>
    </row>
    <row r="6112" spans="1:6" ht="15.75" hidden="1" customHeight="1" x14ac:dyDescent="0.35">
      <c r="A6112" s="1">
        <v>6111</v>
      </c>
      <c r="B6112" s="1">
        <v>1208</v>
      </c>
      <c r="C6112" s="1">
        <v>27</v>
      </c>
      <c r="D6112" t="str">
        <f>VLOOKUP(B6112,Заказы!A:C,3,0)</f>
        <v>2023-12-24 16:39:00</v>
      </c>
      <c r="E6112" t="str">
        <f>VLOOKUP(C6112,Меню!A:E,4,0)</f>
        <v>Салат</v>
      </c>
      <c r="F6112">
        <f>VLOOKUP(C6112,Меню!A:E,5,0)</f>
        <v>250</v>
      </c>
    </row>
    <row r="6113" spans="1:6" ht="15.75" hidden="1" customHeight="1" x14ac:dyDescent="0.35">
      <c r="A6113" s="1">
        <v>6112</v>
      </c>
      <c r="B6113" s="1">
        <v>1208</v>
      </c>
      <c r="C6113" s="1">
        <v>41</v>
      </c>
      <c r="D6113" t="str">
        <f>VLOOKUP(B6113,Заказы!A:C,3,0)</f>
        <v>2023-12-24 16:39:00</v>
      </c>
      <c r="E6113" t="str">
        <f>VLOOKUP(C6113,Меню!A:E,4,0)</f>
        <v>Суши</v>
      </c>
      <c r="F6113">
        <f>VLOOKUP(C6113,Меню!A:E,5,0)</f>
        <v>220</v>
      </c>
    </row>
    <row r="6114" spans="1:6" ht="15.75" hidden="1" customHeight="1" x14ac:dyDescent="0.35">
      <c r="A6114" s="1">
        <v>6113</v>
      </c>
      <c r="B6114" s="1">
        <v>1208</v>
      </c>
      <c r="C6114" s="1">
        <v>54</v>
      </c>
      <c r="D6114" t="str">
        <f>VLOOKUP(B6114,Заказы!A:C,3,0)</f>
        <v>2023-12-24 16:39:00</v>
      </c>
      <c r="E6114" t="str">
        <f>VLOOKUP(C6114,Меню!A:E,4,0)</f>
        <v>Суши</v>
      </c>
      <c r="F6114">
        <f>VLOOKUP(C6114,Меню!A:E,5,0)</f>
        <v>100</v>
      </c>
    </row>
    <row r="6115" spans="1:6" ht="15.75" hidden="1" customHeight="1" x14ac:dyDescent="0.35">
      <c r="A6115" s="1">
        <v>6114</v>
      </c>
      <c r="B6115" s="1">
        <v>1208</v>
      </c>
      <c r="C6115" s="1">
        <v>39</v>
      </c>
      <c r="D6115" t="str">
        <f>VLOOKUP(B6115,Заказы!A:C,3,0)</f>
        <v>2023-12-24 16:39:00</v>
      </c>
      <c r="E6115" t="str">
        <f>VLOOKUP(C6115,Меню!A:E,4,0)</f>
        <v>Десерт</v>
      </c>
      <c r="F6115">
        <f>VLOOKUP(C6115,Меню!A:E,5,0)</f>
        <v>150</v>
      </c>
    </row>
    <row r="6116" spans="1:6" ht="15.75" hidden="1" customHeight="1" x14ac:dyDescent="0.35">
      <c r="A6116" s="1">
        <v>6115</v>
      </c>
      <c r="B6116" s="1">
        <v>1209</v>
      </c>
      <c r="C6116" s="1">
        <v>32</v>
      </c>
      <c r="D6116" t="str">
        <f>VLOOKUP(B6116,Заказы!A:C,3,0)</f>
        <v>2023-12-24 19:38:00</v>
      </c>
      <c r="E6116" t="str">
        <f>VLOOKUP(C6116,Меню!A:E,4,0)</f>
        <v>Десерт</v>
      </c>
      <c r="F6116">
        <f>VLOOKUP(C6116,Меню!A:E,5,0)</f>
        <v>150</v>
      </c>
    </row>
    <row r="6117" spans="1:6" ht="15.75" hidden="1" customHeight="1" x14ac:dyDescent="0.35">
      <c r="A6117" s="1">
        <v>6116</v>
      </c>
      <c r="B6117" s="1">
        <v>1209</v>
      </c>
      <c r="C6117" s="1">
        <v>13</v>
      </c>
      <c r="D6117" t="str">
        <f>VLOOKUP(B6117,Заказы!A:C,3,0)</f>
        <v>2023-12-24 19:38:00</v>
      </c>
      <c r="E6117" t="str">
        <f>VLOOKUP(C6117,Меню!A:E,4,0)</f>
        <v>Первое</v>
      </c>
      <c r="F6117">
        <f>VLOOKUP(C6117,Меню!A:E,5,0)</f>
        <v>280</v>
      </c>
    </row>
    <row r="6118" spans="1:6" ht="15.75" hidden="1" customHeight="1" x14ac:dyDescent="0.35">
      <c r="A6118" s="1">
        <v>6117</v>
      </c>
      <c r="B6118" s="1">
        <v>1209</v>
      </c>
      <c r="C6118" s="1">
        <v>28</v>
      </c>
      <c r="D6118" t="str">
        <f>VLOOKUP(B6118,Заказы!A:C,3,0)</f>
        <v>2023-12-24 19:38:00</v>
      </c>
      <c r="E6118" t="str">
        <f>VLOOKUP(C6118,Меню!A:E,4,0)</f>
        <v>Салат</v>
      </c>
      <c r="F6118">
        <f>VLOOKUP(C6118,Меню!A:E,5,0)</f>
        <v>250</v>
      </c>
    </row>
    <row r="6119" spans="1:6" ht="15.75" hidden="1" customHeight="1" x14ac:dyDescent="0.35">
      <c r="A6119" s="1">
        <v>6118</v>
      </c>
      <c r="B6119" s="1">
        <v>1209</v>
      </c>
      <c r="C6119" s="1">
        <v>30</v>
      </c>
      <c r="D6119" t="str">
        <f>VLOOKUP(B6119,Заказы!A:C,3,0)</f>
        <v>2023-12-24 19:38:00</v>
      </c>
      <c r="E6119" t="str">
        <f>VLOOKUP(C6119,Меню!A:E,4,0)</f>
        <v>Салат</v>
      </c>
      <c r="F6119">
        <f>VLOOKUP(C6119,Меню!A:E,5,0)</f>
        <v>250</v>
      </c>
    </row>
    <row r="6120" spans="1:6" ht="15.75" hidden="1" customHeight="1" x14ac:dyDescent="0.35">
      <c r="A6120" s="1">
        <v>6119</v>
      </c>
      <c r="B6120" s="1">
        <v>1209</v>
      </c>
      <c r="C6120" s="1">
        <v>45</v>
      </c>
      <c r="D6120" t="str">
        <f>VLOOKUP(B6120,Заказы!A:C,3,0)</f>
        <v>2023-12-24 19:38:00</v>
      </c>
      <c r="E6120" t="str">
        <f>VLOOKUP(C6120,Меню!A:E,4,0)</f>
        <v>Суши</v>
      </c>
      <c r="F6120">
        <f>VLOOKUP(C6120,Меню!A:E,5,0)</f>
        <v>200</v>
      </c>
    </row>
    <row r="6121" spans="1:6" ht="15.75" hidden="1" customHeight="1" x14ac:dyDescent="0.35">
      <c r="A6121" s="1">
        <v>6120</v>
      </c>
      <c r="B6121" s="1">
        <v>1210</v>
      </c>
      <c r="C6121" s="1">
        <v>18</v>
      </c>
      <c r="D6121" t="str">
        <f>VLOOKUP(B6121,Заказы!A:C,3,0)</f>
        <v>2023-12-24 21:04:00</v>
      </c>
      <c r="E6121" t="str">
        <f>VLOOKUP(C6121,Меню!A:E,4,0)</f>
        <v>Первое</v>
      </c>
      <c r="F6121">
        <f>VLOOKUP(C6121,Меню!A:E,5,0)</f>
        <v>300</v>
      </c>
    </row>
    <row r="6122" spans="1:6" ht="15.75" hidden="1" customHeight="1" x14ac:dyDescent="0.35">
      <c r="A6122" s="1">
        <v>6121</v>
      </c>
      <c r="B6122" s="1">
        <v>1211</v>
      </c>
      <c r="C6122" s="1">
        <v>56</v>
      </c>
      <c r="D6122" t="str">
        <f>VLOOKUP(B6122,Заказы!A:C,3,0)</f>
        <v>2023-12-25 15:53:00</v>
      </c>
      <c r="E6122" t="str">
        <f>VLOOKUP(C6122,Меню!A:E,4,0)</f>
        <v>Суши</v>
      </c>
      <c r="F6122">
        <f>VLOOKUP(C6122,Меню!A:E,5,0)</f>
        <v>200</v>
      </c>
    </row>
    <row r="6123" spans="1:6" ht="15.75" hidden="1" customHeight="1" x14ac:dyDescent="0.35">
      <c r="A6123" s="1">
        <v>6122</v>
      </c>
      <c r="B6123" s="1">
        <v>1211</v>
      </c>
      <c r="C6123" s="1">
        <v>17</v>
      </c>
      <c r="D6123" t="str">
        <f>VLOOKUP(B6123,Заказы!A:C,3,0)</f>
        <v>2023-12-25 15:53:00</v>
      </c>
      <c r="E6123" t="str">
        <f>VLOOKUP(C6123,Меню!A:E,4,0)</f>
        <v>Первое</v>
      </c>
      <c r="F6123">
        <f>VLOOKUP(C6123,Меню!A:E,5,0)</f>
        <v>250</v>
      </c>
    </row>
    <row r="6124" spans="1:6" ht="15.75" hidden="1" customHeight="1" x14ac:dyDescent="0.35">
      <c r="A6124" s="1">
        <v>6123</v>
      </c>
      <c r="B6124" s="1">
        <v>1211</v>
      </c>
      <c r="C6124" s="1">
        <v>37</v>
      </c>
      <c r="D6124" t="str">
        <f>VLOOKUP(B6124,Заказы!A:C,3,0)</f>
        <v>2023-12-25 15:53:00</v>
      </c>
      <c r="E6124" t="str">
        <f>VLOOKUP(C6124,Меню!A:E,4,0)</f>
        <v>Десерт</v>
      </c>
      <c r="F6124">
        <f>VLOOKUP(C6124,Меню!A:E,5,0)</f>
        <v>100</v>
      </c>
    </row>
    <row r="6125" spans="1:6" ht="15.75" hidden="1" customHeight="1" x14ac:dyDescent="0.35">
      <c r="A6125" s="1">
        <v>6124</v>
      </c>
      <c r="B6125" s="1">
        <v>1211</v>
      </c>
      <c r="C6125" s="1">
        <v>18</v>
      </c>
      <c r="D6125" t="str">
        <f>VLOOKUP(B6125,Заказы!A:C,3,0)</f>
        <v>2023-12-25 15:53:00</v>
      </c>
      <c r="E6125" t="str">
        <f>VLOOKUP(C6125,Меню!A:E,4,0)</f>
        <v>Первое</v>
      </c>
      <c r="F6125">
        <f>VLOOKUP(C6125,Меню!A:E,5,0)</f>
        <v>300</v>
      </c>
    </row>
    <row r="6126" spans="1:6" ht="15.75" hidden="1" customHeight="1" x14ac:dyDescent="0.35">
      <c r="A6126" s="1">
        <v>6125</v>
      </c>
      <c r="B6126" s="1">
        <v>1212</v>
      </c>
      <c r="C6126" s="1">
        <v>55</v>
      </c>
      <c r="D6126" t="str">
        <f>VLOOKUP(B6126,Заказы!A:C,3,0)</f>
        <v>2023-12-25 16:37:00</v>
      </c>
      <c r="E6126" t="str">
        <f>VLOOKUP(C6126,Меню!A:E,4,0)</f>
        <v>Суши</v>
      </c>
      <c r="F6126">
        <f>VLOOKUP(C6126,Меню!A:E,5,0)</f>
        <v>100</v>
      </c>
    </row>
    <row r="6127" spans="1:6" ht="15.75" hidden="1" customHeight="1" x14ac:dyDescent="0.35">
      <c r="A6127" s="1">
        <v>6126</v>
      </c>
      <c r="B6127" s="1">
        <v>1212</v>
      </c>
      <c r="C6127" s="1">
        <v>12</v>
      </c>
      <c r="D6127" t="str">
        <f>VLOOKUP(B6127,Заказы!A:C,3,0)</f>
        <v>2023-12-25 16:37:00</v>
      </c>
      <c r="E6127" t="str">
        <f>VLOOKUP(C6127,Меню!A:E,4,0)</f>
        <v>Первое</v>
      </c>
      <c r="F6127">
        <f>VLOOKUP(C6127,Меню!A:E,5,0)</f>
        <v>300</v>
      </c>
    </row>
    <row r="6128" spans="1:6" ht="15.75" hidden="1" customHeight="1" x14ac:dyDescent="0.35">
      <c r="A6128" s="1">
        <v>6127</v>
      </c>
      <c r="B6128" s="1">
        <v>1212</v>
      </c>
      <c r="C6128" s="1">
        <v>5</v>
      </c>
      <c r="D6128" t="str">
        <f>VLOOKUP(B6128,Заказы!A:C,3,0)</f>
        <v>2023-12-25 16:37:00</v>
      </c>
      <c r="E6128" t="str">
        <f>VLOOKUP(C6128,Меню!A:E,4,0)</f>
        <v>Завтрак</v>
      </c>
      <c r="F6128">
        <f>VLOOKUP(C6128,Меню!A:E,5,0)</f>
        <v>220</v>
      </c>
    </row>
    <row r="6129" spans="1:6" ht="15.75" hidden="1" customHeight="1" x14ac:dyDescent="0.35">
      <c r="A6129" s="1">
        <v>6128</v>
      </c>
      <c r="B6129" s="1">
        <v>1212</v>
      </c>
      <c r="C6129" s="1">
        <v>36</v>
      </c>
      <c r="D6129" t="str">
        <f>VLOOKUP(B6129,Заказы!A:C,3,0)</f>
        <v>2023-12-25 16:37:00</v>
      </c>
      <c r="E6129" t="str">
        <f>VLOOKUP(C6129,Меню!A:E,4,0)</f>
        <v>Десерт</v>
      </c>
      <c r="F6129">
        <f>VLOOKUP(C6129,Меню!A:E,5,0)</f>
        <v>150</v>
      </c>
    </row>
    <row r="6130" spans="1:6" ht="15.75" hidden="1" customHeight="1" x14ac:dyDescent="0.35">
      <c r="A6130" s="1">
        <v>6129</v>
      </c>
      <c r="B6130" s="1">
        <v>1213</v>
      </c>
      <c r="C6130" s="1">
        <v>57</v>
      </c>
      <c r="D6130" t="str">
        <f>VLOOKUP(B6130,Заказы!A:C,3,0)</f>
        <v>2023-12-25 17:28:00</v>
      </c>
      <c r="E6130" t="str">
        <f>VLOOKUP(C6130,Меню!A:E,4,0)</f>
        <v>Суши</v>
      </c>
      <c r="F6130">
        <f>VLOOKUP(C6130,Меню!A:E,5,0)</f>
        <v>200</v>
      </c>
    </row>
    <row r="6131" spans="1:6" ht="15.75" hidden="1" customHeight="1" x14ac:dyDescent="0.35">
      <c r="A6131" s="1">
        <v>6130</v>
      </c>
      <c r="B6131" s="1">
        <v>1213</v>
      </c>
      <c r="C6131" s="1">
        <v>48</v>
      </c>
      <c r="D6131" t="str">
        <f>VLOOKUP(B6131,Заказы!A:C,3,0)</f>
        <v>2023-12-25 17:28:00</v>
      </c>
      <c r="E6131" t="str">
        <f>VLOOKUP(C6131,Меню!A:E,4,0)</f>
        <v>Суши</v>
      </c>
      <c r="F6131">
        <f>VLOOKUP(C6131,Меню!A:E,5,0)</f>
        <v>200</v>
      </c>
    </row>
    <row r="6132" spans="1:6" ht="15.75" hidden="1" customHeight="1" x14ac:dyDescent="0.35">
      <c r="A6132" s="1">
        <v>6131</v>
      </c>
      <c r="B6132" s="1">
        <v>1213</v>
      </c>
      <c r="C6132" s="1">
        <v>45</v>
      </c>
      <c r="D6132" t="str">
        <f>VLOOKUP(B6132,Заказы!A:C,3,0)</f>
        <v>2023-12-25 17:28:00</v>
      </c>
      <c r="E6132" t="str">
        <f>VLOOKUP(C6132,Меню!A:E,4,0)</f>
        <v>Суши</v>
      </c>
      <c r="F6132">
        <f>VLOOKUP(C6132,Меню!A:E,5,0)</f>
        <v>200</v>
      </c>
    </row>
    <row r="6133" spans="1:6" ht="15.75" hidden="1" customHeight="1" x14ac:dyDescent="0.35">
      <c r="A6133" s="1">
        <v>6132</v>
      </c>
      <c r="B6133" s="1">
        <v>1214</v>
      </c>
      <c r="C6133" s="1">
        <v>51</v>
      </c>
      <c r="D6133" t="str">
        <f>VLOOKUP(B6133,Заказы!A:C,3,0)</f>
        <v>2023-12-25 22:00:00</v>
      </c>
      <c r="E6133" t="str">
        <f>VLOOKUP(C6133,Меню!A:E,4,0)</f>
        <v>Суши</v>
      </c>
      <c r="F6133">
        <f>VLOOKUP(C6133,Меню!A:E,5,0)</f>
        <v>100</v>
      </c>
    </row>
    <row r="6134" spans="1:6" ht="15.75" hidden="1" customHeight="1" x14ac:dyDescent="0.35">
      <c r="A6134" s="1">
        <v>6133</v>
      </c>
      <c r="B6134" s="1">
        <v>1214</v>
      </c>
      <c r="C6134" s="1">
        <v>30</v>
      </c>
      <c r="D6134" t="str">
        <f>VLOOKUP(B6134,Заказы!A:C,3,0)</f>
        <v>2023-12-25 22:00:00</v>
      </c>
      <c r="E6134" t="str">
        <f>VLOOKUP(C6134,Меню!A:E,4,0)</f>
        <v>Салат</v>
      </c>
      <c r="F6134">
        <f>VLOOKUP(C6134,Меню!A:E,5,0)</f>
        <v>250</v>
      </c>
    </row>
    <row r="6135" spans="1:6" ht="15.75" hidden="1" customHeight="1" x14ac:dyDescent="0.35">
      <c r="A6135" s="1">
        <v>6134</v>
      </c>
      <c r="B6135" s="1">
        <v>1215</v>
      </c>
      <c r="C6135" s="1">
        <v>56</v>
      </c>
      <c r="D6135" t="str">
        <f>VLOOKUP(B6135,Заказы!A:C,3,0)</f>
        <v>2023-12-26 16:32:00</v>
      </c>
      <c r="E6135" t="str">
        <f>VLOOKUP(C6135,Меню!A:E,4,0)</f>
        <v>Суши</v>
      </c>
      <c r="F6135">
        <f>VLOOKUP(C6135,Меню!A:E,5,0)</f>
        <v>200</v>
      </c>
    </row>
    <row r="6136" spans="1:6" ht="15.75" hidden="1" customHeight="1" x14ac:dyDescent="0.35">
      <c r="A6136" s="1">
        <v>6135</v>
      </c>
      <c r="B6136" s="1">
        <v>1215</v>
      </c>
      <c r="C6136" s="1">
        <v>48</v>
      </c>
      <c r="D6136" t="str">
        <f>VLOOKUP(B6136,Заказы!A:C,3,0)</f>
        <v>2023-12-26 16:32:00</v>
      </c>
      <c r="E6136" t="str">
        <f>VLOOKUP(C6136,Меню!A:E,4,0)</f>
        <v>Суши</v>
      </c>
      <c r="F6136">
        <f>VLOOKUP(C6136,Меню!A:E,5,0)</f>
        <v>200</v>
      </c>
    </row>
    <row r="6137" spans="1:6" ht="15.75" hidden="1" customHeight="1" x14ac:dyDescent="0.35">
      <c r="A6137" s="1">
        <v>6136</v>
      </c>
      <c r="B6137" s="1">
        <v>1215</v>
      </c>
      <c r="C6137" s="1">
        <v>20</v>
      </c>
      <c r="D6137" t="str">
        <f>VLOOKUP(B6137,Заказы!A:C,3,0)</f>
        <v>2023-12-26 16:32:00</v>
      </c>
      <c r="E6137" t="str">
        <f>VLOOKUP(C6137,Меню!A:E,4,0)</f>
        <v>Первое</v>
      </c>
      <c r="F6137">
        <f>VLOOKUP(C6137,Меню!A:E,5,0)</f>
        <v>250</v>
      </c>
    </row>
    <row r="6138" spans="1:6" ht="15.75" hidden="1" customHeight="1" x14ac:dyDescent="0.35">
      <c r="A6138" s="1">
        <v>6137</v>
      </c>
      <c r="B6138" s="1">
        <v>1215</v>
      </c>
      <c r="C6138" s="1">
        <v>24</v>
      </c>
      <c r="D6138" t="str">
        <f>VLOOKUP(B6138,Заказы!A:C,3,0)</f>
        <v>2023-12-26 16:32:00</v>
      </c>
      <c r="E6138" t="str">
        <f>VLOOKUP(C6138,Меню!A:E,4,0)</f>
        <v>Салат</v>
      </c>
      <c r="F6138">
        <f>VLOOKUP(C6138,Меню!A:E,5,0)</f>
        <v>250</v>
      </c>
    </row>
    <row r="6139" spans="1:6" ht="15.75" hidden="1" customHeight="1" x14ac:dyDescent="0.35">
      <c r="A6139" s="1">
        <v>6138</v>
      </c>
      <c r="B6139" s="1">
        <v>1216</v>
      </c>
      <c r="C6139" s="1">
        <v>22</v>
      </c>
      <c r="D6139" t="str">
        <f>VLOOKUP(B6139,Заказы!A:C,3,0)</f>
        <v>2023-12-26 17:57:00</v>
      </c>
      <c r="E6139" t="str">
        <f>VLOOKUP(C6139,Меню!A:E,4,0)</f>
        <v>Салат</v>
      </c>
      <c r="F6139">
        <f>VLOOKUP(C6139,Меню!A:E,5,0)</f>
        <v>250</v>
      </c>
    </row>
    <row r="6140" spans="1:6" ht="15.75" hidden="1" customHeight="1" x14ac:dyDescent="0.35">
      <c r="A6140" s="1">
        <v>6139</v>
      </c>
      <c r="B6140" s="1">
        <v>1216</v>
      </c>
      <c r="C6140" s="1">
        <v>35</v>
      </c>
      <c r="D6140" t="str">
        <f>VLOOKUP(B6140,Заказы!A:C,3,0)</f>
        <v>2023-12-26 17:57:00</v>
      </c>
      <c r="E6140" t="str">
        <f>VLOOKUP(C6140,Меню!A:E,4,0)</f>
        <v>Десерт</v>
      </c>
      <c r="F6140">
        <f>VLOOKUP(C6140,Меню!A:E,5,0)</f>
        <v>150</v>
      </c>
    </row>
    <row r="6141" spans="1:6" ht="15.75" hidden="1" customHeight="1" x14ac:dyDescent="0.35">
      <c r="A6141" s="1">
        <v>6140</v>
      </c>
      <c r="B6141" s="1">
        <v>1216</v>
      </c>
      <c r="C6141" s="1">
        <v>12</v>
      </c>
      <c r="D6141" t="str">
        <f>VLOOKUP(B6141,Заказы!A:C,3,0)</f>
        <v>2023-12-26 17:57:00</v>
      </c>
      <c r="E6141" t="str">
        <f>VLOOKUP(C6141,Меню!A:E,4,0)</f>
        <v>Первое</v>
      </c>
      <c r="F6141">
        <f>VLOOKUP(C6141,Меню!A:E,5,0)</f>
        <v>300</v>
      </c>
    </row>
    <row r="6142" spans="1:6" ht="15.75" hidden="1" customHeight="1" x14ac:dyDescent="0.35">
      <c r="A6142" s="1">
        <v>6141</v>
      </c>
      <c r="B6142" s="1">
        <v>1216</v>
      </c>
      <c r="C6142" s="1">
        <v>55</v>
      </c>
      <c r="D6142" t="str">
        <f>VLOOKUP(B6142,Заказы!A:C,3,0)</f>
        <v>2023-12-26 17:57:00</v>
      </c>
      <c r="E6142" t="str">
        <f>VLOOKUP(C6142,Меню!A:E,4,0)</f>
        <v>Суши</v>
      </c>
      <c r="F6142">
        <f>VLOOKUP(C6142,Меню!A:E,5,0)</f>
        <v>100</v>
      </c>
    </row>
    <row r="6143" spans="1:6" ht="15.75" hidden="1" customHeight="1" x14ac:dyDescent="0.35">
      <c r="A6143" s="1">
        <v>6142</v>
      </c>
      <c r="B6143" s="1">
        <v>1217</v>
      </c>
      <c r="C6143" s="1">
        <v>55</v>
      </c>
      <c r="D6143" t="str">
        <f>VLOOKUP(B6143,Заказы!A:C,3,0)</f>
        <v>2023-12-26 18:31:00</v>
      </c>
      <c r="E6143" t="str">
        <f>VLOOKUP(C6143,Меню!A:E,4,0)</f>
        <v>Суши</v>
      </c>
      <c r="F6143">
        <f>VLOOKUP(C6143,Меню!A:E,5,0)</f>
        <v>100</v>
      </c>
    </row>
    <row r="6144" spans="1:6" ht="15.75" hidden="1" customHeight="1" x14ac:dyDescent="0.35">
      <c r="A6144" s="1">
        <v>6143</v>
      </c>
      <c r="B6144" s="1">
        <v>1217</v>
      </c>
      <c r="C6144" s="1">
        <v>59</v>
      </c>
      <c r="D6144" t="str">
        <f>VLOOKUP(B6144,Заказы!A:C,3,0)</f>
        <v>2023-12-26 18:31:00</v>
      </c>
      <c r="E6144" t="str">
        <f>VLOOKUP(C6144,Меню!A:E,4,0)</f>
        <v>Суши</v>
      </c>
      <c r="F6144">
        <f>VLOOKUP(C6144,Меню!A:E,5,0)</f>
        <v>300</v>
      </c>
    </row>
    <row r="6145" spans="1:6" ht="15.75" hidden="1" customHeight="1" x14ac:dyDescent="0.35">
      <c r="A6145" s="1">
        <v>6144</v>
      </c>
      <c r="B6145" s="1">
        <v>1217</v>
      </c>
      <c r="C6145" s="1">
        <v>43</v>
      </c>
      <c r="D6145" t="str">
        <f>VLOOKUP(B6145,Заказы!A:C,3,0)</f>
        <v>2023-12-26 18:31:00</v>
      </c>
      <c r="E6145" t="str">
        <f>VLOOKUP(C6145,Меню!A:E,4,0)</f>
        <v>Суши</v>
      </c>
      <c r="F6145">
        <f>VLOOKUP(C6145,Меню!A:E,5,0)</f>
        <v>250</v>
      </c>
    </row>
    <row r="6146" spans="1:6" ht="15.75" hidden="1" customHeight="1" x14ac:dyDescent="0.35">
      <c r="A6146" s="1">
        <v>6145</v>
      </c>
      <c r="B6146" s="1">
        <v>1217</v>
      </c>
      <c r="C6146" s="1">
        <v>18</v>
      </c>
      <c r="D6146" t="str">
        <f>VLOOKUP(B6146,Заказы!A:C,3,0)</f>
        <v>2023-12-26 18:31:00</v>
      </c>
      <c r="E6146" t="str">
        <f>VLOOKUP(C6146,Меню!A:E,4,0)</f>
        <v>Первое</v>
      </c>
      <c r="F6146">
        <f>VLOOKUP(C6146,Меню!A:E,5,0)</f>
        <v>300</v>
      </c>
    </row>
    <row r="6147" spans="1:6" ht="15.75" hidden="1" customHeight="1" x14ac:dyDescent="0.35">
      <c r="A6147" s="1">
        <v>6146</v>
      </c>
      <c r="B6147" s="1">
        <v>1217</v>
      </c>
      <c r="C6147" s="1">
        <v>33</v>
      </c>
      <c r="D6147" t="str">
        <f>VLOOKUP(B6147,Заказы!A:C,3,0)</f>
        <v>2023-12-26 18:31:00</v>
      </c>
      <c r="E6147" t="str">
        <f>VLOOKUP(C6147,Меню!A:E,4,0)</f>
        <v>Десерт</v>
      </c>
      <c r="F6147">
        <f>VLOOKUP(C6147,Меню!A:E,5,0)</f>
        <v>150</v>
      </c>
    </row>
    <row r="6148" spans="1:6" ht="15.75" hidden="1" customHeight="1" x14ac:dyDescent="0.35">
      <c r="A6148" s="1">
        <v>6147</v>
      </c>
      <c r="B6148" s="1">
        <v>1217</v>
      </c>
      <c r="C6148" s="1">
        <v>59</v>
      </c>
      <c r="D6148" t="str">
        <f>VLOOKUP(B6148,Заказы!A:C,3,0)</f>
        <v>2023-12-26 18:31:00</v>
      </c>
      <c r="E6148" t="str">
        <f>VLOOKUP(C6148,Меню!A:E,4,0)</f>
        <v>Суши</v>
      </c>
      <c r="F6148">
        <f>VLOOKUP(C6148,Меню!A:E,5,0)</f>
        <v>300</v>
      </c>
    </row>
    <row r="6149" spans="1:6" ht="15.75" hidden="1" customHeight="1" x14ac:dyDescent="0.35">
      <c r="A6149" s="1">
        <v>6148</v>
      </c>
      <c r="B6149" s="1">
        <v>1218</v>
      </c>
      <c r="C6149" s="1">
        <v>39</v>
      </c>
      <c r="D6149" t="str">
        <f>VLOOKUP(B6149,Заказы!A:C,3,0)</f>
        <v>2023-12-26 21:25:00</v>
      </c>
      <c r="E6149" t="str">
        <f>VLOOKUP(C6149,Меню!A:E,4,0)</f>
        <v>Десерт</v>
      </c>
      <c r="F6149">
        <f>VLOOKUP(C6149,Меню!A:E,5,0)</f>
        <v>150</v>
      </c>
    </row>
    <row r="6150" spans="1:6" ht="15.75" hidden="1" customHeight="1" x14ac:dyDescent="0.35">
      <c r="A6150" s="1">
        <v>6149</v>
      </c>
      <c r="B6150" s="1">
        <v>1218</v>
      </c>
      <c r="C6150" s="1">
        <v>3</v>
      </c>
      <c r="D6150" t="str">
        <f>VLOOKUP(B6150,Заказы!A:C,3,0)</f>
        <v>2023-12-26 21:25:00</v>
      </c>
      <c r="E6150" t="str">
        <f>VLOOKUP(C6150,Меню!A:E,4,0)</f>
        <v>Завтрак</v>
      </c>
      <c r="F6150">
        <f>VLOOKUP(C6150,Меню!A:E,5,0)</f>
        <v>150</v>
      </c>
    </row>
    <row r="6151" spans="1:6" ht="15.75" hidden="1" customHeight="1" x14ac:dyDescent="0.35">
      <c r="A6151" s="1">
        <v>6150</v>
      </c>
      <c r="B6151" s="1">
        <v>1218</v>
      </c>
      <c r="C6151" s="1">
        <v>33</v>
      </c>
      <c r="D6151" t="str">
        <f>VLOOKUP(B6151,Заказы!A:C,3,0)</f>
        <v>2023-12-26 21:25:00</v>
      </c>
      <c r="E6151" t="str">
        <f>VLOOKUP(C6151,Меню!A:E,4,0)</f>
        <v>Десерт</v>
      </c>
      <c r="F6151">
        <f>VLOOKUP(C6151,Меню!A:E,5,0)</f>
        <v>150</v>
      </c>
    </row>
    <row r="6152" spans="1:6" ht="15.75" hidden="1" customHeight="1" x14ac:dyDescent="0.35">
      <c r="A6152" s="1">
        <v>6151</v>
      </c>
      <c r="B6152" s="1">
        <v>1218</v>
      </c>
      <c r="C6152" s="1">
        <v>7</v>
      </c>
      <c r="D6152" t="str">
        <f>VLOOKUP(B6152,Заказы!A:C,3,0)</f>
        <v>2023-12-26 21:25:00</v>
      </c>
      <c r="E6152" t="str">
        <f>VLOOKUP(C6152,Меню!A:E,4,0)</f>
        <v>Завтрак</v>
      </c>
      <c r="F6152">
        <f>VLOOKUP(C6152,Меню!A:E,5,0)</f>
        <v>200</v>
      </c>
    </row>
    <row r="6153" spans="1:6" ht="15.75" hidden="1" customHeight="1" x14ac:dyDescent="0.35">
      <c r="A6153" s="1">
        <v>6152</v>
      </c>
      <c r="B6153" s="1">
        <v>1218</v>
      </c>
      <c r="C6153" s="1">
        <v>49</v>
      </c>
      <c r="D6153" t="str">
        <f>VLOOKUP(B6153,Заказы!A:C,3,0)</f>
        <v>2023-12-26 21:25:00</v>
      </c>
      <c r="E6153" t="str">
        <f>VLOOKUP(C6153,Меню!A:E,4,0)</f>
        <v>Суши</v>
      </c>
      <c r="F6153">
        <f>VLOOKUP(C6153,Меню!A:E,5,0)</f>
        <v>200</v>
      </c>
    </row>
    <row r="6154" spans="1:6" ht="15.75" hidden="1" customHeight="1" x14ac:dyDescent="0.35">
      <c r="A6154" s="1">
        <v>6153</v>
      </c>
      <c r="B6154" s="1">
        <v>1219</v>
      </c>
      <c r="C6154" s="1">
        <v>29</v>
      </c>
      <c r="D6154" t="str">
        <f>VLOOKUP(B6154,Заказы!A:C,3,0)</f>
        <v>2023-12-26 21:59:00</v>
      </c>
      <c r="E6154" t="str">
        <f>VLOOKUP(C6154,Меню!A:E,4,0)</f>
        <v>Салат</v>
      </c>
      <c r="F6154">
        <f>VLOOKUP(C6154,Меню!A:E,5,0)</f>
        <v>250</v>
      </c>
    </row>
    <row r="6155" spans="1:6" ht="15.75" hidden="1" customHeight="1" x14ac:dyDescent="0.35">
      <c r="A6155" s="1">
        <v>6154</v>
      </c>
      <c r="B6155" s="1">
        <v>1219</v>
      </c>
      <c r="C6155" s="1">
        <v>46</v>
      </c>
      <c r="D6155" t="str">
        <f>VLOOKUP(B6155,Заказы!A:C,3,0)</f>
        <v>2023-12-26 21:59:00</v>
      </c>
      <c r="E6155" t="str">
        <f>VLOOKUP(C6155,Меню!A:E,4,0)</f>
        <v>Суши</v>
      </c>
      <c r="F6155">
        <f>VLOOKUP(C6155,Меню!A:E,5,0)</f>
        <v>200</v>
      </c>
    </row>
    <row r="6156" spans="1:6" ht="15.75" hidden="1" customHeight="1" x14ac:dyDescent="0.35">
      <c r="A6156" s="1">
        <v>6155</v>
      </c>
      <c r="B6156" s="1">
        <v>1219</v>
      </c>
      <c r="C6156" s="1">
        <v>54</v>
      </c>
      <c r="D6156" t="str">
        <f>VLOOKUP(B6156,Заказы!A:C,3,0)</f>
        <v>2023-12-26 21:59:00</v>
      </c>
      <c r="E6156" t="str">
        <f>VLOOKUP(C6156,Меню!A:E,4,0)</f>
        <v>Суши</v>
      </c>
      <c r="F6156">
        <f>VLOOKUP(C6156,Меню!A:E,5,0)</f>
        <v>100</v>
      </c>
    </row>
    <row r="6157" spans="1:6" ht="15.75" hidden="1" customHeight="1" x14ac:dyDescent="0.35">
      <c r="A6157" s="1">
        <v>6156</v>
      </c>
      <c r="B6157" s="1">
        <v>1219</v>
      </c>
      <c r="C6157" s="1">
        <v>20</v>
      </c>
      <c r="D6157" t="str">
        <f>VLOOKUP(B6157,Заказы!A:C,3,0)</f>
        <v>2023-12-26 21:59:00</v>
      </c>
      <c r="E6157" t="str">
        <f>VLOOKUP(C6157,Меню!A:E,4,0)</f>
        <v>Первое</v>
      </c>
      <c r="F6157">
        <f>VLOOKUP(C6157,Меню!A:E,5,0)</f>
        <v>250</v>
      </c>
    </row>
    <row r="6158" spans="1:6" ht="15.75" hidden="1" customHeight="1" x14ac:dyDescent="0.35">
      <c r="A6158" s="1">
        <v>6157</v>
      </c>
      <c r="B6158" s="1">
        <v>1219</v>
      </c>
      <c r="C6158" s="1">
        <v>26</v>
      </c>
      <c r="D6158" t="str">
        <f>VLOOKUP(B6158,Заказы!A:C,3,0)</f>
        <v>2023-12-26 21:59:00</v>
      </c>
      <c r="E6158" t="str">
        <f>VLOOKUP(C6158,Меню!A:E,4,0)</f>
        <v>Салат</v>
      </c>
      <c r="F6158">
        <f>VLOOKUP(C6158,Меню!A:E,5,0)</f>
        <v>250</v>
      </c>
    </row>
    <row r="6159" spans="1:6" ht="15.75" hidden="1" customHeight="1" x14ac:dyDescent="0.35">
      <c r="A6159" s="1">
        <v>6158</v>
      </c>
      <c r="B6159" s="1">
        <v>1219</v>
      </c>
      <c r="C6159" s="1">
        <v>44</v>
      </c>
      <c r="D6159" t="str">
        <f>VLOOKUP(B6159,Заказы!A:C,3,0)</f>
        <v>2023-12-26 21:59:00</v>
      </c>
      <c r="E6159" t="str">
        <f>VLOOKUP(C6159,Меню!A:E,4,0)</f>
        <v>Суши</v>
      </c>
      <c r="F6159">
        <f>VLOOKUP(C6159,Меню!A:E,5,0)</f>
        <v>250</v>
      </c>
    </row>
    <row r="6160" spans="1:6" ht="15.75" hidden="1" customHeight="1" x14ac:dyDescent="0.35">
      <c r="A6160" s="1">
        <v>6159</v>
      </c>
      <c r="B6160" s="1">
        <v>1220</v>
      </c>
      <c r="C6160" s="1">
        <v>26</v>
      </c>
      <c r="D6160" t="str">
        <f>VLOOKUP(B6160,Заказы!A:C,3,0)</f>
        <v>2023-12-27 19:10:00</v>
      </c>
      <c r="E6160" t="str">
        <f>VLOOKUP(C6160,Меню!A:E,4,0)</f>
        <v>Салат</v>
      </c>
      <c r="F6160">
        <f>VLOOKUP(C6160,Меню!A:E,5,0)</f>
        <v>250</v>
      </c>
    </row>
    <row r="6161" spans="1:6" ht="15.75" hidden="1" customHeight="1" x14ac:dyDescent="0.35">
      <c r="A6161" s="1">
        <v>6160</v>
      </c>
      <c r="B6161" s="1">
        <v>1220</v>
      </c>
      <c r="C6161" s="1">
        <v>57</v>
      </c>
      <c r="D6161" t="str">
        <f>VLOOKUP(B6161,Заказы!A:C,3,0)</f>
        <v>2023-12-27 19:10:00</v>
      </c>
      <c r="E6161" t="str">
        <f>VLOOKUP(C6161,Меню!A:E,4,0)</f>
        <v>Суши</v>
      </c>
      <c r="F6161">
        <f>VLOOKUP(C6161,Меню!A:E,5,0)</f>
        <v>200</v>
      </c>
    </row>
    <row r="6162" spans="1:6" ht="15.75" hidden="1" customHeight="1" x14ac:dyDescent="0.35">
      <c r="A6162" s="1">
        <v>6161</v>
      </c>
      <c r="B6162" s="1">
        <v>1220</v>
      </c>
      <c r="C6162" s="1">
        <v>38</v>
      </c>
      <c r="D6162" t="str">
        <f>VLOOKUP(B6162,Заказы!A:C,3,0)</f>
        <v>2023-12-27 19:10:00</v>
      </c>
      <c r="E6162" t="str">
        <f>VLOOKUP(C6162,Меню!A:E,4,0)</f>
        <v>Десерт</v>
      </c>
      <c r="F6162">
        <f>VLOOKUP(C6162,Меню!A:E,5,0)</f>
        <v>150</v>
      </c>
    </row>
    <row r="6163" spans="1:6" ht="15.75" hidden="1" customHeight="1" x14ac:dyDescent="0.35">
      <c r="A6163" s="1">
        <v>6162</v>
      </c>
      <c r="B6163" s="1">
        <v>1220</v>
      </c>
      <c r="C6163" s="1">
        <v>34</v>
      </c>
      <c r="D6163" t="str">
        <f>VLOOKUP(B6163,Заказы!A:C,3,0)</f>
        <v>2023-12-27 19:10:00</v>
      </c>
      <c r="E6163" t="str">
        <f>VLOOKUP(C6163,Меню!A:E,4,0)</f>
        <v>Десерт</v>
      </c>
      <c r="F6163">
        <f>VLOOKUP(C6163,Меню!A:E,5,0)</f>
        <v>150</v>
      </c>
    </row>
    <row r="6164" spans="1:6" ht="15.75" hidden="1" customHeight="1" x14ac:dyDescent="0.35">
      <c r="A6164" s="1">
        <v>6163</v>
      </c>
      <c r="B6164" s="1">
        <v>1220</v>
      </c>
      <c r="C6164" s="1">
        <v>46</v>
      </c>
      <c r="D6164" t="str">
        <f>VLOOKUP(B6164,Заказы!A:C,3,0)</f>
        <v>2023-12-27 19:10:00</v>
      </c>
      <c r="E6164" t="str">
        <f>VLOOKUP(C6164,Меню!A:E,4,0)</f>
        <v>Суши</v>
      </c>
      <c r="F6164">
        <f>VLOOKUP(C6164,Меню!A:E,5,0)</f>
        <v>200</v>
      </c>
    </row>
    <row r="6165" spans="1:6" ht="15.75" hidden="1" customHeight="1" x14ac:dyDescent="0.35">
      <c r="A6165" s="1">
        <v>6164</v>
      </c>
      <c r="B6165" s="1">
        <v>1220</v>
      </c>
      <c r="C6165" s="1">
        <v>20</v>
      </c>
      <c r="D6165" t="str">
        <f>VLOOKUP(B6165,Заказы!A:C,3,0)</f>
        <v>2023-12-27 19:10:00</v>
      </c>
      <c r="E6165" t="str">
        <f>VLOOKUP(C6165,Меню!A:E,4,0)</f>
        <v>Первое</v>
      </c>
      <c r="F6165">
        <f>VLOOKUP(C6165,Меню!A:E,5,0)</f>
        <v>250</v>
      </c>
    </row>
    <row r="6166" spans="1:6" ht="15.75" hidden="1" customHeight="1" x14ac:dyDescent="0.35">
      <c r="A6166" s="1">
        <v>6165</v>
      </c>
      <c r="B6166" s="1">
        <v>1220</v>
      </c>
      <c r="C6166" s="1">
        <v>15</v>
      </c>
      <c r="D6166" t="str">
        <f>VLOOKUP(B6166,Заказы!A:C,3,0)</f>
        <v>2023-12-27 19:10:00</v>
      </c>
      <c r="E6166" t="str">
        <f>VLOOKUP(C6166,Меню!A:E,4,0)</f>
        <v>Первое</v>
      </c>
      <c r="F6166">
        <f>VLOOKUP(C6166,Меню!A:E,5,0)</f>
        <v>250</v>
      </c>
    </row>
    <row r="6167" spans="1:6" ht="15.75" hidden="1" customHeight="1" x14ac:dyDescent="0.35">
      <c r="A6167" s="1">
        <v>6166</v>
      </c>
      <c r="B6167" s="1">
        <v>1220</v>
      </c>
      <c r="C6167" s="1">
        <v>43</v>
      </c>
      <c r="D6167" t="str">
        <f>VLOOKUP(B6167,Заказы!A:C,3,0)</f>
        <v>2023-12-27 19:10:00</v>
      </c>
      <c r="E6167" t="str">
        <f>VLOOKUP(C6167,Меню!A:E,4,0)</f>
        <v>Суши</v>
      </c>
      <c r="F6167">
        <f>VLOOKUP(C6167,Меню!A:E,5,0)</f>
        <v>250</v>
      </c>
    </row>
    <row r="6168" spans="1:6" ht="15.75" hidden="1" customHeight="1" x14ac:dyDescent="0.35">
      <c r="A6168" s="1">
        <v>6167</v>
      </c>
      <c r="B6168" s="1">
        <v>1221</v>
      </c>
      <c r="C6168" s="1">
        <v>53</v>
      </c>
      <c r="D6168" t="str">
        <f>VLOOKUP(B6168,Заказы!A:C,3,0)</f>
        <v>2023-12-27 19:13:00</v>
      </c>
      <c r="E6168" t="str">
        <f>VLOOKUP(C6168,Меню!A:E,4,0)</f>
        <v>Суши</v>
      </c>
      <c r="F6168">
        <f>VLOOKUP(C6168,Меню!A:E,5,0)</f>
        <v>100</v>
      </c>
    </row>
    <row r="6169" spans="1:6" ht="15.75" hidden="1" customHeight="1" x14ac:dyDescent="0.35">
      <c r="A6169" s="1">
        <v>6168</v>
      </c>
      <c r="B6169" s="1">
        <v>1221</v>
      </c>
      <c r="C6169" s="1">
        <v>49</v>
      </c>
      <c r="D6169" t="str">
        <f>VLOOKUP(B6169,Заказы!A:C,3,0)</f>
        <v>2023-12-27 19:13:00</v>
      </c>
      <c r="E6169" t="str">
        <f>VLOOKUP(C6169,Меню!A:E,4,0)</f>
        <v>Суши</v>
      </c>
      <c r="F6169">
        <f>VLOOKUP(C6169,Меню!A:E,5,0)</f>
        <v>200</v>
      </c>
    </row>
    <row r="6170" spans="1:6" ht="15.75" hidden="1" customHeight="1" x14ac:dyDescent="0.35">
      <c r="A6170" s="1">
        <v>6169</v>
      </c>
      <c r="B6170" s="1">
        <v>1221</v>
      </c>
      <c r="C6170" s="1">
        <v>3</v>
      </c>
      <c r="D6170" t="str">
        <f>VLOOKUP(B6170,Заказы!A:C,3,0)</f>
        <v>2023-12-27 19:13:00</v>
      </c>
      <c r="E6170" t="str">
        <f>VLOOKUP(C6170,Меню!A:E,4,0)</f>
        <v>Завтрак</v>
      </c>
      <c r="F6170">
        <f>VLOOKUP(C6170,Меню!A:E,5,0)</f>
        <v>150</v>
      </c>
    </row>
    <row r="6171" spans="1:6" ht="15.75" hidden="1" customHeight="1" x14ac:dyDescent="0.35">
      <c r="A6171" s="1">
        <v>6170</v>
      </c>
      <c r="B6171" s="1">
        <v>1221</v>
      </c>
      <c r="C6171" s="1">
        <v>24</v>
      </c>
      <c r="D6171" t="str">
        <f>VLOOKUP(B6171,Заказы!A:C,3,0)</f>
        <v>2023-12-27 19:13:00</v>
      </c>
      <c r="E6171" t="str">
        <f>VLOOKUP(C6171,Меню!A:E,4,0)</f>
        <v>Салат</v>
      </c>
      <c r="F6171">
        <f>VLOOKUP(C6171,Меню!A:E,5,0)</f>
        <v>250</v>
      </c>
    </row>
    <row r="6172" spans="1:6" ht="15.75" hidden="1" customHeight="1" x14ac:dyDescent="0.35">
      <c r="A6172" s="1">
        <v>6171</v>
      </c>
      <c r="B6172" s="1">
        <v>1222</v>
      </c>
      <c r="C6172" s="1">
        <v>46</v>
      </c>
      <c r="D6172" t="str">
        <f>VLOOKUP(B6172,Заказы!A:C,3,0)</f>
        <v>2023-12-27 20:01:00</v>
      </c>
      <c r="E6172" t="str">
        <f>VLOOKUP(C6172,Меню!A:E,4,0)</f>
        <v>Суши</v>
      </c>
      <c r="F6172">
        <f>VLOOKUP(C6172,Меню!A:E,5,0)</f>
        <v>200</v>
      </c>
    </row>
    <row r="6173" spans="1:6" ht="15.75" hidden="1" customHeight="1" x14ac:dyDescent="0.35">
      <c r="A6173" s="1">
        <v>6172</v>
      </c>
      <c r="B6173" s="1">
        <v>1222</v>
      </c>
      <c r="C6173" s="1">
        <v>2</v>
      </c>
      <c r="D6173" t="str">
        <f>VLOOKUP(B6173,Заказы!A:C,3,0)</f>
        <v>2023-12-27 20:01:00</v>
      </c>
      <c r="E6173" t="str">
        <f>VLOOKUP(C6173,Меню!A:E,4,0)</f>
        <v>Завтрак</v>
      </c>
      <c r="F6173">
        <f>VLOOKUP(C6173,Меню!A:E,5,0)</f>
        <v>250</v>
      </c>
    </row>
    <row r="6174" spans="1:6" ht="15.75" hidden="1" customHeight="1" x14ac:dyDescent="0.35">
      <c r="A6174" s="1">
        <v>6173</v>
      </c>
      <c r="B6174" s="1">
        <v>1223</v>
      </c>
      <c r="C6174" s="1">
        <v>13</v>
      </c>
      <c r="D6174" t="str">
        <f>VLOOKUP(B6174,Заказы!A:C,3,0)</f>
        <v>2023-12-27 21:03:00</v>
      </c>
      <c r="E6174" t="str">
        <f>VLOOKUP(C6174,Меню!A:E,4,0)</f>
        <v>Первое</v>
      </c>
      <c r="F6174">
        <f>VLOOKUP(C6174,Меню!A:E,5,0)</f>
        <v>280</v>
      </c>
    </row>
    <row r="6175" spans="1:6" ht="15.75" hidden="1" customHeight="1" x14ac:dyDescent="0.35">
      <c r="A6175" s="1">
        <v>6174</v>
      </c>
      <c r="B6175" s="1">
        <v>1223</v>
      </c>
      <c r="C6175" s="1">
        <v>50</v>
      </c>
      <c r="D6175" t="str">
        <f>VLOOKUP(B6175,Заказы!A:C,3,0)</f>
        <v>2023-12-27 21:03:00</v>
      </c>
      <c r="E6175" t="str">
        <f>VLOOKUP(C6175,Меню!A:E,4,0)</f>
        <v>Суши</v>
      </c>
      <c r="F6175">
        <f>VLOOKUP(C6175,Меню!A:E,5,0)</f>
        <v>200</v>
      </c>
    </row>
    <row r="6176" spans="1:6" ht="15.75" hidden="1" customHeight="1" x14ac:dyDescent="0.35">
      <c r="A6176" s="1">
        <v>6175</v>
      </c>
      <c r="B6176" s="1">
        <v>1223</v>
      </c>
      <c r="C6176" s="1">
        <v>9</v>
      </c>
      <c r="D6176" t="str">
        <f>VLOOKUP(B6176,Заказы!A:C,3,0)</f>
        <v>2023-12-27 21:03:00</v>
      </c>
      <c r="E6176" t="str">
        <f>VLOOKUP(C6176,Меню!A:E,4,0)</f>
        <v>Завтрак</v>
      </c>
      <c r="F6176">
        <f>VLOOKUP(C6176,Меню!A:E,5,0)</f>
        <v>220</v>
      </c>
    </row>
    <row r="6177" spans="1:6" ht="15.75" hidden="1" customHeight="1" x14ac:dyDescent="0.35">
      <c r="A6177" s="1">
        <v>6176</v>
      </c>
      <c r="B6177" s="1">
        <v>1223</v>
      </c>
      <c r="C6177" s="1">
        <v>49</v>
      </c>
      <c r="D6177" t="str">
        <f>VLOOKUP(B6177,Заказы!A:C,3,0)</f>
        <v>2023-12-27 21:03:00</v>
      </c>
      <c r="E6177" t="str">
        <f>VLOOKUP(C6177,Меню!A:E,4,0)</f>
        <v>Суши</v>
      </c>
      <c r="F6177">
        <f>VLOOKUP(C6177,Меню!A:E,5,0)</f>
        <v>200</v>
      </c>
    </row>
    <row r="6178" spans="1:6" ht="15.75" hidden="1" customHeight="1" x14ac:dyDescent="0.35">
      <c r="A6178" s="1">
        <v>6177</v>
      </c>
      <c r="B6178" s="1">
        <v>1223</v>
      </c>
      <c r="C6178" s="1">
        <v>3</v>
      </c>
      <c r="D6178" t="str">
        <f>VLOOKUP(B6178,Заказы!A:C,3,0)</f>
        <v>2023-12-27 21:03:00</v>
      </c>
      <c r="E6178" t="str">
        <f>VLOOKUP(C6178,Меню!A:E,4,0)</f>
        <v>Завтрак</v>
      </c>
      <c r="F6178">
        <f>VLOOKUP(C6178,Меню!A:E,5,0)</f>
        <v>150</v>
      </c>
    </row>
    <row r="6179" spans="1:6" ht="15.75" hidden="1" customHeight="1" x14ac:dyDescent="0.35">
      <c r="A6179" s="1">
        <v>6178</v>
      </c>
      <c r="B6179" s="1">
        <v>1223</v>
      </c>
      <c r="C6179" s="1">
        <v>5</v>
      </c>
      <c r="D6179" t="str">
        <f>VLOOKUP(B6179,Заказы!A:C,3,0)</f>
        <v>2023-12-27 21:03:00</v>
      </c>
      <c r="E6179" t="str">
        <f>VLOOKUP(C6179,Меню!A:E,4,0)</f>
        <v>Завтрак</v>
      </c>
      <c r="F6179">
        <f>VLOOKUP(C6179,Меню!A:E,5,0)</f>
        <v>220</v>
      </c>
    </row>
    <row r="6180" spans="1:6" ht="15.75" hidden="1" customHeight="1" x14ac:dyDescent="0.35">
      <c r="A6180" s="1">
        <v>6179</v>
      </c>
      <c r="B6180" s="1">
        <v>1224</v>
      </c>
      <c r="C6180" s="1">
        <v>26</v>
      </c>
      <c r="D6180" t="str">
        <f>VLOOKUP(B6180,Заказы!A:C,3,0)</f>
        <v>2023-12-27 21:18:00</v>
      </c>
      <c r="E6180" t="str">
        <f>VLOOKUP(C6180,Меню!A:E,4,0)</f>
        <v>Салат</v>
      </c>
      <c r="F6180">
        <f>VLOOKUP(C6180,Меню!A:E,5,0)</f>
        <v>250</v>
      </c>
    </row>
    <row r="6181" spans="1:6" ht="15.75" hidden="1" customHeight="1" x14ac:dyDescent="0.35">
      <c r="A6181" s="1">
        <v>6180</v>
      </c>
      <c r="B6181" s="1">
        <v>1224</v>
      </c>
      <c r="C6181" s="1">
        <v>29</v>
      </c>
      <c r="D6181" t="str">
        <f>VLOOKUP(B6181,Заказы!A:C,3,0)</f>
        <v>2023-12-27 21:18:00</v>
      </c>
      <c r="E6181" t="str">
        <f>VLOOKUP(C6181,Меню!A:E,4,0)</f>
        <v>Салат</v>
      </c>
      <c r="F6181">
        <f>VLOOKUP(C6181,Меню!A:E,5,0)</f>
        <v>250</v>
      </c>
    </row>
    <row r="6182" spans="1:6" ht="15.75" hidden="1" customHeight="1" x14ac:dyDescent="0.35">
      <c r="A6182" s="1">
        <v>6181</v>
      </c>
      <c r="B6182" s="1">
        <v>1224</v>
      </c>
      <c r="C6182" s="1">
        <v>1</v>
      </c>
      <c r="D6182" t="str">
        <f>VLOOKUP(B6182,Заказы!A:C,3,0)</f>
        <v>2023-12-27 21:18:00</v>
      </c>
      <c r="E6182" t="str">
        <f>VLOOKUP(C6182,Меню!A:E,4,0)</f>
        <v>Завтрак</v>
      </c>
      <c r="F6182">
        <f>VLOOKUP(C6182,Меню!A:E,5,0)</f>
        <v>200</v>
      </c>
    </row>
    <row r="6183" spans="1:6" ht="15.75" hidden="1" customHeight="1" x14ac:dyDescent="0.35">
      <c r="A6183" s="1">
        <v>6182</v>
      </c>
      <c r="B6183" s="1">
        <v>1224</v>
      </c>
      <c r="C6183" s="1">
        <v>20</v>
      </c>
      <c r="D6183" t="str">
        <f>VLOOKUP(B6183,Заказы!A:C,3,0)</f>
        <v>2023-12-27 21:18:00</v>
      </c>
      <c r="E6183" t="str">
        <f>VLOOKUP(C6183,Меню!A:E,4,0)</f>
        <v>Первое</v>
      </c>
      <c r="F6183">
        <f>VLOOKUP(C6183,Меню!A:E,5,0)</f>
        <v>250</v>
      </c>
    </row>
    <row r="6184" spans="1:6" ht="15.75" hidden="1" customHeight="1" x14ac:dyDescent="0.35">
      <c r="A6184" s="1">
        <v>6183</v>
      </c>
      <c r="B6184" s="1">
        <v>1224</v>
      </c>
      <c r="C6184" s="1">
        <v>25</v>
      </c>
      <c r="D6184" t="str">
        <f>VLOOKUP(B6184,Заказы!A:C,3,0)</f>
        <v>2023-12-27 21:18:00</v>
      </c>
      <c r="E6184" t="str">
        <f>VLOOKUP(C6184,Меню!A:E,4,0)</f>
        <v>Салат</v>
      </c>
      <c r="F6184">
        <f>VLOOKUP(C6184,Меню!A:E,5,0)</f>
        <v>250</v>
      </c>
    </row>
    <row r="6185" spans="1:6" ht="15.75" hidden="1" customHeight="1" x14ac:dyDescent="0.35">
      <c r="A6185" s="1">
        <v>6184</v>
      </c>
      <c r="B6185" s="1">
        <v>1225</v>
      </c>
      <c r="C6185" s="1">
        <v>7</v>
      </c>
      <c r="D6185" t="str">
        <f>VLOOKUP(B6185,Заказы!A:C,3,0)</f>
        <v>2023-12-28 15:58:00</v>
      </c>
      <c r="E6185" t="str">
        <f>VLOOKUP(C6185,Меню!A:E,4,0)</f>
        <v>Завтрак</v>
      </c>
      <c r="F6185">
        <f>VLOOKUP(C6185,Меню!A:E,5,0)</f>
        <v>200</v>
      </c>
    </row>
    <row r="6186" spans="1:6" ht="15.75" hidden="1" customHeight="1" x14ac:dyDescent="0.35">
      <c r="A6186" s="1">
        <v>6185</v>
      </c>
      <c r="B6186" s="1">
        <v>1225</v>
      </c>
      <c r="C6186" s="1">
        <v>42</v>
      </c>
      <c r="D6186" t="str">
        <f>VLOOKUP(B6186,Заказы!A:C,3,0)</f>
        <v>2023-12-28 15:58:00</v>
      </c>
      <c r="E6186" t="str">
        <f>VLOOKUP(C6186,Меню!A:E,4,0)</f>
        <v>Суши</v>
      </c>
      <c r="F6186">
        <f>VLOOKUP(C6186,Меню!A:E,5,0)</f>
        <v>250</v>
      </c>
    </row>
    <row r="6187" spans="1:6" ht="15.75" hidden="1" customHeight="1" x14ac:dyDescent="0.35">
      <c r="A6187" s="1">
        <v>6186</v>
      </c>
      <c r="B6187" s="1">
        <v>1225</v>
      </c>
      <c r="C6187" s="1">
        <v>4</v>
      </c>
      <c r="D6187" t="str">
        <f>VLOOKUP(B6187,Заказы!A:C,3,0)</f>
        <v>2023-12-28 15:58:00</v>
      </c>
      <c r="E6187" t="str">
        <f>VLOOKUP(C6187,Меню!A:E,4,0)</f>
        <v>Завтрак</v>
      </c>
      <c r="F6187">
        <f>VLOOKUP(C6187,Меню!A:E,5,0)</f>
        <v>180</v>
      </c>
    </row>
    <row r="6188" spans="1:6" ht="15.75" hidden="1" customHeight="1" x14ac:dyDescent="0.35">
      <c r="A6188" s="1">
        <v>6187</v>
      </c>
      <c r="B6188" s="1">
        <v>1225</v>
      </c>
      <c r="C6188" s="1">
        <v>44</v>
      </c>
      <c r="D6188" t="str">
        <f>VLOOKUP(B6188,Заказы!A:C,3,0)</f>
        <v>2023-12-28 15:58:00</v>
      </c>
      <c r="E6188" t="str">
        <f>VLOOKUP(C6188,Меню!A:E,4,0)</f>
        <v>Суши</v>
      </c>
      <c r="F6188">
        <f>VLOOKUP(C6188,Меню!A:E,5,0)</f>
        <v>250</v>
      </c>
    </row>
    <row r="6189" spans="1:6" ht="15.75" hidden="1" customHeight="1" x14ac:dyDescent="0.35">
      <c r="A6189" s="1">
        <v>6188</v>
      </c>
      <c r="B6189" s="1">
        <v>1226</v>
      </c>
      <c r="C6189" s="1">
        <v>31</v>
      </c>
      <c r="D6189" t="str">
        <f>VLOOKUP(B6189,Заказы!A:C,3,0)</f>
        <v>2023-12-28 17:21:00</v>
      </c>
      <c r="E6189" t="str">
        <f>VLOOKUP(C6189,Меню!A:E,4,0)</f>
        <v>Десерт</v>
      </c>
      <c r="F6189">
        <f>VLOOKUP(C6189,Меню!A:E,5,0)</f>
        <v>150</v>
      </c>
    </row>
    <row r="6190" spans="1:6" ht="15.75" hidden="1" customHeight="1" x14ac:dyDescent="0.35">
      <c r="A6190" s="1">
        <v>6189</v>
      </c>
      <c r="B6190" s="1">
        <v>1226</v>
      </c>
      <c r="C6190" s="1">
        <v>38</v>
      </c>
      <c r="D6190" t="str">
        <f>VLOOKUP(B6190,Заказы!A:C,3,0)</f>
        <v>2023-12-28 17:21:00</v>
      </c>
      <c r="E6190" t="str">
        <f>VLOOKUP(C6190,Меню!A:E,4,0)</f>
        <v>Десерт</v>
      </c>
      <c r="F6190">
        <f>VLOOKUP(C6190,Меню!A:E,5,0)</f>
        <v>150</v>
      </c>
    </row>
    <row r="6191" spans="1:6" ht="15.75" hidden="1" customHeight="1" x14ac:dyDescent="0.35">
      <c r="A6191" s="1">
        <v>6190</v>
      </c>
      <c r="B6191" s="1">
        <v>1226</v>
      </c>
      <c r="C6191" s="1">
        <v>20</v>
      </c>
      <c r="D6191" t="str">
        <f>VLOOKUP(B6191,Заказы!A:C,3,0)</f>
        <v>2023-12-28 17:21:00</v>
      </c>
      <c r="E6191" t="str">
        <f>VLOOKUP(C6191,Меню!A:E,4,0)</f>
        <v>Первое</v>
      </c>
      <c r="F6191">
        <f>VLOOKUP(C6191,Меню!A:E,5,0)</f>
        <v>250</v>
      </c>
    </row>
    <row r="6192" spans="1:6" ht="15.75" hidden="1" customHeight="1" x14ac:dyDescent="0.35">
      <c r="A6192" s="1">
        <v>6191</v>
      </c>
      <c r="B6192" s="1">
        <v>1226</v>
      </c>
      <c r="C6192" s="1">
        <v>32</v>
      </c>
      <c r="D6192" t="str">
        <f>VLOOKUP(B6192,Заказы!A:C,3,0)</f>
        <v>2023-12-28 17:21:00</v>
      </c>
      <c r="E6192" t="str">
        <f>VLOOKUP(C6192,Меню!A:E,4,0)</f>
        <v>Десерт</v>
      </c>
      <c r="F6192">
        <f>VLOOKUP(C6192,Меню!A:E,5,0)</f>
        <v>150</v>
      </c>
    </row>
    <row r="6193" spans="1:6" ht="15.75" hidden="1" customHeight="1" x14ac:dyDescent="0.35">
      <c r="A6193" s="1">
        <v>6192</v>
      </c>
      <c r="B6193" s="1">
        <v>1226</v>
      </c>
      <c r="C6193" s="1">
        <v>57</v>
      </c>
      <c r="D6193" t="str">
        <f>VLOOKUP(B6193,Заказы!A:C,3,0)</f>
        <v>2023-12-28 17:21:00</v>
      </c>
      <c r="E6193" t="str">
        <f>VLOOKUP(C6193,Меню!A:E,4,0)</f>
        <v>Суши</v>
      </c>
      <c r="F6193">
        <f>VLOOKUP(C6193,Меню!A:E,5,0)</f>
        <v>200</v>
      </c>
    </row>
    <row r="6194" spans="1:6" ht="15.75" hidden="1" customHeight="1" x14ac:dyDescent="0.35">
      <c r="A6194" s="1">
        <v>6193</v>
      </c>
      <c r="B6194" s="1">
        <v>1226</v>
      </c>
      <c r="C6194" s="1">
        <v>51</v>
      </c>
      <c r="D6194" t="str">
        <f>VLOOKUP(B6194,Заказы!A:C,3,0)</f>
        <v>2023-12-28 17:21:00</v>
      </c>
      <c r="E6194" t="str">
        <f>VLOOKUP(C6194,Меню!A:E,4,0)</f>
        <v>Суши</v>
      </c>
      <c r="F6194">
        <f>VLOOKUP(C6194,Меню!A:E,5,0)</f>
        <v>100</v>
      </c>
    </row>
    <row r="6195" spans="1:6" ht="15.75" hidden="1" customHeight="1" x14ac:dyDescent="0.35">
      <c r="A6195" s="1">
        <v>6194</v>
      </c>
      <c r="B6195" s="1">
        <v>1226</v>
      </c>
      <c r="C6195" s="1">
        <v>38</v>
      </c>
      <c r="D6195" t="str">
        <f>VLOOKUP(B6195,Заказы!A:C,3,0)</f>
        <v>2023-12-28 17:21:00</v>
      </c>
      <c r="E6195" t="str">
        <f>VLOOKUP(C6195,Меню!A:E,4,0)</f>
        <v>Десерт</v>
      </c>
      <c r="F6195">
        <f>VLOOKUP(C6195,Меню!A:E,5,0)</f>
        <v>150</v>
      </c>
    </row>
    <row r="6196" spans="1:6" ht="15.75" hidden="1" customHeight="1" x14ac:dyDescent="0.35">
      <c r="A6196" s="1">
        <v>6195</v>
      </c>
      <c r="B6196" s="1">
        <v>1227</v>
      </c>
      <c r="C6196" s="1">
        <v>27</v>
      </c>
      <c r="D6196" t="str">
        <f>VLOOKUP(B6196,Заказы!A:C,3,0)</f>
        <v>2023-12-28 19:06:00</v>
      </c>
      <c r="E6196" t="str">
        <f>VLOOKUP(C6196,Меню!A:E,4,0)</f>
        <v>Салат</v>
      </c>
      <c r="F6196">
        <f>VLOOKUP(C6196,Меню!A:E,5,0)</f>
        <v>250</v>
      </c>
    </row>
    <row r="6197" spans="1:6" ht="15.75" hidden="1" customHeight="1" x14ac:dyDescent="0.35">
      <c r="A6197" s="1">
        <v>6196</v>
      </c>
      <c r="B6197" s="1">
        <v>1227</v>
      </c>
      <c r="C6197" s="1">
        <v>29</v>
      </c>
      <c r="D6197" t="str">
        <f>VLOOKUP(B6197,Заказы!A:C,3,0)</f>
        <v>2023-12-28 19:06:00</v>
      </c>
      <c r="E6197" t="str">
        <f>VLOOKUP(C6197,Меню!A:E,4,0)</f>
        <v>Салат</v>
      </c>
      <c r="F6197">
        <f>VLOOKUP(C6197,Меню!A:E,5,0)</f>
        <v>250</v>
      </c>
    </row>
    <row r="6198" spans="1:6" ht="15.75" hidden="1" customHeight="1" x14ac:dyDescent="0.35">
      <c r="A6198" s="1">
        <v>6197</v>
      </c>
      <c r="B6198" s="1">
        <v>1227</v>
      </c>
      <c r="C6198" s="1">
        <v>33</v>
      </c>
      <c r="D6198" t="str">
        <f>VLOOKUP(B6198,Заказы!A:C,3,0)</f>
        <v>2023-12-28 19:06:00</v>
      </c>
      <c r="E6198" t="str">
        <f>VLOOKUP(C6198,Меню!A:E,4,0)</f>
        <v>Десерт</v>
      </c>
      <c r="F6198">
        <f>VLOOKUP(C6198,Меню!A:E,5,0)</f>
        <v>150</v>
      </c>
    </row>
    <row r="6199" spans="1:6" ht="15.75" hidden="1" customHeight="1" x14ac:dyDescent="0.35">
      <c r="A6199" s="1">
        <v>6198</v>
      </c>
      <c r="B6199" s="1">
        <v>1227</v>
      </c>
      <c r="C6199" s="1">
        <v>21</v>
      </c>
      <c r="D6199" t="str">
        <f>VLOOKUP(B6199,Заказы!A:C,3,0)</f>
        <v>2023-12-28 19:06:00</v>
      </c>
      <c r="E6199" t="str">
        <f>VLOOKUP(C6199,Меню!A:E,4,0)</f>
        <v>Салат</v>
      </c>
      <c r="F6199">
        <f>VLOOKUP(C6199,Меню!A:E,5,0)</f>
        <v>250</v>
      </c>
    </row>
    <row r="6200" spans="1:6" ht="15.75" hidden="1" customHeight="1" x14ac:dyDescent="0.35">
      <c r="A6200" s="1">
        <v>6199</v>
      </c>
      <c r="B6200" s="1">
        <v>1227</v>
      </c>
      <c r="C6200" s="1">
        <v>56</v>
      </c>
      <c r="D6200" t="str">
        <f>VLOOKUP(B6200,Заказы!A:C,3,0)</f>
        <v>2023-12-28 19:06:00</v>
      </c>
      <c r="E6200" t="str">
        <f>VLOOKUP(C6200,Меню!A:E,4,0)</f>
        <v>Суши</v>
      </c>
      <c r="F6200">
        <f>VLOOKUP(C6200,Меню!A:E,5,0)</f>
        <v>200</v>
      </c>
    </row>
    <row r="6201" spans="1:6" ht="15.75" hidden="1" customHeight="1" x14ac:dyDescent="0.35">
      <c r="A6201" s="1">
        <v>6200</v>
      </c>
      <c r="B6201" s="1">
        <v>1227</v>
      </c>
      <c r="C6201" s="1">
        <v>20</v>
      </c>
      <c r="D6201" t="str">
        <f>VLOOKUP(B6201,Заказы!A:C,3,0)</f>
        <v>2023-12-28 19:06:00</v>
      </c>
      <c r="E6201" t="str">
        <f>VLOOKUP(C6201,Меню!A:E,4,0)</f>
        <v>Первое</v>
      </c>
      <c r="F6201">
        <f>VLOOKUP(C6201,Меню!A:E,5,0)</f>
        <v>250</v>
      </c>
    </row>
    <row r="6202" spans="1:6" ht="15.75" hidden="1" customHeight="1" x14ac:dyDescent="0.35">
      <c r="A6202" s="1">
        <v>6201</v>
      </c>
      <c r="B6202" s="1">
        <v>1227</v>
      </c>
      <c r="C6202" s="1">
        <v>20</v>
      </c>
      <c r="D6202" t="str">
        <f>VLOOKUP(B6202,Заказы!A:C,3,0)</f>
        <v>2023-12-28 19:06:00</v>
      </c>
      <c r="E6202" t="str">
        <f>VLOOKUP(C6202,Меню!A:E,4,0)</f>
        <v>Первое</v>
      </c>
      <c r="F6202">
        <f>VLOOKUP(C6202,Меню!A:E,5,0)</f>
        <v>250</v>
      </c>
    </row>
    <row r="6203" spans="1:6" ht="15.75" hidden="1" customHeight="1" x14ac:dyDescent="0.35">
      <c r="A6203" s="1">
        <v>6202</v>
      </c>
      <c r="B6203" s="1">
        <v>1228</v>
      </c>
      <c r="C6203" s="1">
        <v>41</v>
      </c>
      <c r="D6203" t="str">
        <f>VLOOKUP(B6203,Заказы!A:C,3,0)</f>
        <v>2023-12-28 19:37:00</v>
      </c>
      <c r="E6203" t="str">
        <f>VLOOKUP(C6203,Меню!A:E,4,0)</f>
        <v>Суши</v>
      </c>
      <c r="F6203">
        <f>VLOOKUP(C6203,Меню!A:E,5,0)</f>
        <v>220</v>
      </c>
    </row>
    <row r="6204" spans="1:6" ht="15.75" hidden="1" customHeight="1" x14ac:dyDescent="0.35">
      <c r="A6204" s="1">
        <v>6203</v>
      </c>
      <c r="B6204" s="1">
        <v>1228</v>
      </c>
      <c r="C6204" s="1">
        <v>41</v>
      </c>
      <c r="D6204" t="str">
        <f>VLOOKUP(B6204,Заказы!A:C,3,0)</f>
        <v>2023-12-28 19:37:00</v>
      </c>
      <c r="E6204" t="str">
        <f>VLOOKUP(C6204,Меню!A:E,4,0)</f>
        <v>Суши</v>
      </c>
      <c r="F6204">
        <f>VLOOKUP(C6204,Меню!A:E,5,0)</f>
        <v>220</v>
      </c>
    </row>
    <row r="6205" spans="1:6" ht="15.75" hidden="1" customHeight="1" x14ac:dyDescent="0.35">
      <c r="A6205" s="1">
        <v>6204</v>
      </c>
      <c r="B6205" s="1">
        <v>1228</v>
      </c>
      <c r="C6205" s="1">
        <v>4</v>
      </c>
      <c r="D6205" t="str">
        <f>VLOOKUP(B6205,Заказы!A:C,3,0)</f>
        <v>2023-12-28 19:37:00</v>
      </c>
      <c r="E6205" t="str">
        <f>VLOOKUP(C6205,Меню!A:E,4,0)</f>
        <v>Завтрак</v>
      </c>
      <c r="F6205">
        <f>VLOOKUP(C6205,Меню!A:E,5,0)</f>
        <v>180</v>
      </c>
    </row>
    <row r="6206" spans="1:6" ht="15.75" hidden="1" customHeight="1" x14ac:dyDescent="0.35">
      <c r="A6206" s="1">
        <v>6205</v>
      </c>
      <c r="B6206" s="1">
        <v>1228</v>
      </c>
      <c r="C6206" s="1">
        <v>8</v>
      </c>
      <c r="D6206" t="str">
        <f>VLOOKUP(B6206,Заказы!A:C,3,0)</f>
        <v>2023-12-28 19:37:00</v>
      </c>
      <c r="E6206" t="str">
        <f>VLOOKUP(C6206,Меню!A:E,4,0)</f>
        <v>Завтрак</v>
      </c>
      <c r="F6206">
        <f>VLOOKUP(C6206,Меню!A:E,5,0)</f>
        <v>180</v>
      </c>
    </row>
    <row r="6207" spans="1:6" ht="15.75" hidden="1" customHeight="1" x14ac:dyDescent="0.35">
      <c r="A6207" s="1">
        <v>6206</v>
      </c>
      <c r="B6207" s="1">
        <v>1228</v>
      </c>
      <c r="C6207" s="1">
        <v>15</v>
      </c>
      <c r="D6207" t="str">
        <f>VLOOKUP(B6207,Заказы!A:C,3,0)</f>
        <v>2023-12-28 19:37:00</v>
      </c>
      <c r="E6207" t="str">
        <f>VLOOKUP(C6207,Меню!A:E,4,0)</f>
        <v>Первое</v>
      </c>
      <c r="F6207">
        <f>VLOOKUP(C6207,Меню!A:E,5,0)</f>
        <v>250</v>
      </c>
    </row>
    <row r="6208" spans="1:6" ht="15.75" hidden="1" customHeight="1" x14ac:dyDescent="0.35">
      <c r="A6208" s="1">
        <v>6207</v>
      </c>
      <c r="B6208" s="1">
        <v>1229</v>
      </c>
      <c r="C6208" s="1">
        <v>42</v>
      </c>
      <c r="D6208" t="str">
        <f>VLOOKUP(B6208,Заказы!A:C,3,0)</f>
        <v>2023-12-28 20:21:00</v>
      </c>
      <c r="E6208" t="str">
        <f>VLOOKUP(C6208,Меню!A:E,4,0)</f>
        <v>Суши</v>
      </c>
      <c r="F6208">
        <f>VLOOKUP(C6208,Меню!A:E,5,0)</f>
        <v>250</v>
      </c>
    </row>
    <row r="6209" spans="1:6" ht="15.75" hidden="1" customHeight="1" x14ac:dyDescent="0.35">
      <c r="A6209" s="1">
        <v>6208</v>
      </c>
      <c r="B6209" s="1">
        <v>1229</v>
      </c>
      <c r="C6209" s="1">
        <v>45</v>
      </c>
      <c r="D6209" t="str">
        <f>VLOOKUP(B6209,Заказы!A:C,3,0)</f>
        <v>2023-12-28 20:21:00</v>
      </c>
      <c r="E6209" t="str">
        <f>VLOOKUP(C6209,Меню!A:E,4,0)</f>
        <v>Суши</v>
      </c>
      <c r="F6209">
        <f>VLOOKUP(C6209,Меню!A:E,5,0)</f>
        <v>200</v>
      </c>
    </row>
    <row r="6210" spans="1:6" ht="15.75" hidden="1" customHeight="1" x14ac:dyDescent="0.35">
      <c r="A6210" s="1">
        <v>6209</v>
      </c>
      <c r="B6210" s="1">
        <v>1229</v>
      </c>
      <c r="C6210" s="1">
        <v>10</v>
      </c>
      <c r="D6210" t="str">
        <f>VLOOKUP(B6210,Заказы!A:C,3,0)</f>
        <v>2023-12-28 20:21:00</v>
      </c>
      <c r="E6210" t="str">
        <f>VLOOKUP(C6210,Меню!A:E,4,0)</f>
        <v>Завтрак</v>
      </c>
      <c r="F6210">
        <f>VLOOKUP(C6210,Меню!A:E,5,0)</f>
        <v>200</v>
      </c>
    </row>
    <row r="6211" spans="1:6" ht="15.75" hidden="1" customHeight="1" x14ac:dyDescent="0.35">
      <c r="A6211" s="1">
        <v>6210</v>
      </c>
      <c r="B6211" s="1">
        <v>1229</v>
      </c>
      <c r="C6211" s="1">
        <v>60</v>
      </c>
      <c r="D6211" t="str">
        <f>VLOOKUP(B6211,Заказы!A:C,3,0)</f>
        <v>2023-12-28 20:21:00</v>
      </c>
      <c r="E6211" t="str">
        <f>VLOOKUP(C6211,Меню!A:E,4,0)</f>
        <v>Суши</v>
      </c>
      <c r="F6211">
        <f>VLOOKUP(C6211,Меню!A:E,5,0)</f>
        <v>250</v>
      </c>
    </row>
    <row r="6212" spans="1:6" ht="15.75" hidden="1" customHeight="1" x14ac:dyDescent="0.35">
      <c r="A6212" s="1">
        <v>6211</v>
      </c>
      <c r="B6212" s="1">
        <v>1229</v>
      </c>
      <c r="C6212" s="1">
        <v>59</v>
      </c>
      <c r="D6212" t="str">
        <f>VLOOKUP(B6212,Заказы!A:C,3,0)</f>
        <v>2023-12-28 20:21:00</v>
      </c>
      <c r="E6212" t="str">
        <f>VLOOKUP(C6212,Меню!A:E,4,0)</f>
        <v>Суши</v>
      </c>
      <c r="F6212">
        <f>VLOOKUP(C6212,Меню!A:E,5,0)</f>
        <v>300</v>
      </c>
    </row>
    <row r="6213" spans="1:6" ht="15.75" hidden="1" customHeight="1" x14ac:dyDescent="0.35">
      <c r="A6213" s="1">
        <v>6212</v>
      </c>
      <c r="B6213" s="1">
        <v>1229</v>
      </c>
      <c r="C6213" s="1">
        <v>50</v>
      </c>
      <c r="D6213" t="str">
        <f>VLOOKUP(B6213,Заказы!A:C,3,0)</f>
        <v>2023-12-28 20:21:00</v>
      </c>
      <c r="E6213" t="str">
        <f>VLOOKUP(C6213,Меню!A:E,4,0)</f>
        <v>Суши</v>
      </c>
      <c r="F6213">
        <f>VLOOKUP(C6213,Меню!A:E,5,0)</f>
        <v>200</v>
      </c>
    </row>
    <row r="6214" spans="1:6" ht="15.75" hidden="1" customHeight="1" x14ac:dyDescent="0.35">
      <c r="A6214" s="1">
        <v>6213</v>
      </c>
      <c r="B6214" s="1">
        <v>1229</v>
      </c>
      <c r="C6214" s="1">
        <v>44</v>
      </c>
      <c r="D6214" t="str">
        <f>VLOOKUP(B6214,Заказы!A:C,3,0)</f>
        <v>2023-12-28 20:21:00</v>
      </c>
      <c r="E6214" t="str">
        <f>VLOOKUP(C6214,Меню!A:E,4,0)</f>
        <v>Суши</v>
      </c>
      <c r="F6214">
        <f>VLOOKUP(C6214,Меню!A:E,5,0)</f>
        <v>250</v>
      </c>
    </row>
    <row r="6215" spans="1:6" ht="15.75" hidden="1" customHeight="1" x14ac:dyDescent="0.35">
      <c r="A6215" s="1">
        <v>6214</v>
      </c>
      <c r="B6215" s="1">
        <v>1229</v>
      </c>
      <c r="C6215" s="1">
        <v>20</v>
      </c>
      <c r="D6215" t="str">
        <f>VLOOKUP(B6215,Заказы!A:C,3,0)</f>
        <v>2023-12-28 20:21:00</v>
      </c>
      <c r="E6215" t="str">
        <f>VLOOKUP(C6215,Меню!A:E,4,0)</f>
        <v>Первое</v>
      </c>
      <c r="F6215">
        <f>VLOOKUP(C6215,Меню!A:E,5,0)</f>
        <v>250</v>
      </c>
    </row>
    <row r="6216" spans="1:6" ht="15.75" hidden="1" customHeight="1" x14ac:dyDescent="0.35">
      <c r="A6216" s="1">
        <v>6215</v>
      </c>
      <c r="B6216" s="1">
        <v>1230</v>
      </c>
      <c r="C6216" s="1">
        <v>33</v>
      </c>
      <c r="D6216" t="str">
        <f>VLOOKUP(B6216,Заказы!A:C,3,0)</f>
        <v>2023-12-29 15:41:00</v>
      </c>
      <c r="E6216" t="str">
        <f>VLOOKUP(C6216,Меню!A:E,4,0)</f>
        <v>Десерт</v>
      </c>
      <c r="F6216">
        <f>VLOOKUP(C6216,Меню!A:E,5,0)</f>
        <v>150</v>
      </c>
    </row>
    <row r="6217" spans="1:6" ht="15.75" hidden="1" customHeight="1" x14ac:dyDescent="0.35">
      <c r="A6217" s="1">
        <v>6216</v>
      </c>
      <c r="B6217" s="1">
        <v>1230</v>
      </c>
      <c r="C6217" s="1">
        <v>25</v>
      </c>
      <c r="D6217" t="str">
        <f>VLOOKUP(B6217,Заказы!A:C,3,0)</f>
        <v>2023-12-29 15:41:00</v>
      </c>
      <c r="E6217" t="str">
        <f>VLOOKUP(C6217,Меню!A:E,4,0)</f>
        <v>Салат</v>
      </c>
      <c r="F6217">
        <f>VLOOKUP(C6217,Меню!A:E,5,0)</f>
        <v>250</v>
      </c>
    </row>
    <row r="6218" spans="1:6" ht="15.75" hidden="1" customHeight="1" x14ac:dyDescent="0.35">
      <c r="A6218" s="1">
        <v>6217</v>
      </c>
      <c r="B6218" s="1">
        <v>1230</v>
      </c>
      <c r="C6218" s="1">
        <v>54</v>
      </c>
      <c r="D6218" t="str">
        <f>VLOOKUP(B6218,Заказы!A:C,3,0)</f>
        <v>2023-12-29 15:41:00</v>
      </c>
      <c r="E6218" t="str">
        <f>VLOOKUP(C6218,Меню!A:E,4,0)</f>
        <v>Суши</v>
      </c>
      <c r="F6218">
        <f>VLOOKUP(C6218,Меню!A:E,5,0)</f>
        <v>100</v>
      </c>
    </row>
    <row r="6219" spans="1:6" ht="15.75" hidden="1" customHeight="1" x14ac:dyDescent="0.35">
      <c r="A6219" s="1">
        <v>6218</v>
      </c>
      <c r="B6219" s="1">
        <v>1230</v>
      </c>
      <c r="C6219" s="1">
        <v>51</v>
      </c>
      <c r="D6219" t="str">
        <f>VLOOKUP(B6219,Заказы!A:C,3,0)</f>
        <v>2023-12-29 15:41:00</v>
      </c>
      <c r="E6219" t="str">
        <f>VLOOKUP(C6219,Меню!A:E,4,0)</f>
        <v>Суши</v>
      </c>
      <c r="F6219">
        <f>VLOOKUP(C6219,Меню!A:E,5,0)</f>
        <v>100</v>
      </c>
    </row>
    <row r="6220" spans="1:6" ht="15.75" hidden="1" customHeight="1" x14ac:dyDescent="0.35">
      <c r="A6220" s="1">
        <v>6219</v>
      </c>
      <c r="B6220" s="1">
        <v>1230</v>
      </c>
      <c r="C6220" s="1">
        <v>28</v>
      </c>
      <c r="D6220" t="str">
        <f>VLOOKUP(B6220,Заказы!A:C,3,0)</f>
        <v>2023-12-29 15:41:00</v>
      </c>
      <c r="E6220" t="str">
        <f>VLOOKUP(C6220,Меню!A:E,4,0)</f>
        <v>Салат</v>
      </c>
      <c r="F6220">
        <f>VLOOKUP(C6220,Меню!A:E,5,0)</f>
        <v>250</v>
      </c>
    </row>
    <row r="6221" spans="1:6" ht="15.75" hidden="1" customHeight="1" x14ac:dyDescent="0.35">
      <c r="A6221" s="1">
        <v>6220</v>
      </c>
      <c r="B6221" s="1">
        <v>1231</v>
      </c>
      <c r="C6221" s="1">
        <v>33</v>
      </c>
      <c r="D6221" t="str">
        <f>VLOOKUP(B6221,Заказы!A:C,3,0)</f>
        <v>2023-12-29 17:30:00</v>
      </c>
      <c r="E6221" t="str">
        <f>VLOOKUP(C6221,Меню!A:E,4,0)</f>
        <v>Десерт</v>
      </c>
      <c r="F6221">
        <f>VLOOKUP(C6221,Меню!A:E,5,0)</f>
        <v>150</v>
      </c>
    </row>
    <row r="6222" spans="1:6" ht="15.75" hidden="1" customHeight="1" x14ac:dyDescent="0.35">
      <c r="A6222" s="1">
        <v>6221</v>
      </c>
      <c r="B6222" s="1">
        <v>1231</v>
      </c>
      <c r="C6222" s="1">
        <v>49</v>
      </c>
      <c r="D6222" t="str">
        <f>VLOOKUP(B6222,Заказы!A:C,3,0)</f>
        <v>2023-12-29 17:30:00</v>
      </c>
      <c r="E6222" t="str">
        <f>VLOOKUP(C6222,Меню!A:E,4,0)</f>
        <v>Суши</v>
      </c>
      <c r="F6222">
        <f>VLOOKUP(C6222,Меню!A:E,5,0)</f>
        <v>200</v>
      </c>
    </row>
    <row r="6223" spans="1:6" ht="15.75" hidden="1" customHeight="1" x14ac:dyDescent="0.35">
      <c r="A6223" s="1">
        <v>6222</v>
      </c>
      <c r="B6223" s="1">
        <v>1231</v>
      </c>
      <c r="C6223" s="1">
        <v>34</v>
      </c>
      <c r="D6223" t="str">
        <f>VLOOKUP(B6223,Заказы!A:C,3,0)</f>
        <v>2023-12-29 17:30:00</v>
      </c>
      <c r="E6223" t="str">
        <f>VLOOKUP(C6223,Меню!A:E,4,0)</f>
        <v>Десерт</v>
      </c>
      <c r="F6223">
        <f>VLOOKUP(C6223,Меню!A:E,5,0)</f>
        <v>150</v>
      </c>
    </row>
    <row r="6224" spans="1:6" ht="15.75" hidden="1" customHeight="1" x14ac:dyDescent="0.35">
      <c r="A6224" s="1">
        <v>6223</v>
      </c>
      <c r="B6224" s="1">
        <v>1231</v>
      </c>
      <c r="C6224" s="1">
        <v>25</v>
      </c>
      <c r="D6224" t="str">
        <f>VLOOKUP(B6224,Заказы!A:C,3,0)</f>
        <v>2023-12-29 17:30:00</v>
      </c>
      <c r="E6224" t="str">
        <f>VLOOKUP(C6224,Меню!A:E,4,0)</f>
        <v>Салат</v>
      </c>
      <c r="F6224">
        <f>VLOOKUP(C6224,Меню!A:E,5,0)</f>
        <v>250</v>
      </c>
    </row>
    <row r="6225" spans="1:6" ht="15.75" hidden="1" customHeight="1" x14ac:dyDescent="0.35">
      <c r="A6225" s="1">
        <v>6224</v>
      </c>
      <c r="B6225" s="1">
        <v>1231</v>
      </c>
      <c r="C6225" s="1">
        <v>31</v>
      </c>
      <c r="D6225" t="str">
        <f>VLOOKUP(B6225,Заказы!A:C,3,0)</f>
        <v>2023-12-29 17:30:00</v>
      </c>
      <c r="E6225" t="str">
        <f>VLOOKUP(C6225,Меню!A:E,4,0)</f>
        <v>Десерт</v>
      </c>
      <c r="F6225">
        <f>VLOOKUP(C6225,Меню!A:E,5,0)</f>
        <v>150</v>
      </c>
    </row>
    <row r="6226" spans="1:6" ht="15.75" hidden="1" customHeight="1" x14ac:dyDescent="0.35">
      <c r="A6226" s="1">
        <v>6225</v>
      </c>
      <c r="B6226" s="1">
        <v>1231</v>
      </c>
      <c r="C6226" s="1">
        <v>2</v>
      </c>
      <c r="D6226" t="str">
        <f>VLOOKUP(B6226,Заказы!A:C,3,0)</f>
        <v>2023-12-29 17:30:00</v>
      </c>
      <c r="E6226" t="str">
        <f>VLOOKUP(C6226,Меню!A:E,4,0)</f>
        <v>Завтрак</v>
      </c>
      <c r="F6226">
        <f>VLOOKUP(C6226,Меню!A:E,5,0)</f>
        <v>250</v>
      </c>
    </row>
    <row r="6227" spans="1:6" ht="15.75" hidden="1" customHeight="1" x14ac:dyDescent="0.35">
      <c r="A6227" s="1">
        <v>6226</v>
      </c>
      <c r="B6227" s="1">
        <v>1231</v>
      </c>
      <c r="C6227" s="1">
        <v>48</v>
      </c>
      <c r="D6227" t="str">
        <f>VLOOKUP(B6227,Заказы!A:C,3,0)</f>
        <v>2023-12-29 17:30:00</v>
      </c>
      <c r="E6227" t="str">
        <f>VLOOKUP(C6227,Меню!A:E,4,0)</f>
        <v>Суши</v>
      </c>
      <c r="F6227">
        <f>VLOOKUP(C6227,Меню!A:E,5,0)</f>
        <v>200</v>
      </c>
    </row>
    <row r="6228" spans="1:6" ht="15.75" hidden="1" customHeight="1" x14ac:dyDescent="0.35">
      <c r="A6228" s="1">
        <v>6227</v>
      </c>
      <c r="B6228" s="1">
        <v>1231</v>
      </c>
      <c r="C6228" s="1">
        <v>23</v>
      </c>
      <c r="D6228" t="str">
        <f>VLOOKUP(B6228,Заказы!A:C,3,0)</f>
        <v>2023-12-29 17:30:00</v>
      </c>
      <c r="E6228" t="str">
        <f>VLOOKUP(C6228,Меню!A:E,4,0)</f>
        <v>Салат</v>
      </c>
      <c r="F6228">
        <f>VLOOKUP(C6228,Меню!A:E,5,0)</f>
        <v>250</v>
      </c>
    </row>
    <row r="6229" spans="1:6" ht="15.75" hidden="1" customHeight="1" x14ac:dyDescent="0.35">
      <c r="A6229" s="1">
        <v>6228</v>
      </c>
      <c r="B6229" s="1">
        <v>1231</v>
      </c>
      <c r="C6229" s="1">
        <v>7</v>
      </c>
      <c r="D6229" t="str">
        <f>VLOOKUP(B6229,Заказы!A:C,3,0)</f>
        <v>2023-12-29 17:30:00</v>
      </c>
      <c r="E6229" t="str">
        <f>VLOOKUP(C6229,Меню!A:E,4,0)</f>
        <v>Завтрак</v>
      </c>
      <c r="F6229">
        <f>VLOOKUP(C6229,Меню!A:E,5,0)</f>
        <v>200</v>
      </c>
    </row>
    <row r="6230" spans="1:6" ht="15.75" hidden="1" customHeight="1" x14ac:dyDescent="0.35">
      <c r="A6230" s="1">
        <v>6229</v>
      </c>
      <c r="B6230" s="1">
        <v>1231</v>
      </c>
      <c r="C6230" s="1">
        <v>24</v>
      </c>
      <c r="D6230" t="str">
        <f>VLOOKUP(B6230,Заказы!A:C,3,0)</f>
        <v>2023-12-29 17:30:00</v>
      </c>
      <c r="E6230" t="str">
        <f>VLOOKUP(C6230,Меню!A:E,4,0)</f>
        <v>Салат</v>
      </c>
      <c r="F6230">
        <f>VLOOKUP(C6230,Меню!A:E,5,0)</f>
        <v>250</v>
      </c>
    </row>
    <row r="6231" spans="1:6" ht="15.75" hidden="1" customHeight="1" x14ac:dyDescent="0.35">
      <c r="A6231" s="1">
        <v>6230</v>
      </c>
      <c r="B6231" s="1">
        <v>1231</v>
      </c>
      <c r="C6231" s="1">
        <v>52</v>
      </c>
      <c r="D6231" t="str">
        <f>VLOOKUP(B6231,Заказы!A:C,3,0)</f>
        <v>2023-12-29 17:30:00</v>
      </c>
      <c r="E6231" t="str">
        <f>VLOOKUP(C6231,Меню!A:E,4,0)</f>
        <v>Суши</v>
      </c>
      <c r="F6231">
        <f>VLOOKUP(C6231,Меню!A:E,5,0)</f>
        <v>100</v>
      </c>
    </row>
    <row r="6232" spans="1:6" ht="15.75" hidden="1" customHeight="1" x14ac:dyDescent="0.35">
      <c r="A6232" s="1">
        <v>6231</v>
      </c>
      <c r="B6232" s="1">
        <v>1232</v>
      </c>
      <c r="C6232" s="1">
        <v>58</v>
      </c>
      <c r="D6232" t="str">
        <f>VLOOKUP(B6232,Заказы!A:C,3,0)</f>
        <v>2023-12-29 18:58:00</v>
      </c>
      <c r="E6232" t="str">
        <f>VLOOKUP(C6232,Меню!A:E,4,0)</f>
        <v>Суши</v>
      </c>
      <c r="F6232">
        <f>VLOOKUP(C6232,Меню!A:E,5,0)</f>
        <v>200</v>
      </c>
    </row>
    <row r="6233" spans="1:6" ht="15.75" hidden="1" customHeight="1" x14ac:dyDescent="0.35">
      <c r="A6233" s="1">
        <v>6232</v>
      </c>
      <c r="B6233" s="1">
        <v>1232</v>
      </c>
      <c r="C6233" s="1">
        <v>7</v>
      </c>
      <c r="D6233" t="str">
        <f>VLOOKUP(B6233,Заказы!A:C,3,0)</f>
        <v>2023-12-29 18:58:00</v>
      </c>
      <c r="E6233" t="str">
        <f>VLOOKUP(C6233,Меню!A:E,4,0)</f>
        <v>Завтрак</v>
      </c>
      <c r="F6233">
        <f>VLOOKUP(C6233,Меню!A:E,5,0)</f>
        <v>200</v>
      </c>
    </row>
    <row r="6234" spans="1:6" ht="15.75" hidden="1" customHeight="1" x14ac:dyDescent="0.35">
      <c r="A6234" s="1">
        <v>6233</v>
      </c>
      <c r="B6234" s="1">
        <v>1233</v>
      </c>
      <c r="C6234" s="1">
        <v>59</v>
      </c>
      <c r="D6234" t="str">
        <f>VLOOKUP(B6234,Заказы!A:C,3,0)</f>
        <v>2023-12-29 19:34:00</v>
      </c>
      <c r="E6234" t="str">
        <f>VLOOKUP(C6234,Меню!A:E,4,0)</f>
        <v>Суши</v>
      </c>
      <c r="F6234">
        <f>VLOOKUP(C6234,Меню!A:E,5,0)</f>
        <v>300</v>
      </c>
    </row>
    <row r="6235" spans="1:6" ht="15.75" hidden="1" customHeight="1" x14ac:dyDescent="0.35">
      <c r="A6235" s="1">
        <v>6234</v>
      </c>
      <c r="B6235" s="1">
        <v>1233</v>
      </c>
      <c r="C6235" s="1">
        <v>16</v>
      </c>
      <c r="D6235" t="str">
        <f>VLOOKUP(B6235,Заказы!A:C,3,0)</f>
        <v>2023-12-29 19:34:00</v>
      </c>
      <c r="E6235" t="str">
        <f>VLOOKUP(C6235,Меню!A:E,4,0)</f>
        <v>Первое</v>
      </c>
      <c r="F6235">
        <f>VLOOKUP(C6235,Меню!A:E,5,0)</f>
        <v>250</v>
      </c>
    </row>
    <row r="6236" spans="1:6" ht="15.75" hidden="1" customHeight="1" x14ac:dyDescent="0.35">
      <c r="A6236" s="1">
        <v>6235</v>
      </c>
      <c r="B6236" s="1">
        <v>1234</v>
      </c>
      <c r="C6236" s="1">
        <v>48</v>
      </c>
      <c r="D6236" t="str">
        <f>VLOOKUP(B6236,Заказы!A:C,3,0)</f>
        <v>2023-12-29 19:34:00</v>
      </c>
      <c r="E6236" t="str">
        <f>VLOOKUP(C6236,Меню!A:E,4,0)</f>
        <v>Суши</v>
      </c>
      <c r="F6236">
        <f>VLOOKUP(C6236,Меню!A:E,5,0)</f>
        <v>200</v>
      </c>
    </row>
    <row r="6237" spans="1:6" ht="15.75" hidden="1" customHeight="1" x14ac:dyDescent="0.35">
      <c r="A6237" s="1">
        <v>6236</v>
      </c>
      <c r="B6237" s="1">
        <v>1234</v>
      </c>
      <c r="C6237" s="1">
        <v>49</v>
      </c>
      <c r="D6237" t="str">
        <f>VLOOKUP(B6237,Заказы!A:C,3,0)</f>
        <v>2023-12-29 19:34:00</v>
      </c>
      <c r="E6237" t="str">
        <f>VLOOKUP(C6237,Меню!A:E,4,0)</f>
        <v>Суши</v>
      </c>
      <c r="F6237">
        <f>VLOOKUP(C6237,Меню!A:E,5,0)</f>
        <v>200</v>
      </c>
    </row>
    <row r="6238" spans="1:6" ht="15.75" hidden="1" customHeight="1" x14ac:dyDescent="0.35">
      <c r="A6238" s="1">
        <v>6237</v>
      </c>
      <c r="B6238" s="1">
        <v>1234</v>
      </c>
      <c r="C6238" s="1">
        <v>56</v>
      </c>
      <c r="D6238" t="str">
        <f>VLOOKUP(B6238,Заказы!A:C,3,0)</f>
        <v>2023-12-29 19:34:00</v>
      </c>
      <c r="E6238" t="str">
        <f>VLOOKUP(C6238,Меню!A:E,4,0)</f>
        <v>Суши</v>
      </c>
      <c r="F6238">
        <f>VLOOKUP(C6238,Меню!A:E,5,0)</f>
        <v>200</v>
      </c>
    </row>
    <row r="6239" spans="1:6" ht="15.75" hidden="1" customHeight="1" x14ac:dyDescent="0.35">
      <c r="A6239" s="1">
        <v>6238</v>
      </c>
      <c r="B6239" s="1">
        <v>1234</v>
      </c>
      <c r="C6239" s="1">
        <v>3</v>
      </c>
      <c r="D6239" t="str">
        <f>VLOOKUP(B6239,Заказы!A:C,3,0)</f>
        <v>2023-12-29 19:34:00</v>
      </c>
      <c r="E6239" t="str">
        <f>VLOOKUP(C6239,Меню!A:E,4,0)</f>
        <v>Завтрак</v>
      </c>
      <c r="F6239">
        <f>VLOOKUP(C6239,Меню!A:E,5,0)</f>
        <v>150</v>
      </c>
    </row>
    <row r="6240" spans="1:6" ht="15.75" hidden="1" customHeight="1" x14ac:dyDescent="0.35">
      <c r="A6240" s="1">
        <v>6239</v>
      </c>
      <c r="B6240" s="1">
        <v>1234</v>
      </c>
      <c r="C6240" s="1">
        <v>6</v>
      </c>
      <c r="D6240" t="str">
        <f>VLOOKUP(B6240,Заказы!A:C,3,0)</f>
        <v>2023-12-29 19:34:00</v>
      </c>
      <c r="E6240" t="str">
        <f>VLOOKUP(C6240,Меню!A:E,4,0)</f>
        <v>Завтрак</v>
      </c>
      <c r="F6240">
        <f>VLOOKUP(C6240,Меню!A:E,5,0)</f>
        <v>300</v>
      </c>
    </row>
    <row r="6241" spans="1:6" ht="15.75" hidden="1" customHeight="1" x14ac:dyDescent="0.35">
      <c r="A6241" s="1">
        <v>6240</v>
      </c>
      <c r="B6241" s="1">
        <v>1235</v>
      </c>
      <c r="C6241" s="1">
        <v>27</v>
      </c>
      <c r="D6241" t="str">
        <f>VLOOKUP(B6241,Заказы!A:C,3,0)</f>
        <v>2023-12-29 21:03:00</v>
      </c>
      <c r="E6241" t="str">
        <f>VLOOKUP(C6241,Меню!A:E,4,0)</f>
        <v>Салат</v>
      </c>
      <c r="F6241">
        <f>VLOOKUP(C6241,Меню!A:E,5,0)</f>
        <v>250</v>
      </c>
    </row>
    <row r="6242" spans="1:6" ht="15.75" hidden="1" customHeight="1" x14ac:dyDescent="0.35">
      <c r="A6242" s="1">
        <v>6241</v>
      </c>
      <c r="B6242" s="1">
        <v>1235</v>
      </c>
      <c r="C6242" s="1">
        <v>41</v>
      </c>
      <c r="D6242" t="str">
        <f>VLOOKUP(B6242,Заказы!A:C,3,0)</f>
        <v>2023-12-29 21:03:00</v>
      </c>
      <c r="E6242" t="str">
        <f>VLOOKUP(C6242,Меню!A:E,4,0)</f>
        <v>Суши</v>
      </c>
      <c r="F6242">
        <f>VLOOKUP(C6242,Меню!A:E,5,0)</f>
        <v>220</v>
      </c>
    </row>
    <row r="6243" spans="1:6" ht="15.75" hidden="1" customHeight="1" x14ac:dyDescent="0.35">
      <c r="A6243" s="1">
        <v>6242</v>
      </c>
      <c r="B6243" s="1">
        <v>1235</v>
      </c>
      <c r="C6243" s="1">
        <v>3</v>
      </c>
      <c r="D6243" t="str">
        <f>VLOOKUP(B6243,Заказы!A:C,3,0)</f>
        <v>2023-12-29 21:03:00</v>
      </c>
      <c r="E6243" t="str">
        <f>VLOOKUP(C6243,Меню!A:E,4,0)</f>
        <v>Завтрак</v>
      </c>
      <c r="F6243">
        <f>VLOOKUP(C6243,Меню!A:E,5,0)</f>
        <v>150</v>
      </c>
    </row>
    <row r="6244" spans="1:6" ht="15.75" hidden="1" customHeight="1" x14ac:dyDescent="0.35">
      <c r="A6244" s="1">
        <v>6243</v>
      </c>
      <c r="B6244" s="1">
        <v>1235</v>
      </c>
      <c r="C6244" s="1">
        <v>7</v>
      </c>
      <c r="D6244" t="str">
        <f>VLOOKUP(B6244,Заказы!A:C,3,0)</f>
        <v>2023-12-29 21:03:00</v>
      </c>
      <c r="E6244" t="str">
        <f>VLOOKUP(C6244,Меню!A:E,4,0)</f>
        <v>Завтрак</v>
      </c>
      <c r="F6244">
        <f>VLOOKUP(C6244,Меню!A:E,5,0)</f>
        <v>200</v>
      </c>
    </row>
    <row r="6245" spans="1:6" ht="15.75" hidden="1" customHeight="1" x14ac:dyDescent="0.35">
      <c r="A6245" s="1">
        <v>6244</v>
      </c>
      <c r="B6245" s="1">
        <v>1235</v>
      </c>
      <c r="C6245" s="1">
        <v>9</v>
      </c>
      <c r="D6245" t="str">
        <f>VLOOKUP(B6245,Заказы!A:C,3,0)</f>
        <v>2023-12-29 21:03:00</v>
      </c>
      <c r="E6245" t="str">
        <f>VLOOKUP(C6245,Меню!A:E,4,0)</f>
        <v>Завтрак</v>
      </c>
      <c r="F6245">
        <f>VLOOKUP(C6245,Меню!A:E,5,0)</f>
        <v>220</v>
      </c>
    </row>
    <row r="6246" spans="1:6" ht="15.75" hidden="1" customHeight="1" x14ac:dyDescent="0.35">
      <c r="A6246" s="1">
        <v>6245</v>
      </c>
      <c r="B6246" s="1">
        <v>1235</v>
      </c>
      <c r="C6246" s="1">
        <v>1</v>
      </c>
      <c r="D6246" t="str">
        <f>VLOOKUP(B6246,Заказы!A:C,3,0)</f>
        <v>2023-12-29 21:03:00</v>
      </c>
      <c r="E6246" t="str">
        <f>VLOOKUP(C6246,Меню!A:E,4,0)</f>
        <v>Завтрак</v>
      </c>
      <c r="F6246">
        <f>VLOOKUP(C6246,Меню!A:E,5,0)</f>
        <v>200</v>
      </c>
    </row>
    <row r="6247" spans="1:6" ht="15.75" hidden="1" customHeight="1" x14ac:dyDescent="0.35">
      <c r="A6247" s="1">
        <v>6246</v>
      </c>
      <c r="B6247" s="1">
        <v>1235</v>
      </c>
      <c r="C6247" s="1">
        <v>9</v>
      </c>
      <c r="D6247" t="str">
        <f>VLOOKUP(B6247,Заказы!A:C,3,0)</f>
        <v>2023-12-29 21:03:00</v>
      </c>
      <c r="E6247" t="str">
        <f>VLOOKUP(C6247,Меню!A:E,4,0)</f>
        <v>Завтрак</v>
      </c>
      <c r="F6247">
        <f>VLOOKUP(C6247,Меню!A:E,5,0)</f>
        <v>220</v>
      </c>
    </row>
    <row r="6248" spans="1:6" ht="15.75" hidden="1" customHeight="1" x14ac:dyDescent="0.35">
      <c r="A6248" s="1">
        <v>6247</v>
      </c>
      <c r="B6248" s="1">
        <v>1235</v>
      </c>
      <c r="C6248" s="1">
        <v>24</v>
      </c>
      <c r="D6248" t="str">
        <f>VLOOKUP(B6248,Заказы!A:C,3,0)</f>
        <v>2023-12-29 21:03:00</v>
      </c>
      <c r="E6248" t="str">
        <f>VLOOKUP(C6248,Меню!A:E,4,0)</f>
        <v>Салат</v>
      </c>
      <c r="F6248">
        <f>VLOOKUP(C6248,Меню!A:E,5,0)</f>
        <v>250</v>
      </c>
    </row>
    <row r="6249" spans="1:6" ht="15.75" hidden="1" customHeight="1" x14ac:dyDescent="0.35">
      <c r="A6249" s="1">
        <v>6248</v>
      </c>
      <c r="B6249" s="1">
        <v>1236</v>
      </c>
      <c r="C6249" s="1">
        <v>53</v>
      </c>
      <c r="D6249" t="str">
        <f>VLOOKUP(B6249,Заказы!A:C,3,0)</f>
        <v>2023-12-30 16:11:00</v>
      </c>
      <c r="E6249" t="str">
        <f>VLOOKUP(C6249,Меню!A:E,4,0)</f>
        <v>Суши</v>
      </c>
      <c r="F6249">
        <f>VLOOKUP(C6249,Меню!A:E,5,0)</f>
        <v>100</v>
      </c>
    </row>
    <row r="6250" spans="1:6" ht="15.75" hidden="1" customHeight="1" x14ac:dyDescent="0.35">
      <c r="A6250" s="1">
        <v>6249</v>
      </c>
      <c r="B6250" s="1">
        <v>1236</v>
      </c>
      <c r="C6250" s="1">
        <v>40</v>
      </c>
      <c r="D6250" t="str">
        <f>VLOOKUP(B6250,Заказы!A:C,3,0)</f>
        <v>2023-12-30 16:11:00</v>
      </c>
      <c r="E6250" t="str">
        <f>VLOOKUP(C6250,Меню!A:E,4,0)</f>
        <v>Десерт</v>
      </c>
      <c r="F6250">
        <f>VLOOKUP(C6250,Меню!A:E,5,0)</f>
        <v>150</v>
      </c>
    </row>
    <row r="6251" spans="1:6" ht="15.75" hidden="1" customHeight="1" x14ac:dyDescent="0.35">
      <c r="A6251" s="1">
        <v>6250</v>
      </c>
      <c r="B6251" s="1">
        <v>1236</v>
      </c>
      <c r="C6251" s="1">
        <v>4</v>
      </c>
      <c r="D6251" t="str">
        <f>VLOOKUP(B6251,Заказы!A:C,3,0)</f>
        <v>2023-12-30 16:11:00</v>
      </c>
      <c r="E6251" t="str">
        <f>VLOOKUP(C6251,Меню!A:E,4,0)</f>
        <v>Завтрак</v>
      </c>
      <c r="F6251">
        <f>VLOOKUP(C6251,Меню!A:E,5,0)</f>
        <v>180</v>
      </c>
    </row>
    <row r="6252" spans="1:6" ht="15.75" hidden="1" customHeight="1" x14ac:dyDescent="0.35">
      <c r="A6252" s="1">
        <v>6251</v>
      </c>
      <c r="B6252" s="1">
        <v>1236</v>
      </c>
      <c r="C6252" s="1">
        <v>15</v>
      </c>
      <c r="D6252" t="str">
        <f>VLOOKUP(B6252,Заказы!A:C,3,0)</f>
        <v>2023-12-30 16:11:00</v>
      </c>
      <c r="E6252" t="str">
        <f>VLOOKUP(C6252,Меню!A:E,4,0)</f>
        <v>Первое</v>
      </c>
      <c r="F6252">
        <f>VLOOKUP(C6252,Меню!A:E,5,0)</f>
        <v>250</v>
      </c>
    </row>
    <row r="6253" spans="1:6" ht="15.75" hidden="1" customHeight="1" x14ac:dyDescent="0.35">
      <c r="A6253" s="1">
        <v>6252</v>
      </c>
      <c r="B6253" s="1">
        <v>1237</v>
      </c>
      <c r="C6253" s="1">
        <v>9</v>
      </c>
      <c r="D6253" t="str">
        <f>VLOOKUP(B6253,Заказы!A:C,3,0)</f>
        <v>2023-12-30 16:33:00</v>
      </c>
      <c r="E6253" t="str">
        <f>VLOOKUP(C6253,Меню!A:E,4,0)</f>
        <v>Завтрак</v>
      </c>
      <c r="F6253">
        <f>VLOOKUP(C6253,Меню!A:E,5,0)</f>
        <v>220</v>
      </c>
    </row>
    <row r="6254" spans="1:6" ht="15.75" hidden="1" customHeight="1" x14ac:dyDescent="0.35">
      <c r="A6254" s="1">
        <v>6253</v>
      </c>
      <c r="B6254" s="1">
        <v>1238</v>
      </c>
      <c r="C6254" s="1">
        <v>59</v>
      </c>
      <c r="D6254" t="str">
        <f>VLOOKUP(B6254,Заказы!A:C,3,0)</f>
        <v>2023-12-30 16:46:00</v>
      </c>
      <c r="E6254" t="str">
        <f>VLOOKUP(C6254,Меню!A:E,4,0)</f>
        <v>Суши</v>
      </c>
      <c r="F6254">
        <f>VLOOKUP(C6254,Меню!A:E,5,0)</f>
        <v>300</v>
      </c>
    </row>
    <row r="6255" spans="1:6" ht="15.75" hidden="1" customHeight="1" x14ac:dyDescent="0.35">
      <c r="A6255" s="1">
        <v>6254</v>
      </c>
      <c r="B6255" s="1">
        <v>1239</v>
      </c>
      <c r="C6255" s="1">
        <v>46</v>
      </c>
      <c r="D6255" t="str">
        <f>VLOOKUP(B6255,Заказы!A:C,3,0)</f>
        <v>2023-12-30 17:45:00</v>
      </c>
      <c r="E6255" t="str">
        <f>VLOOKUP(C6255,Меню!A:E,4,0)</f>
        <v>Суши</v>
      </c>
      <c r="F6255">
        <f>VLOOKUP(C6255,Меню!A:E,5,0)</f>
        <v>200</v>
      </c>
    </row>
    <row r="6256" spans="1:6" ht="15.75" hidden="1" customHeight="1" x14ac:dyDescent="0.35">
      <c r="A6256" s="1">
        <v>6255</v>
      </c>
      <c r="B6256" s="1">
        <v>1239</v>
      </c>
      <c r="C6256" s="1">
        <v>9</v>
      </c>
      <c r="D6256" t="str">
        <f>VLOOKUP(B6256,Заказы!A:C,3,0)</f>
        <v>2023-12-30 17:45:00</v>
      </c>
      <c r="E6256" t="str">
        <f>VLOOKUP(C6256,Меню!A:E,4,0)</f>
        <v>Завтрак</v>
      </c>
      <c r="F6256">
        <f>VLOOKUP(C6256,Меню!A:E,5,0)</f>
        <v>220</v>
      </c>
    </row>
    <row r="6257" spans="1:6" ht="15.75" hidden="1" customHeight="1" x14ac:dyDescent="0.35">
      <c r="A6257" s="1">
        <v>6256</v>
      </c>
      <c r="B6257" s="1">
        <v>1239</v>
      </c>
      <c r="C6257" s="1">
        <v>10</v>
      </c>
      <c r="D6257" t="str">
        <f>VLOOKUP(B6257,Заказы!A:C,3,0)</f>
        <v>2023-12-30 17:45:00</v>
      </c>
      <c r="E6257" t="str">
        <f>VLOOKUP(C6257,Меню!A:E,4,0)</f>
        <v>Завтрак</v>
      </c>
      <c r="F6257">
        <f>VLOOKUP(C6257,Меню!A:E,5,0)</f>
        <v>200</v>
      </c>
    </row>
    <row r="6258" spans="1:6" ht="15.75" hidden="1" customHeight="1" x14ac:dyDescent="0.35">
      <c r="A6258" s="1">
        <v>6257</v>
      </c>
      <c r="B6258" s="1">
        <v>1239</v>
      </c>
      <c r="C6258" s="1">
        <v>31</v>
      </c>
      <c r="D6258" t="str">
        <f>VLOOKUP(B6258,Заказы!A:C,3,0)</f>
        <v>2023-12-30 17:45:00</v>
      </c>
      <c r="E6258" t="str">
        <f>VLOOKUP(C6258,Меню!A:E,4,0)</f>
        <v>Десерт</v>
      </c>
      <c r="F6258">
        <f>VLOOKUP(C6258,Меню!A:E,5,0)</f>
        <v>150</v>
      </c>
    </row>
    <row r="6259" spans="1:6" ht="15.75" hidden="1" customHeight="1" x14ac:dyDescent="0.35">
      <c r="A6259" s="1">
        <v>6258</v>
      </c>
      <c r="B6259" s="1">
        <v>1240</v>
      </c>
      <c r="C6259" s="1">
        <v>57</v>
      </c>
      <c r="D6259" t="str">
        <f>VLOOKUP(B6259,Заказы!A:C,3,0)</f>
        <v>2023-12-30 20:43:00</v>
      </c>
      <c r="E6259" t="str">
        <f>VLOOKUP(C6259,Меню!A:E,4,0)</f>
        <v>Суши</v>
      </c>
      <c r="F6259">
        <f>VLOOKUP(C6259,Меню!A:E,5,0)</f>
        <v>200</v>
      </c>
    </row>
    <row r="6260" spans="1:6" ht="15.75" hidden="1" customHeight="1" x14ac:dyDescent="0.35">
      <c r="A6260" s="1">
        <v>6259</v>
      </c>
      <c r="B6260" s="1">
        <v>1240</v>
      </c>
      <c r="C6260" s="1">
        <v>37</v>
      </c>
      <c r="D6260" t="str">
        <f>VLOOKUP(B6260,Заказы!A:C,3,0)</f>
        <v>2023-12-30 20:43:00</v>
      </c>
      <c r="E6260" t="str">
        <f>VLOOKUP(C6260,Меню!A:E,4,0)</f>
        <v>Десерт</v>
      </c>
      <c r="F6260">
        <f>VLOOKUP(C6260,Меню!A:E,5,0)</f>
        <v>100</v>
      </c>
    </row>
    <row r="6261" spans="1:6" ht="15.75" hidden="1" customHeight="1" x14ac:dyDescent="0.35">
      <c r="A6261" s="1">
        <v>6260</v>
      </c>
      <c r="B6261" s="1">
        <v>1240</v>
      </c>
      <c r="C6261" s="1">
        <v>2</v>
      </c>
      <c r="D6261" t="str">
        <f>VLOOKUP(B6261,Заказы!A:C,3,0)</f>
        <v>2023-12-30 20:43:00</v>
      </c>
      <c r="E6261" t="str">
        <f>VLOOKUP(C6261,Меню!A:E,4,0)</f>
        <v>Завтрак</v>
      </c>
      <c r="F6261">
        <f>VLOOKUP(C6261,Меню!A:E,5,0)</f>
        <v>250</v>
      </c>
    </row>
    <row r="6262" spans="1:6" ht="15.75" hidden="1" customHeight="1" x14ac:dyDescent="0.35">
      <c r="A6262" s="1">
        <v>6261</v>
      </c>
      <c r="B6262" s="1">
        <v>1240</v>
      </c>
      <c r="C6262" s="1">
        <v>48</v>
      </c>
      <c r="D6262" t="str">
        <f>VLOOKUP(B6262,Заказы!A:C,3,0)</f>
        <v>2023-12-30 20:43:00</v>
      </c>
      <c r="E6262" t="str">
        <f>VLOOKUP(C6262,Меню!A:E,4,0)</f>
        <v>Суши</v>
      </c>
      <c r="F6262">
        <f>VLOOKUP(C6262,Меню!A:E,5,0)</f>
        <v>200</v>
      </c>
    </row>
    <row r="6263" spans="1:6" ht="15.75" hidden="1" customHeight="1" x14ac:dyDescent="0.35">
      <c r="A6263" s="1">
        <v>6262</v>
      </c>
      <c r="B6263" s="1">
        <v>1241</v>
      </c>
      <c r="C6263" s="1">
        <v>47</v>
      </c>
      <c r="D6263" t="str">
        <f>VLOOKUP(B6263,Заказы!A:C,3,0)</f>
        <v>2023-12-30 21:03:00</v>
      </c>
      <c r="E6263" t="str">
        <f>VLOOKUP(C6263,Меню!A:E,4,0)</f>
        <v>Суши</v>
      </c>
      <c r="F6263">
        <f>VLOOKUP(C6263,Меню!A:E,5,0)</f>
        <v>200</v>
      </c>
    </row>
    <row r="6264" spans="1:6" ht="15.75" hidden="1" customHeight="1" x14ac:dyDescent="0.35">
      <c r="A6264" s="1">
        <v>6263</v>
      </c>
      <c r="B6264" s="1">
        <v>1241</v>
      </c>
      <c r="C6264" s="1">
        <v>25</v>
      </c>
      <c r="D6264" t="str">
        <f>VLOOKUP(B6264,Заказы!A:C,3,0)</f>
        <v>2023-12-30 21:03:00</v>
      </c>
      <c r="E6264" t="str">
        <f>VLOOKUP(C6264,Меню!A:E,4,0)</f>
        <v>Салат</v>
      </c>
      <c r="F6264">
        <f>VLOOKUP(C6264,Меню!A:E,5,0)</f>
        <v>250</v>
      </c>
    </row>
    <row r="6265" spans="1:6" ht="15.75" hidden="1" customHeight="1" x14ac:dyDescent="0.35">
      <c r="A6265" s="1">
        <v>6264</v>
      </c>
      <c r="B6265" s="1">
        <v>1242</v>
      </c>
      <c r="C6265" s="1">
        <v>58</v>
      </c>
      <c r="D6265" t="str">
        <f>VLOOKUP(B6265,Заказы!A:C,3,0)</f>
        <v>2023-12-30 22:15:00</v>
      </c>
      <c r="E6265" t="str">
        <f>VLOOKUP(C6265,Меню!A:E,4,0)</f>
        <v>Суши</v>
      </c>
      <c r="F6265">
        <f>VLOOKUP(C6265,Меню!A:E,5,0)</f>
        <v>200</v>
      </c>
    </row>
    <row r="6266" spans="1:6" ht="15.75" hidden="1" customHeight="1" x14ac:dyDescent="0.35">
      <c r="A6266" s="1">
        <v>6265</v>
      </c>
      <c r="B6266" s="1">
        <v>1242</v>
      </c>
      <c r="C6266" s="1">
        <v>9</v>
      </c>
      <c r="D6266" t="str">
        <f>VLOOKUP(B6266,Заказы!A:C,3,0)</f>
        <v>2023-12-30 22:15:00</v>
      </c>
      <c r="E6266" t="str">
        <f>VLOOKUP(C6266,Меню!A:E,4,0)</f>
        <v>Завтрак</v>
      </c>
      <c r="F6266">
        <f>VLOOKUP(C6266,Меню!A:E,5,0)</f>
        <v>220</v>
      </c>
    </row>
    <row r="6267" spans="1:6" ht="15.75" hidden="1" customHeight="1" x14ac:dyDescent="0.35">
      <c r="A6267" s="1">
        <v>6266</v>
      </c>
      <c r="B6267" s="1">
        <v>1242</v>
      </c>
      <c r="C6267" s="1">
        <v>10</v>
      </c>
      <c r="D6267" t="str">
        <f>VLOOKUP(B6267,Заказы!A:C,3,0)</f>
        <v>2023-12-30 22:15:00</v>
      </c>
      <c r="E6267" t="str">
        <f>VLOOKUP(C6267,Меню!A:E,4,0)</f>
        <v>Завтрак</v>
      </c>
      <c r="F6267">
        <f>VLOOKUP(C6267,Меню!A:E,5,0)</f>
        <v>200</v>
      </c>
    </row>
    <row r="6268" spans="1:6" ht="15.75" hidden="1" customHeight="1" x14ac:dyDescent="0.35">
      <c r="A6268" s="1">
        <v>6267</v>
      </c>
      <c r="B6268" s="1">
        <v>1242</v>
      </c>
      <c r="C6268" s="1">
        <v>48</v>
      </c>
      <c r="D6268" t="str">
        <f>VLOOKUP(B6268,Заказы!A:C,3,0)</f>
        <v>2023-12-30 22:15:00</v>
      </c>
      <c r="E6268" t="str">
        <f>VLOOKUP(C6268,Меню!A:E,4,0)</f>
        <v>Суши</v>
      </c>
      <c r="F6268">
        <f>VLOOKUP(C6268,Меню!A:E,5,0)</f>
        <v>200</v>
      </c>
    </row>
    <row r="6269" spans="1:6" ht="15.75" hidden="1" customHeight="1" x14ac:dyDescent="0.35">
      <c r="A6269" s="1">
        <v>6268</v>
      </c>
      <c r="B6269" s="1">
        <v>1242</v>
      </c>
      <c r="C6269" s="1">
        <v>11</v>
      </c>
      <c r="D6269" t="str">
        <f>VLOOKUP(B6269,Заказы!A:C,3,0)</f>
        <v>2023-12-30 22:15:00</v>
      </c>
      <c r="E6269" t="str">
        <f>VLOOKUP(C6269,Меню!A:E,4,0)</f>
        <v>Первое</v>
      </c>
      <c r="F6269">
        <f>VLOOKUP(C6269,Меню!A:E,5,0)</f>
        <v>300</v>
      </c>
    </row>
    <row r="6270" spans="1:6" ht="15.75" hidden="1" customHeight="1" x14ac:dyDescent="0.35">
      <c r="A6270" s="1">
        <v>6269</v>
      </c>
      <c r="B6270" s="1">
        <v>1243</v>
      </c>
      <c r="C6270" s="1">
        <v>43</v>
      </c>
      <c r="D6270" t="str">
        <f>VLOOKUP(B6270,Заказы!A:C,3,0)</f>
        <v>2023-12-31 15:48:00</v>
      </c>
      <c r="E6270" t="str">
        <f>VLOOKUP(C6270,Меню!A:E,4,0)</f>
        <v>Суши</v>
      </c>
      <c r="F6270">
        <f>VLOOKUP(C6270,Меню!A:E,5,0)</f>
        <v>250</v>
      </c>
    </row>
    <row r="6271" spans="1:6" ht="15.75" hidden="1" customHeight="1" x14ac:dyDescent="0.35">
      <c r="A6271" s="1">
        <v>6270</v>
      </c>
      <c r="B6271" s="1">
        <v>1243</v>
      </c>
      <c r="C6271" s="1">
        <v>3</v>
      </c>
      <c r="D6271" t="str">
        <f>VLOOKUP(B6271,Заказы!A:C,3,0)</f>
        <v>2023-12-31 15:48:00</v>
      </c>
      <c r="E6271" t="str">
        <f>VLOOKUP(C6271,Меню!A:E,4,0)</f>
        <v>Завтрак</v>
      </c>
      <c r="F6271">
        <f>VLOOKUP(C6271,Меню!A:E,5,0)</f>
        <v>150</v>
      </c>
    </row>
    <row r="6272" spans="1:6" ht="15.75" hidden="1" customHeight="1" x14ac:dyDescent="0.35">
      <c r="A6272" s="1">
        <v>6271</v>
      </c>
      <c r="B6272" s="1">
        <v>1243</v>
      </c>
      <c r="C6272" s="1">
        <v>22</v>
      </c>
      <c r="D6272" t="str">
        <f>VLOOKUP(B6272,Заказы!A:C,3,0)</f>
        <v>2023-12-31 15:48:00</v>
      </c>
      <c r="E6272" t="str">
        <f>VLOOKUP(C6272,Меню!A:E,4,0)</f>
        <v>Салат</v>
      </c>
      <c r="F6272">
        <f>VLOOKUP(C6272,Меню!A:E,5,0)</f>
        <v>250</v>
      </c>
    </row>
    <row r="6273" spans="1:6" ht="15.75" hidden="1" customHeight="1" x14ac:dyDescent="0.35">
      <c r="A6273" s="1">
        <v>6272</v>
      </c>
      <c r="B6273" s="1">
        <v>1243</v>
      </c>
      <c r="C6273" s="1">
        <v>21</v>
      </c>
      <c r="D6273" t="str">
        <f>VLOOKUP(B6273,Заказы!A:C,3,0)</f>
        <v>2023-12-31 15:48:00</v>
      </c>
      <c r="E6273" t="str">
        <f>VLOOKUP(C6273,Меню!A:E,4,0)</f>
        <v>Салат</v>
      </c>
      <c r="F6273">
        <f>VLOOKUP(C6273,Меню!A:E,5,0)</f>
        <v>250</v>
      </c>
    </row>
    <row r="6274" spans="1:6" ht="15.75" hidden="1" customHeight="1" x14ac:dyDescent="0.35">
      <c r="A6274" s="1">
        <v>6273</v>
      </c>
      <c r="B6274" s="1">
        <v>1243</v>
      </c>
      <c r="C6274" s="1">
        <v>19</v>
      </c>
      <c r="D6274" t="str">
        <f>VLOOKUP(B6274,Заказы!A:C,3,0)</f>
        <v>2023-12-31 15:48:00</v>
      </c>
      <c r="E6274" t="str">
        <f>VLOOKUP(C6274,Меню!A:E,4,0)</f>
        <v>Первое</v>
      </c>
      <c r="F6274">
        <f>VLOOKUP(C6274,Меню!A:E,5,0)</f>
        <v>300</v>
      </c>
    </row>
    <row r="6275" spans="1:6" ht="15.75" hidden="1" customHeight="1" x14ac:dyDescent="0.35">
      <c r="A6275" s="1">
        <v>6274</v>
      </c>
      <c r="B6275" s="1">
        <v>1243</v>
      </c>
      <c r="C6275" s="1">
        <v>38</v>
      </c>
      <c r="D6275" t="str">
        <f>VLOOKUP(B6275,Заказы!A:C,3,0)</f>
        <v>2023-12-31 15:48:00</v>
      </c>
      <c r="E6275" t="str">
        <f>VLOOKUP(C6275,Меню!A:E,4,0)</f>
        <v>Десерт</v>
      </c>
      <c r="F6275">
        <f>VLOOKUP(C6275,Меню!A:E,5,0)</f>
        <v>150</v>
      </c>
    </row>
    <row r="6276" spans="1:6" ht="15.75" hidden="1" customHeight="1" x14ac:dyDescent="0.35">
      <c r="A6276" s="1">
        <v>6275</v>
      </c>
      <c r="B6276" s="1">
        <v>1243</v>
      </c>
      <c r="C6276" s="1">
        <v>7</v>
      </c>
      <c r="D6276" t="str">
        <f>VLOOKUP(B6276,Заказы!A:C,3,0)</f>
        <v>2023-12-31 15:48:00</v>
      </c>
      <c r="E6276" t="str">
        <f>VLOOKUP(C6276,Меню!A:E,4,0)</f>
        <v>Завтрак</v>
      </c>
      <c r="F6276">
        <f>VLOOKUP(C6276,Меню!A:E,5,0)</f>
        <v>200</v>
      </c>
    </row>
    <row r="6277" spans="1:6" ht="15.75" hidden="1" customHeight="1" x14ac:dyDescent="0.35">
      <c r="A6277" s="1">
        <v>6276</v>
      </c>
      <c r="B6277" s="1">
        <v>1243</v>
      </c>
      <c r="C6277" s="1">
        <v>25</v>
      </c>
      <c r="D6277" t="str">
        <f>VLOOKUP(B6277,Заказы!A:C,3,0)</f>
        <v>2023-12-31 15:48:00</v>
      </c>
      <c r="E6277" t="str">
        <f>VLOOKUP(C6277,Меню!A:E,4,0)</f>
        <v>Салат</v>
      </c>
      <c r="F6277">
        <f>VLOOKUP(C6277,Меню!A:E,5,0)</f>
        <v>250</v>
      </c>
    </row>
    <row r="6278" spans="1:6" ht="15.75" hidden="1" customHeight="1" x14ac:dyDescent="0.35">
      <c r="A6278" s="1">
        <v>6277</v>
      </c>
      <c r="B6278" s="1">
        <v>1244</v>
      </c>
      <c r="C6278" s="1">
        <v>12</v>
      </c>
      <c r="D6278" t="str">
        <f>VLOOKUP(B6278,Заказы!A:C,3,0)</f>
        <v>2023-12-31 22:00:00</v>
      </c>
      <c r="E6278" t="str">
        <f>VLOOKUP(C6278,Меню!A:E,4,0)</f>
        <v>Первое</v>
      </c>
      <c r="F6278">
        <f>VLOOKUP(C6278,Меню!A:E,5,0)</f>
        <v>300</v>
      </c>
    </row>
    <row r="6279" spans="1:6" ht="15.75" hidden="1" customHeight="1" x14ac:dyDescent="0.35">
      <c r="A6279" s="1">
        <v>6278</v>
      </c>
      <c r="B6279" s="1">
        <v>1244</v>
      </c>
      <c r="C6279" s="1">
        <v>41</v>
      </c>
      <c r="D6279" t="str">
        <f>VLOOKUP(B6279,Заказы!A:C,3,0)</f>
        <v>2023-12-31 22:00:00</v>
      </c>
      <c r="E6279" t="str">
        <f>VLOOKUP(C6279,Меню!A:E,4,0)</f>
        <v>Суши</v>
      </c>
      <c r="F6279">
        <f>VLOOKUP(C6279,Меню!A:E,5,0)</f>
        <v>220</v>
      </c>
    </row>
    <row r="6280" spans="1:6" ht="15.75" hidden="1" customHeight="1" x14ac:dyDescent="0.35">
      <c r="A6280" s="1">
        <v>6279</v>
      </c>
      <c r="B6280" s="1">
        <v>1244</v>
      </c>
      <c r="C6280" s="1">
        <v>24</v>
      </c>
      <c r="D6280" t="str">
        <f>VLOOKUP(B6280,Заказы!A:C,3,0)</f>
        <v>2023-12-31 22:00:00</v>
      </c>
      <c r="E6280" t="str">
        <f>VLOOKUP(C6280,Меню!A:E,4,0)</f>
        <v>Салат</v>
      </c>
      <c r="F6280">
        <f>VLOOKUP(C6280,Меню!A:E,5,0)</f>
        <v>250</v>
      </c>
    </row>
    <row r="6281" spans="1:6" ht="15.75" hidden="1" customHeight="1" x14ac:dyDescent="0.35">
      <c r="A6281" s="1">
        <v>6280</v>
      </c>
      <c r="B6281" s="1">
        <v>1244</v>
      </c>
      <c r="C6281" s="1">
        <v>4</v>
      </c>
      <c r="D6281" t="str">
        <f>VLOOKUP(B6281,Заказы!A:C,3,0)</f>
        <v>2023-12-31 22:00:00</v>
      </c>
      <c r="E6281" t="str">
        <f>VLOOKUP(C6281,Меню!A:E,4,0)</f>
        <v>Завтрак</v>
      </c>
      <c r="F6281">
        <f>VLOOKUP(C6281,Меню!A:E,5,0)</f>
        <v>180</v>
      </c>
    </row>
    <row r="6282" spans="1:6" ht="15.75" hidden="1" customHeight="1" x14ac:dyDescent="0.35">
      <c r="A6282" s="1">
        <v>6281</v>
      </c>
      <c r="B6282" s="1">
        <v>1244</v>
      </c>
      <c r="C6282" s="1">
        <v>59</v>
      </c>
      <c r="D6282" t="str">
        <f>VLOOKUP(B6282,Заказы!A:C,3,0)</f>
        <v>2023-12-31 22:00:00</v>
      </c>
      <c r="E6282" t="str">
        <f>VLOOKUP(C6282,Меню!A:E,4,0)</f>
        <v>Суши</v>
      </c>
      <c r="F6282">
        <f>VLOOKUP(C6282,Меню!A:E,5,0)</f>
        <v>300</v>
      </c>
    </row>
    <row r="6283" spans="1:6" ht="15.75" hidden="1" customHeight="1" x14ac:dyDescent="0.35">
      <c r="A6283" s="1">
        <v>6282</v>
      </c>
      <c r="B6283" s="1">
        <v>1244</v>
      </c>
      <c r="C6283" s="1">
        <v>6</v>
      </c>
      <c r="D6283" t="str">
        <f>VLOOKUP(B6283,Заказы!A:C,3,0)</f>
        <v>2023-12-31 22:00:00</v>
      </c>
      <c r="E6283" t="str">
        <f>VLOOKUP(C6283,Меню!A:E,4,0)</f>
        <v>Завтрак</v>
      </c>
      <c r="F6283">
        <f>VLOOKUP(C6283,Меню!A:E,5,0)</f>
        <v>300</v>
      </c>
    </row>
    <row r="6284" spans="1:6" ht="15.75" hidden="1" customHeight="1" x14ac:dyDescent="0.35">
      <c r="A6284" s="1">
        <v>6283</v>
      </c>
      <c r="B6284" s="1">
        <v>1244</v>
      </c>
      <c r="C6284" s="1">
        <v>21</v>
      </c>
      <c r="D6284" t="str">
        <f>VLOOKUP(B6284,Заказы!A:C,3,0)</f>
        <v>2023-12-31 22:00:00</v>
      </c>
      <c r="E6284" t="str">
        <f>VLOOKUP(C6284,Меню!A:E,4,0)</f>
        <v>Салат</v>
      </c>
      <c r="F6284">
        <f>VLOOKUP(C6284,Меню!A:E,5,0)</f>
        <v>250</v>
      </c>
    </row>
    <row r="6285" spans="1:6" ht="15.75" customHeight="1" x14ac:dyDescent="0.35">
      <c r="A6285" s="1">
        <v>6284</v>
      </c>
      <c r="B6285" s="1">
        <v>1245</v>
      </c>
      <c r="C6285" s="1">
        <v>35</v>
      </c>
      <c r="D6285" t="str">
        <f>VLOOKUP(B6285,Заказы!A:C,3,0)</f>
        <v>2024-01-01 17:20:00</v>
      </c>
      <c r="E6285" t="str">
        <f>VLOOKUP(C6285,Меню!A:E,4,0)</f>
        <v>Десерт</v>
      </c>
      <c r="F6285">
        <f>VLOOKUP(C6285,Меню!A:E,5,0)</f>
        <v>150</v>
      </c>
    </row>
    <row r="6286" spans="1:6" ht="15.75" hidden="1" customHeight="1" x14ac:dyDescent="0.35">
      <c r="A6286" s="1">
        <v>6285</v>
      </c>
      <c r="B6286" s="1">
        <v>1245</v>
      </c>
      <c r="C6286" s="1">
        <v>54</v>
      </c>
      <c r="D6286" t="str">
        <f>VLOOKUP(B6286,Заказы!A:C,3,0)</f>
        <v>2024-01-01 17:20:00</v>
      </c>
      <c r="E6286" t="str">
        <f>VLOOKUP(C6286,Меню!A:E,4,0)</f>
        <v>Суши</v>
      </c>
      <c r="F6286">
        <f>VLOOKUP(C6286,Меню!A:E,5,0)</f>
        <v>100</v>
      </c>
    </row>
    <row r="6287" spans="1:6" ht="15.75" hidden="1" customHeight="1" x14ac:dyDescent="0.35">
      <c r="A6287" s="1">
        <v>6286</v>
      </c>
      <c r="B6287" s="1">
        <v>1245</v>
      </c>
      <c r="C6287" s="1">
        <v>43</v>
      </c>
      <c r="D6287" t="str">
        <f>VLOOKUP(B6287,Заказы!A:C,3,0)</f>
        <v>2024-01-01 17:20:00</v>
      </c>
      <c r="E6287" t="str">
        <f>VLOOKUP(C6287,Меню!A:E,4,0)</f>
        <v>Суши</v>
      </c>
      <c r="F6287">
        <f>VLOOKUP(C6287,Меню!A:E,5,0)</f>
        <v>250</v>
      </c>
    </row>
    <row r="6288" spans="1:6" ht="15.75" hidden="1" customHeight="1" x14ac:dyDescent="0.35">
      <c r="A6288" s="1">
        <v>6287</v>
      </c>
      <c r="B6288" s="1">
        <v>1245</v>
      </c>
      <c r="C6288" s="1">
        <v>17</v>
      </c>
      <c r="D6288" t="str">
        <f>VLOOKUP(B6288,Заказы!A:C,3,0)</f>
        <v>2024-01-01 17:20:00</v>
      </c>
      <c r="E6288" t="str">
        <f>VLOOKUP(C6288,Меню!A:E,4,0)</f>
        <v>Первое</v>
      </c>
      <c r="F6288">
        <f>VLOOKUP(C6288,Меню!A:E,5,0)</f>
        <v>250</v>
      </c>
    </row>
    <row r="6289" spans="1:6" ht="15.75" hidden="1" customHeight="1" x14ac:dyDescent="0.35">
      <c r="A6289" s="1">
        <v>6288</v>
      </c>
      <c r="B6289" s="1">
        <v>1246</v>
      </c>
      <c r="C6289" s="1">
        <v>49</v>
      </c>
      <c r="D6289" t="str">
        <f>VLOOKUP(B6289,Заказы!A:C,3,0)</f>
        <v>2024-01-01 22:20:00</v>
      </c>
      <c r="E6289" t="str">
        <f>VLOOKUP(C6289,Меню!A:E,4,0)</f>
        <v>Суши</v>
      </c>
      <c r="F6289">
        <f>VLOOKUP(C6289,Меню!A:E,5,0)</f>
        <v>200</v>
      </c>
    </row>
    <row r="6290" spans="1:6" ht="15.75" hidden="1" customHeight="1" x14ac:dyDescent="0.35">
      <c r="A6290" s="1">
        <v>6289</v>
      </c>
      <c r="B6290" s="1">
        <v>1246</v>
      </c>
      <c r="C6290" s="1">
        <v>58</v>
      </c>
      <c r="D6290" t="str">
        <f>VLOOKUP(B6290,Заказы!A:C,3,0)</f>
        <v>2024-01-01 22:20:00</v>
      </c>
      <c r="E6290" t="str">
        <f>VLOOKUP(C6290,Меню!A:E,4,0)</f>
        <v>Суши</v>
      </c>
      <c r="F6290">
        <f>VLOOKUP(C6290,Меню!A:E,5,0)</f>
        <v>200</v>
      </c>
    </row>
    <row r="6291" spans="1:6" ht="15.75" hidden="1" customHeight="1" x14ac:dyDescent="0.35">
      <c r="A6291" s="1">
        <v>6290</v>
      </c>
      <c r="B6291" s="1">
        <v>1246</v>
      </c>
      <c r="C6291" s="1">
        <v>10</v>
      </c>
      <c r="D6291" t="str">
        <f>VLOOKUP(B6291,Заказы!A:C,3,0)</f>
        <v>2024-01-01 22:20:00</v>
      </c>
      <c r="E6291" t="str">
        <f>VLOOKUP(C6291,Меню!A:E,4,0)</f>
        <v>Завтрак</v>
      </c>
      <c r="F6291">
        <f>VLOOKUP(C6291,Меню!A:E,5,0)</f>
        <v>200</v>
      </c>
    </row>
    <row r="6292" spans="1:6" ht="15.75" hidden="1" customHeight="1" x14ac:dyDescent="0.35">
      <c r="A6292" s="1">
        <v>6291</v>
      </c>
      <c r="B6292" s="1">
        <v>1246</v>
      </c>
      <c r="C6292" s="1">
        <v>60</v>
      </c>
      <c r="D6292" t="str">
        <f>VLOOKUP(B6292,Заказы!A:C,3,0)</f>
        <v>2024-01-01 22:20:00</v>
      </c>
      <c r="E6292" t="str">
        <f>VLOOKUP(C6292,Меню!A:E,4,0)</f>
        <v>Суши</v>
      </c>
      <c r="F6292">
        <f>VLOOKUP(C6292,Меню!A:E,5,0)</f>
        <v>250</v>
      </c>
    </row>
    <row r="6293" spans="1:6" ht="15.75" customHeight="1" x14ac:dyDescent="0.35">
      <c r="A6293" s="1">
        <v>6292</v>
      </c>
      <c r="B6293" s="1">
        <v>1246</v>
      </c>
      <c r="C6293" s="1">
        <v>33</v>
      </c>
      <c r="D6293" t="str">
        <f>VLOOKUP(B6293,Заказы!A:C,3,0)</f>
        <v>2024-01-01 22:20:00</v>
      </c>
      <c r="E6293" t="str">
        <f>VLOOKUP(C6293,Меню!A:E,4,0)</f>
        <v>Десерт</v>
      </c>
      <c r="F6293">
        <f>VLOOKUP(C6293,Меню!A:E,5,0)</f>
        <v>150</v>
      </c>
    </row>
    <row r="6294" spans="1:6" ht="15.75" hidden="1" customHeight="1" x14ac:dyDescent="0.35">
      <c r="A6294" s="1">
        <v>6293</v>
      </c>
      <c r="B6294" s="1">
        <v>1246</v>
      </c>
      <c r="C6294" s="1">
        <v>14</v>
      </c>
      <c r="D6294" t="str">
        <f>VLOOKUP(B6294,Заказы!A:C,3,0)</f>
        <v>2024-01-01 22:20:00</v>
      </c>
      <c r="E6294" t="str">
        <f>VLOOKUP(C6294,Меню!A:E,4,0)</f>
        <v>Первое</v>
      </c>
      <c r="F6294">
        <f>VLOOKUP(C6294,Меню!A:E,5,0)</f>
        <v>350</v>
      </c>
    </row>
    <row r="6295" spans="1:6" ht="15.75" customHeight="1" x14ac:dyDescent="0.35">
      <c r="A6295" s="1">
        <v>6294</v>
      </c>
      <c r="B6295" s="1">
        <v>1246</v>
      </c>
      <c r="C6295" s="1">
        <v>35</v>
      </c>
      <c r="D6295" t="str">
        <f>VLOOKUP(B6295,Заказы!A:C,3,0)</f>
        <v>2024-01-01 22:20:00</v>
      </c>
      <c r="E6295" t="str">
        <f>VLOOKUP(C6295,Меню!A:E,4,0)</f>
        <v>Десерт</v>
      </c>
      <c r="F6295">
        <f>VLOOKUP(C6295,Меню!A:E,5,0)</f>
        <v>150</v>
      </c>
    </row>
    <row r="6296" spans="1:6" ht="15.75" hidden="1" customHeight="1" x14ac:dyDescent="0.35">
      <c r="A6296" s="1">
        <v>6295</v>
      </c>
      <c r="B6296" s="1">
        <v>1246</v>
      </c>
      <c r="C6296" s="1">
        <v>23</v>
      </c>
      <c r="D6296" t="str">
        <f>VLOOKUP(B6296,Заказы!A:C,3,0)</f>
        <v>2024-01-01 22:20:00</v>
      </c>
      <c r="E6296" t="str">
        <f>VLOOKUP(C6296,Меню!A:E,4,0)</f>
        <v>Салат</v>
      </c>
      <c r="F6296">
        <f>VLOOKUP(C6296,Меню!A:E,5,0)</f>
        <v>250</v>
      </c>
    </row>
    <row r="6297" spans="1:6" ht="15.75" hidden="1" customHeight="1" x14ac:dyDescent="0.35">
      <c r="A6297" s="1">
        <v>6296</v>
      </c>
      <c r="B6297" s="1">
        <v>1246</v>
      </c>
      <c r="C6297" s="1">
        <v>50</v>
      </c>
      <c r="D6297" t="str">
        <f>VLOOKUP(B6297,Заказы!A:C,3,0)</f>
        <v>2024-01-01 22:20:00</v>
      </c>
      <c r="E6297" t="str">
        <f>VLOOKUP(C6297,Меню!A:E,4,0)</f>
        <v>Суши</v>
      </c>
      <c r="F6297">
        <f>VLOOKUP(C6297,Меню!A:E,5,0)</f>
        <v>200</v>
      </c>
    </row>
    <row r="6298" spans="1:6" ht="15.75" customHeight="1" x14ac:dyDescent="0.35">
      <c r="A6298" s="1">
        <v>6297</v>
      </c>
      <c r="B6298" s="1">
        <v>1246</v>
      </c>
      <c r="C6298" s="1">
        <v>33</v>
      </c>
      <c r="D6298" t="str">
        <f>VLOOKUP(B6298,Заказы!A:C,3,0)</f>
        <v>2024-01-01 22:20:00</v>
      </c>
      <c r="E6298" t="str">
        <f>VLOOKUP(C6298,Меню!A:E,4,0)</f>
        <v>Десерт</v>
      </c>
      <c r="F6298">
        <f>VLOOKUP(C6298,Меню!A:E,5,0)</f>
        <v>150</v>
      </c>
    </row>
    <row r="6299" spans="1:6" ht="15.75" hidden="1" customHeight="1" x14ac:dyDescent="0.35">
      <c r="A6299" s="1">
        <v>6298</v>
      </c>
      <c r="B6299" s="1">
        <v>1247</v>
      </c>
      <c r="C6299" s="1">
        <v>18</v>
      </c>
      <c r="D6299" t="str">
        <f>VLOOKUP(B6299,Заказы!A:C,3,0)</f>
        <v>2024-01-02 15:19:00</v>
      </c>
      <c r="E6299" t="str">
        <f>VLOOKUP(C6299,Меню!A:E,4,0)</f>
        <v>Первое</v>
      </c>
      <c r="F6299">
        <f>VLOOKUP(C6299,Меню!A:E,5,0)</f>
        <v>300</v>
      </c>
    </row>
    <row r="6300" spans="1:6" ht="15.75" hidden="1" customHeight="1" x14ac:dyDescent="0.35">
      <c r="A6300" s="1">
        <v>6299</v>
      </c>
      <c r="B6300" s="1">
        <v>1247</v>
      </c>
      <c r="C6300" s="1">
        <v>59</v>
      </c>
      <c r="D6300" t="str">
        <f>VLOOKUP(B6300,Заказы!A:C,3,0)</f>
        <v>2024-01-02 15:19:00</v>
      </c>
      <c r="E6300" t="str">
        <f>VLOOKUP(C6300,Меню!A:E,4,0)</f>
        <v>Суши</v>
      </c>
      <c r="F6300">
        <f>VLOOKUP(C6300,Меню!A:E,5,0)</f>
        <v>300</v>
      </c>
    </row>
    <row r="6301" spans="1:6" ht="15.75" hidden="1" customHeight="1" x14ac:dyDescent="0.35">
      <c r="A6301" s="1">
        <v>6300</v>
      </c>
      <c r="B6301" s="1">
        <v>1247</v>
      </c>
      <c r="C6301" s="1">
        <v>42</v>
      </c>
      <c r="D6301" t="str">
        <f>VLOOKUP(B6301,Заказы!A:C,3,0)</f>
        <v>2024-01-02 15:19:00</v>
      </c>
      <c r="E6301" t="str">
        <f>VLOOKUP(C6301,Меню!A:E,4,0)</f>
        <v>Суши</v>
      </c>
      <c r="F6301">
        <f>VLOOKUP(C6301,Меню!A:E,5,0)</f>
        <v>250</v>
      </c>
    </row>
    <row r="6302" spans="1:6" ht="15.75" customHeight="1" x14ac:dyDescent="0.35">
      <c r="A6302" s="1">
        <v>6301</v>
      </c>
      <c r="B6302" s="1">
        <v>1247</v>
      </c>
      <c r="C6302" s="1">
        <v>36</v>
      </c>
      <c r="D6302" t="str">
        <f>VLOOKUP(B6302,Заказы!A:C,3,0)</f>
        <v>2024-01-02 15:19:00</v>
      </c>
      <c r="E6302" t="str">
        <f>VLOOKUP(C6302,Меню!A:E,4,0)</f>
        <v>Десерт</v>
      </c>
      <c r="F6302">
        <f>VLOOKUP(C6302,Меню!A:E,5,0)</f>
        <v>150</v>
      </c>
    </row>
    <row r="6303" spans="1:6" ht="15.75" hidden="1" customHeight="1" x14ac:dyDescent="0.35">
      <c r="A6303" s="1">
        <v>6302</v>
      </c>
      <c r="B6303" s="1">
        <v>1247</v>
      </c>
      <c r="C6303" s="1">
        <v>56</v>
      </c>
      <c r="D6303" t="str">
        <f>VLOOKUP(B6303,Заказы!A:C,3,0)</f>
        <v>2024-01-02 15:19:00</v>
      </c>
      <c r="E6303" t="str">
        <f>VLOOKUP(C6303,Меню!A:E,4,0)</f>
        <v>Суши</v>
      </c>
      <c r="F6303">
        <f>VLOOKUP(C6303,Меню!A:E,5,0)</f>
        <v>200</v>
      </c>
    </row>
    <row r="6304" spans="1:6" ht="15.75" hidden="1" customHeight="1" x14ac:dyDescent="0.35">
      <c r="A6304" s="1">
        <v>6303</v>
      </c>
      <c r="B6304" s="1">
        <v>1247</v>
      </c>
      <c r="C6304" s="1">
        <v>6</v>
      </c>
      <c r="D6304" t="str">
        <f>VLOOKUP(B6304,Заказы!A:C,3,0)</f>
        <v>2024-01-02 15:19:00</v>
      </c>
      <c r="E6304" t="str">
        <f>VLOOKUP(C6304,Меню!A:E,4,0)</f>
        <v>Завтрак</v>
      </c>
      <c r="F6304">
        <f>VLOOKUP(C6304,Меню!A:E,5,0)</f>
        <v>300</v>
      </c>
    </row>
    <row r="6305" spans="1:6" ht="15.75" hidden="1" customHeight="1" x14ac:dyDescent="0.35">
      <c r="A6305" s="1">
        <v>6304</v>
      </c>
      <c r="B6305" s="1">
        <v>1248</v>
      </c>
      <c r="C6305" s="1">
        <v>23</v>
      </c>
      <c r="D6305" t="str">
        <f>VLOOKUP(B6305,Заказы!A:C,3,0)</f>
        <v>2024-01-02 15:21:00</v>
      </c>
      <c r="E6305" t="str">
        <f>VLOOKUP(C6305,Меню!A:E,4,0)</f>
        <v>Салат</v>
      </c>
      <c r="F6305">
        <f>VLOOKUP(C6305,Меню!A:E,5,0)</f>
        <v>250</v>
      </c>
    </row>
    <row r="6306" spans="1:6" ht="15.75" hidden="1" customHeight="1" x14ac:dyDescent="0.35">
      <c r="A6306" s="1">
        <v>6305</v>
      </c>
      <c r="B6306" s="1">
        <v>1248</v>
      </c>
      <c r="C6306" s="1">
        <v>26</v>
      </c>
      <c r="D6306" t="str">
        <f>VLOOKUP(B6306,Заказы!A:C,3,0)</f>
        <v>2024-01-02 15:21:00</v>
      </c>
      <c r="E6306" t="str">
        <f>VLOOKUP(C6306,Меню!A:E,4,0)</f>
        <v>Салат</v>
      </c>
      <c r="F6306">
        <f>VLOOKUP(C6306,Меню!A:E,5,0)</f>
        <v>250</v>
      </c>
    </row>
    <row r="6307" spans="1:6" ht="15.75" hidden="1" customHeight="1" x14ac:dyDescent="0.35">
      <c r="A6307" s="1">
        <v>6306</v>
      </c>
      <c r="B6307" s="1">
        <v>1248</v>
      </c>
      <c r="C6307" s="1">
        <v>48</v>
      </c>
      <c r="D6307" t="str">
        <f>VLOOKUP(B6307,Заказы!A:C,3,0)</f>
        <v>2024-01-02 15:21:00</v>
      </c>
      <c r="E6307" t="str">
        <f>VLOOKUP(C6307,Меню!A:E,4,0)</f>
        <v>Суши</v>
      </c>
      <c r="F6307">
        <f>VLOOKUP(C6307,Меню!A:E,5,0)</f>
        <v>200</v>
      </c>
    </row>
    <row r="6308" spans="1:6" ht="15.75" hidden="1" customHeight="1" x14ac:dyDescent="0.35">
      <c r="A6308" s="1">
        <v>6307</v>
      </c>
      <c r="B6308" s="1">
        <v>1248</v>
      </c>
      <c r="C6308" s="1">
        <v>41</v>
      </c>
      <c r="D6308" t="str">
        <f>VLOOKUP(B6308,Заказы!A:C,3,0)</f>
        <v>2024-01-02 15:21:00</v>
      </c>
      <c r="E6308" t="str">
        <f>VLOOKUP(C6308,Меню!A:E,4,0)</f>
        <v>Суши</v>
      </c>
      <c r="F6308">
        <f>VLOOKUP(C6308,Меню!A:E,5,0)</f>
        <v>220</v>
      </c>
    </row>
    <row r="6309" spans="1:6" ht="15.75" hidden="1" customHeight="1" x14ac:dyDescent="0.35">
      <c r="A6309" s="1">
        <v>6308</v>
      </c>
      <c r="B6309" s="1">
        <v>1249</v>
      </c>
      <c r="C6309" s="1">
        <v>4</v>
      </c>
      <c r="D6309" t="str">
        <f>VLOOKUP(B6309,Заказы!A:C,3,0)</f>
        <v>2024-01-02 15:40:00</v>
      </c>
      <c r="E6309" t="str">
        <f>VLOOKUP(C6309,Меню!A:E,4,0)</f>
        <v>Завтрак</v>
      </c>
      <c r="F6309">
        <f>VLOOKUP(C6309,Меню!A:E,5,0)</f>
        <v>180</v>
      </c>
    </row>
    <row r="6310" spans="1:6" ht="15.75" hidden="1" customHeight="1" x14ac:dyDescent="0.35">
      <c r="A6310" s="1">
        <v>6309</v>
      </c>
      <c r="B6310" s="1">
        <v>1249</v>
      </c>
      <c r="C6310" s="1">
        <v>58</v>
      </c>
      <c r="D6310" t="str">
        <f>VLOOKUP(B6310,Заказы!A:C,3,0)</f>
        <v>2024-01-02 15:40:00</v>
      </c>
      <c r="E6310" t="str">
        <f>VLOOKUP(C6310,Меню!A:E,4,0)</f>
        <v>Суши</v>
      </c>
      <c r="F6310">
        <f>VLOOKUP(C6310,Меню!A:E,5,0)</f>
        <v>200</v>
      </c>
    </row>
    <row r="6311" spans="1:6" ht="15.75" hidden="1" customHeight="1" x14ac:dyDescent="0.35">
      <c r="A6311" s="1">
        <v>6310</v>
      </c>
      <c r="B6311" s="1">
        <v>1249</v>
      </c>
      <c r="C6311" s="1">
        <v>29</v>
      </c>
      <c r="D6311" t="str">
        <f>VLOOKUP(B6311,Заказы!A:C,3,0)</f>
        <v>2024-01-02 15:40:00</v>
      </c>
      <c r="E6311" t="str">
        <f>VLOOKUP(C6311,Меню!A:E,4,0)</f>
        <v>Салат</v>
      </c>
      <c r="F6311">
        <f>VLOOKUP(C6311,Меню!A:E,5,0)</f>
        <v>250</v>
      </c>
    </row>
    <row r="6312" spans="1:6" ht="15.75" customHeight="1" x14ac:dyDescent="0.35">
      <c r="A6312" s="1">
        <v>6311</v>
      </c>
      <c r="B6312" s="1">
        <v>1249</v>
      </c>
      <c r="C6312" s="1">
        <v>35</v>
      </c>
      <c r="D6312" t="str">
        <f>VLOOKUP(B6312,Заказы!A:C,3,0)</f>
        <v>2024-01-02 15:40:00</v>
      </c>
      <c r="E6312" t="str">
        <f>VLOOKUP(C6312,Меню!A:E,4,0)</f>
        <v>Десерт</v>
      </c>
      <c r="F6312">
        <f>VLOOKUP(C6312,Меню!A:E,5,0)</f>
        <v>150</v>
      </c>
    </row>
    <row r="6313" spans="1:6" ht="15.75" customHeight="1" x14ac:dyDescent="0.35">
      <c r="A6313" s="1">
        <v>6312</v>
      </c>
      <c r="B6313" s="1">
        <v>1250</v>
      </c>
      <c r="C6313" s="1">
        <v>35</v>
      </c>
      <c r="D6313" t="str">
        <f>VLOOKUP(B6313,Заказы!A:C,3,0)</f>
        <v>2024-01-02 15:49:00</v>
      </c>
      <c r="E6313" t="str">
        <f>VLOOKUP(C6313,Меню!A:E,4,0)</f>
        <v>Десерт</v>
      </c>
      <c r="F6313">
        <f>VLOOKUP(C6313,Меню!A:E,5,0)</f>
        <v>150</v>
      </c>
    </row>
    <row r="6314" spans="1:6" ht="15.75" hidden="1" customHeight="1" x14ac:dyDescent="0.35">
      <c r="A6314" s="1">
        <v>6313</v>
      </c>
      <c r="B6314" s="1">
        <v>1250</v>
      </c>
      <c r="C6314" s="1">
        <v>16</v>
      </c>
      <c r="D6314" t="str">
        <f>VLOOKUP(B6314,Заказы!A:C,3,0)</f>
        <v>2024-01-02 15:49:00</v>
      </c>
      <c r="E6314" t="str">
        <f>VLOOKUP(C6314,Меню!A:E,4,0)</f>
        <v>Первое</v>
      </c>
      <c r="F6314">
        <f>VLOOKUP(C6314,Меню!A:E,5,0)</f>
        <v>250</v>
      </c>
    </row>
    <row r="6315" spans="1:6" ht="15.75" hidden="1" customHeight="1" x14ac:dyDescent="0.35">
      <c r="A6315" s="1">
        <v>6314</v>
      </c>
      <c r="B6315" s="1">
        <v>1250</v>
      </c>
      <c r="C6315" s="1">
        <v>44</v>
      </c>
      <c r="D6315" t="str">
        <f>VLOOKUP(B6315,Заказы!A:C,3,0)</f>
        <v>2024-01-02 15:49:00</v>
      </c>
      <c r="E6315" t="str">
        <f>VLOOKUP(C6315,Меню!A:E,4,0)</f>
        <v>Суши</v>
      </c>
      <c r="F6315">
        <f>VLOOKUP(C6315,Меню!A:E,5,0)</f>
        <v>250</v>
      </c>
    </row>
    <row r="6316" spans="1:6" ht="15.75" customHeight="1" x14ac:dyDescent="0.35">
      <c r="A6316" s="1">
        <v>6315</v>
      </c>
      <c r="B6316" s="1">
        <v>1251</v>
      </c>
      <c r="C6316" s="1">
        <v>39</v>
      </c>
      <c r="D6316" t="str">
        <f>VLOOKUP(B6316,Заказы!A:C,3,0)</f>
        <v>2024-01-02 16:15:00</v>
      </c>
      <c r="E6316" t="str">
        <f>VLOOKUP(C6316,Меню!A:E,4,0)</f>
        <v>Десерт</v>
      </c>
      <c r="F6316">
        <f>VLOOKUP(C6316,Меню!A:E,5,0)</f>
        <v>150</v>
      </c>
    </row>
    <row r="6317" spans="1:6" ht="15.75" hidden="1" customHeight="1" x14ac:dyDescent="0.35">
      <c r="A6317" s="1">
        <v>6316</v>
      </c>
      <c r="B6317" s="1">
        <v>1251</v>
      </c>
      <c r="C6317" s="1">
        <v>58</v>
      </c>
      <c r="D6317" t="str">
        <f>VLOOKUP(B6317,Заказы!A:C,3,0)</f>
        <v>2024-01-02 16:15:00</v>
      </c>
      <c r="E6317" t="str">
        <f>VLOOKUP(C6317,Меню!A:E,4,0)</f>
        <v>Суши</v>
      </c>
      <c r="F6317">
        <f>VLOOKUP(C6317,Меню!A:E,5,0)</f>
        <v>200</v>
      </c>
    </row>
    <row r="6318" spans="1:6" ht="15.75" customHeight="1" x14ac:dyDescent="0.35">
      <c r="A6318" s="1">
        <v>6317</v>
      </c>
      <c r="B6318" s="1">
        <v>1251</v>
      </c>
      <c r="C6318" s="1">
        <v>32</v>
      </c>
      <c r="D6318" t="str">
        <f>VLOOKUP(B6318,Заказы!A:C,3,0)</f>
        <v>2024-01-02 16:15:00</v>
      </c>
      <c r="E6318" t="str">
        <f>VLOOKUP(C6318,Меню!A:E,4,0)</f>
        <v>Десерт</v>
      </c>
      <c r="F6318">
        <f>VLOOKUP(C6318,Меню!A:E,5,0)</f>
        <v>150</v>
      </c>
    </row>
    <row r="6319" spans="1:6" ht="15.75" hidden="1" customHeight="1" x14ac:dyDescent="0.35">
      <c r="A6319" s="1">
        <v>6318</v>
      </c>
      <c r="B6319" s="1">
        <v>1251</v>
      </c>
      <c r="C6319" s="1">
        <v>58</v>
      </c>
      <c r="D6319" t="str">
        <f>VLOOKUP(B6319,Заказы!A:C,3,0)</f>
        <v>2024-01-02 16:15:00</v>
      </c>
      <c r="E6319" t="str">
        <f>VLOOKUP(C6319,Меню!A:E,4,0)</f>
        <v>Суши</v>
      </c>
      <c r="F6319">
        <f>VLOOKUP(C6319,Меню!A:E,5,0)</f>
        <v>200</v>
      </c>
    </row>
    <row r="6320" spans="1:6" ht="15.75" hidden="1" customHeight="1" x14ac:dyDescent="0.35">
      <c r="A6320" s="1">
        <v>6319</v>
      </c>
      <c r="B6320" s="1">
        <v>1252</v>
      </c>
      <c r="C6320" s="1">
        <v>51</v>
      </c>
      <c r="D6320" t="str">
        <f>VLOOKUP(B6320,Заказы!A:C,3,0)</f>
        <v>2024-01-02 17:03:00</v>
      </c>
      <c r="E6320" t="str">
        <f>VLOOKUP(C6320,Меню!A:E,4,0)</f>
        <v>Суши</v>
      </c>
      <c r="F6320">
        <f>VLOOKUP(C6320,Меню!A:E,5,0)</f>
        <v>100</v>
      </c>
    </row>
    <row r="6321" spans="1:6" ht="15.75" hidden="1" customHeight="1" x14ac:dyDescent="0.35">
      <c r="A6321" s="1">
        <v>6320</v>
      </c>
      <c r="B6321" s="1">
        <v>1252</v>
      </c>
      <c r="C6321" s="1">
        <v>12</v>
      </c>
      <c r="D6321" t="str">
        <f>VLOOKUP(B6321,Заказы!A:C,3,0)</f>
        <v>2024-01-02 17:03:00</v>
      </c>
      <c r="E6321" t="str">
        <f>VLOOKUP(C6321,Меню!A:E,4,0)</f>
        <v>Первое</v>
      </c>
      <c r="F6321">
        <f>VLOOKUP(C6321,Меню!A:E,5,0)</f>
        <v>300</v>
      </c>
    </row>
    <row r="6322" spans="1:6" ht="15.75" hidden="1" customHeight="1" x14ac:dyDescent="0.35">
      <c r="A6322" s="1">
        <v>6321</v>
      </c>
      <c r="B6322" s="1">
        <v>1252</v>
      </c>
      <c r="C6322" s="1">
        <v>16</v>
      </c>
      <c r="D6322" t="str">
        <f>VLOOKUP(B6322,Заказы!A:C,3,0)</f>
        <v>2024-01-02 17:03:00</v>
      </c>
      <c r="E6322" t="str">
        <f>VLOOKUP(C6322,Меню!A:E,4,0)</f>
        <v>Первое</v>
      </c>
      <c r="F6322">
        <f>VLOOKUP(C6322,Меню!A:E,5,0)</f>
        <v>250</v>
      </c>
    </row>
    <row r="6323" spans="1:6" ht="15.75" hidden="1" customHeight="1" x14ac:dyDescent="0.35">
      <c r="A6323" s="1">
        <v>6322</v>
      </c>
      <c r="B6323" s="1">
        <v>1252</v>
      </c>
      <c r="C6323" s="1">
        <v>10</v>
      </c>
      <c r="D6323" t="str">
        <f>VLOOKUP(B6323,Заказы!A:C,3,0)</f>
        <v>2024-01-02 17:03:00</v>
      </c>
      <c r="E6323" t="str">
        <f>VLOOKUP(C6323,Меню!A:E,4,0)</f>
        <v>Завтрак</v>
      </c>
      <c r="F6323">
        <f>VLOOKUP(C6323,Меню!A:E,5,0)</f>
        <v>200</v>
      </c>
    </row>
    <row r="6324" spans="1:6" ht="15.75" hidden="1" customHeight="1" x14ac:dyDescent="0.35">
      <c r="A6324" s="1">
        <v>6323</v>
      </c>
      <c r="B6324" s="1">
        <v>1252</v>
      </c>
      <c r="C6324" s="1">
        <v>50</v>
      </c>
      <c r="D6324" t="str">
        <f>VLOOKUP(B6324,Заказы!A:C,3,0)</f>
        <v>2024-01-02 17:03:00</v>
      </c>
      <c r="E6324" t="str">
        <f>VLOOKUP(C6324,Меню!A:E,4,0)</f>
        <v>Суши</v>
      </c>
      <c r="F6324">
        <f>VLOOKUP(C6324,Меню!A:E,5,0)</f>
        <v>200</v>
      </c>
    </row>
    <row r="6325" spans="1:6" ht="15.75" hidden="1" customHeight="1" x14ac:dyDescent="0.35">
      <c r="A6325" s="1">
        <v>6324</v>
      </c>
      <c r="B6325" s="1">
        <v>1252</v>
      </c>
      <c r="C6325" s="1">
        <v>45</v>
      </c>
      <c r="D6325" t="str">
        <f>VLOOKUP(B6325,Заказы!A:C,3,0)</f>
        <v>2024-01-02 17:03:00</v>
      </c>
      <c r="E6325" t="str">
        <f>VLOOKUP(C6325,Меню!A:E,4,0)</f>
        <v>Суши</v>
      </c>
      <c r="F6325">
        <f>VLOOKUP(C6325,Меню!A:E,5,0)</f>
        <v>200</v>
      </c>
    </row>
    <row r="6326" spans="1:6" ht="15.75" hidden="1" customHeight="1" x14ac:dyDescent="0.35">
      <c r="A6326" s="1">
        <v>6325</v>
      </c>
      <c r="B6326" s="1">
        <v>1253</v>
      </c>
      <c r="C6326" s="1">
        <v>46</v>
      </c>
      <c r="D6326" t="str">
        <f>VLOOKUP(B6326,Заказы!A:C,3,0)</f>
        <v>2024-01-02 18:38:00</v>
      </c>
      <c r="E6326" t="str">
        <f>VLOOKUP(C6326,Меню!A:E,4,0)</f>
        <v>Суши</v>
      </c>
      <c r="F6326">
        <f>VLOOKUP(C6326,Меню!A:E,5,0)</f>
        <v>200</v>
      </c>
    </row>
    <row r="6327" spans="1:6" ht="15.75" hidden="1" customHeight="1" x14ac:dyDescent="0.35">
      <c r="A6327" s="1">
        <v>6326</v>
      </c>
      <c r="B6327" s="1">
        <v>1253</v>
      </c>
      <c r="C6327" s="1">
        <v>24</v>
      </c>
      <c r="D6327" t="str">
        <f>VLOOKUP(B6327,Заказы!A:C,3,0)</f>
        <v>2024-01-02 18:38:00</v>
      </c>
      <c r="E6327" t="str">
        <f>VLOOKUP(C6327,Меню!A:E,4,0)</f>
        <v>Салат</v>
      </c>
      <c r="F6327">
        <f>VLOOKUP(C6327,Меню!A:E,5,0)</f>
        <v>250</v>
      </c>
    </row>
    <row r="6328" spans="1:6" ht="15.75" hidden="1" customHeight="1" x14ac:dyDescent="0.35">
      <c r="A6328" s="1">
        <v>6327</v>
      </c>
      <c r="B6328" s="1">
        <v>1253</v>
      </c>
      <c r="C6328" s="1">
        <v>24</v>
      </c>
      <c r="D6328" t="str">
        <f>VLOOKUP(B6328,Заказы!A:C,3,0)</f>
        <v>2024-01-02 18:38:00</v>
      </c>
      <c r="E6328" t="str">
        <f>VLOOKUP(C6328,Меню!A:E,4,0)</f>
        <v>Салат</v>
      </c>
      <c r="F6328">
        <f>VLOOKUP(C6328,Меню!A:E,5,0)</f>
        <v>250</v>
      </c>
    </row>
    <row r="6329" spans="1:6" ht="15.75" hidden="1" customHeight="1" x14ac:dyDescent="0.35">
      <c r="A6329" s="1">
        <v>6328</v>
      </c>
      <c r="B6329" s="1">
        <v>1253</v>
      </c>
      <c r="C6329" s="1">
        <v>8</v>
      </c>
      <c r="D6329" t="str">
        <f>VLOOKUP(B6329,Заказы!A:C,3,0)</f>
        <v>2024-01-02 18:38:00</v>
      </c>
      <c r="E6329" t="str">
        <f>VLOOKUP(C6329,Меню!A:E,4,0)</f>
        <v>Завтрак</v>
      </c>
      <c r="F6329">
        <f>VLOOKUP(C6329,Меню!A:E,5,0)</f>
        <v>180</v>
      </c>
    </row>
    <row r="6330" spans="1:6" ht="15.75" hidden="1" customHeight="1" x14ac:dyDescent="0.35">
      <c r="A6330" s="1">
        <v>6329</v>
      </c>
      <c r="B6330" s="1">
        <v>1253</v>
      </c>
      <c r="C6330" s="1">
        <v>16</v>
      </c>
      <c r="D6330" t="str">
        <f>VLOOKUP(B6330,Заказы!A:C,3,0)</f>
        <v>2024-01-02 18:38:00</v>
      </c>
      <c r="E6330" t="str">
        <f>VLOOKUP(C6330,Меню!A:E,4,0)</f>
        <v>Первое</v>
      </c>
      <c r="F6330">
        <f>VLOOKUP(C6330,Меню!A:E,5,0)</f>
        <v>250</v>
      </c>
    </row>
    <row r="6331" spans="1:6" ht="15.75" hidden="1" customHeight="1" x14ac:dyDescent="0.35">
      <c r="A6331" s="1">
        <v>6330</v>
      </c>
      <c r="B6331" s="1">
        <v>1253</v>
      </c>
      <c r="C6331" s="1">
        <v>22</v>
      </c>
      <c r="D6331" t="str">
        <f>VLOOKUP(B6331,Заказы!A:C,3,0)</f>
        <v>2024-01-02 18:38:00</v>
      </c>
      <c r="E6331" t="str">
        <f>VLOOKUP(C6331,Меню!A:E,4,0)</f>
        <v>Салат</v>
      </c>
      <c r="F6331">
        <f>VLOOKUP(C6331,Меню!A:E,5,0)</f>
        <v>250</v>
      </c>
    </row>
    <row r="6332" spans="1:6" ht="15.75" hidden="1" customHeight="1" x14ac:dyDescent="0.35">
      <c r="A6332" s="1">
        <v>6331</v>
      </c>
      <c r="B6332" s="1">
        <v>1253</v>
      </c>
      <c r="C6332" s="1">
        <v>3</v>
      </c>
      <c r="D6332" t="str">
        <f>VLOOKUP(B6332,Заказы!A:C,3,0)</f>
        <v>2024-01-02 18:38:00</v>
      </c>
      <c r="E6332" t="str">
        <f>VLOOKUP(C6332,Меню!A:E,4,0)</f>
        <v>Завтрак</v>
      </c>
      <c r="F6332">
        <f>VLOOKUP(C6332,Меню!A:E,5,0)</f>
        <v>150</v>
      </c>
    </row>
    <row r="6333" spans="1:6" ht="15.75" customHeight="1" x14ac:dyDescent="0.35">
      <c r="A6333" s="1">
        <v>6332</v>
      </c>
      <c r="B6333" s="1">
        <v>1253</v>
      </c>
      <c r="C6333" s="1">
        <v>35</v>
      </c>
      <c r="D6333" t="str">
        <f>VLOOKUP(B6333,Заказы!A:C,3,0)</f>
        <v>2024-01-02 18:38:00</v>
      </c>
      <c r="E6333" t="str">
        <f>VLOOKUP(C6333,Меню!A:E,4,0)</f>
        <v>Десерт</v>
      </c>
      <c r="F6333">
        <f>VLOOKUP(C6333,Меню!A:E,5,0)</f>
        <v>150</v>
      </c>
    </row>
    <row r="6334" spans="1:6" ht="15.75" customHeight="1" x14ac:dyDescent="0.35">
      <c r="A6334" s="1">
        <v>6333</v>
      </c>
      <c r="B6334" s="1">
        <v>1254</v>
      </c>
      <c r="C6334" s="1">
        <v>38</v>
      </c>
      <c r="D6334" t="str">
        <f>VLOOKUP(B6334,Заказы!A:C,3,0)</f>
        <v>2024-01-02 19:33:00</v>
      </c>
      <c r="E6334" t="str">
        <f>VLOOKUP(C6334,Меню!A:E,4,0)</f>
        <v>Десерт</v>
      </c>
      <c r="F6334">
        <f>VLOOKUP(C6334,Меню!A:E,5,0)</f>
        <v>150</v>
      </c>
    </row>
    <row r="6335" spans="1:6" ht="15.75" customHeight="1" x14ac:dyDescent="0.35">
      <c r="A6335" s="1">
        <v>6334</v>
      </c>
      <c r="B6335" s="1">
        <v>1255</v>
      </c>
      <c r="C6335" s="1">
        <v>40</v>
      </c>
      <c r="D6335" t="str">
        <f>VLOOKUP(B6335,Заказы!A:C,3,0)</f>
        <v>2024-01-02 19:46:00</v>
      </c>
      <c r="E6335" t="str">
        <f>VLOOKUP(C6335,Меню!A:E,4,0)</f>
        <v>Десерт</v>
      </c>
      <c r="F6335">
        <f>VLOOKUP(C6335,Меню!A:E,5,0)</f>
        <v>150</v>
      </c>
    </row>
    <row r="6336" spans="1:6" ht="15.75" hidden="1" customHeight="1" x14ac:dyDescent="0.35">
      <c r="A6336" s="1">
        <v>6335</v>
      </c>
      <c r="B6336" s="1">
        <v>1255</v>
      </c>
      <c r="C6336" s="1">
        <v>3</v>
      </c>
      <c r="D6336" t="str">
        <f>VLOOKUP(B6336,Заказы!A:C,3,0)</f>
        <v>2024-01-02 19:46:00</v>
      </c>
      <c r="E6336" t="str">
        <f>VLOOKUP(C6336,Меню!A:E,4,0)</f>
        <v>Завтрак</v>
      </c>
      <c r="F6336">
        <f>VLOOKUP(C6336,Меню!A:E,5,0)</f>
        <v>150</v>
      </c>
    </row>
    <row r="6337" spans="1:6" ht="15.75" customHeight="1" x14ac:dyDescent="0.35">
      <c r="A6337" s="1">
        <v>6336</v>
      </c>
      <c r="B6337" s="1">
        <v>1255</v>
      </c>
      <c r="C6337" s="1">
        <v>36</v>
      </c>
      <c r="D6337" t="str">
        <f>VLOOKUP(B6337,Заказы!A:C,3,0)</f>
        <v>2024-01-02 19:46:00</v>
      </c>
      <c r="E6337" t="str">
        <f>VLOOKUP(C6337,Меню!A:E,4,0)</f>
        <v>Десерт</v>
      </c>
      <c r="F6337">
        <f>VLOOKUP(C6337,Меню!A:E,5,0)</f>
        <v>150</v>
      </c>
    </row>
    <row r="6338" spans="1:6" ht="15.75" hidden="1" customHeight="1" x14ac:dyDescent="0.35">
      <c r="A6338" s="1">
        <v>6337</v>
      </c>
      <c r="B6338" s="1">
        <v>1255</v>
      </c>
      <c r="C6338" s="1">
        <v>12</v>
      </c>
      <c r="D6338" t="str">
        <f>VLOOKUP(B6338,Заказы!A:C,3,0)</f>
        <v>2024-01-02 19:46:00</v>
      </c>
      <c r="E6338" t="str">
        <f>VLOOKUP(C6338,Меню!A:E,4,0)</f>
        <v>Первое</v>
      </c>
      <c r="F6338">
        <f>VLOOKUP(C6338,Меню!A:E,5,0)</f>
        <v>300</v>
      </c>
    </row>
    <row r="6339" spans="1:6" ht="15.75" hidden="1" customHeight="1" x14ac:dyDescent="0.35">
      <c r="A6339" s="1">
        <v>6338</v>
      </c>
      <c r="B6339" s="1">
        <v>1255</v>
      </c>
      <c r="C6339" s="1">
        <v>13</v>
      </c>
      <c r="D6339" t="str">
        <f>VLOOKUP(B6339,Заказы!A:C,3,0)</f>
        <v>2024-01-02 19:46:00</v>
      </c>
      <c r="E6339" t="str">
        <f>VLOOKUP(C6339,Меню!A:E,4,0)</f>
        <v>Первое</v>
      </c>
      <c r="F6339">
        <f>VLOOKUP(C6339,Меню!A:E,5,0)</f>
        <v>280</v>
      </c>
    </row>
    <row r="6340" spans="1:6" ht="15.75" customHeight="1" x14ac:dyDescent="0.35">
      <c r="A6340" s="1">
        <v>6339</v>
      </c>
      <c r="B6340" s="1">
        <v>1255</v>
      </c>
      <c r="C6340" s="1">
        <v>32</v>
      </c>
      <c r="D6340" t="str">
        <f>VLOOKUP(B6340,Заказы!A:C,3,0)</f>
        <v>2024-01-02 19:46:00</v>
      </c>
      <c r="E6340" t="str">
        <f>VLOOKUP(C6340,Меню!A:E,4,0)</f>
        <v>Десерт</v>
      </c>
      <c r="F6340">
        <f>VLOOKUP(C6340,Меню!A:E,5,0)</f>
        <v>150</v>
      </c>
    </row>
    <row r="6341" spans="1:6" ht="15.75" hidden="1" customHeight="1" x14ac:dyDescent="0.35">
      <c r="A6341" s="1">
        <v>6340</v>
      </c>
      <c r="B6341" s="1">
        <v>1255</v>
      </c>
      <c r="C6341" s="1">
        <v>17</v>
      </c>
      <c r="D6341" t="str">
        <f>VLOOKUP(B6341,Заказы!A:C,3,0)</f>
        <v>2024-01-02 19:46:00</v>
      </c>
      <c r="E6341" t="str">
        <f>VLOOKUP(C6341,Меню!A:E,4,0)</f>
        <v>Первое</v>
      </c>
      <c r="F6341">
        <f>VLOOKUP(C6341,Меню!A:E,5,0)</f>
        <v>250</v>
      </c>
    </row>
    <row r="6342" spans="1:6" ht="15.75" hidden="1" customHeight="1" x14ac:dyDescent="0.35">
      <c r="A6342" s="1">
        <v>6341</v>
      </c>
      <c r="B6342" s="1">
        <v>1256</v>
      </c>
      <c r="C6342" s="1">
        <v>6</v>
      </c>
      <c r="D6342" t="str">
        <f>VLOOKUP(B6342,Заказы!A:C,3,0)</f>
        <v>2024-01-02 20:11:00</v>
      </c>
      <c r="E6342" t="str">
        <f>VLOOKUP(C6342,Меню!A:E,4,0)</f>
        <v>Завтрак</v>
      </c>
      <c r="F6342">
        <f>VLOOKUP(C6342,Меню!A:E,5,0)</f>
        <v>300</v>
      </c>
    </row>
    <row r="6343" spans="1:6" ht="15.75" hidden="1" customHeight="1" x14ac:dyDescent="0.35">
      <c r="A6343" s="1">
        <v>6342</v>
      </c>
      <c r="B6343" s="1">
        <v>1256</v>
      </c>
      <c r="C6343" s="1">
        <v>42</v>
      </c>
      <c r="D6343" t="str">
        <f>VLOOKUP(B6343,Заказы!A:C,3,0)</f>
        <v>2024-01-02 20:11:00</v>
      </c>
      <c r="E6343" t="str">
        <f>VLOOKUP(C6343,Меню!A:E,4,0)</f>
        <v>Суши</v>
      </c>
      <c r="F6343">
        <f>VLOOKUP(C6343,Меню!A:E,5,0)</f>
        <v>250</v>
      </c>
    </row>
    <row r="6344" spans="1:6" ht="15.75" hidden="1" customHeight="1" x14ac:dyDescent="0.35">
      <c r="A6344" s="1">
        <v>6343</v>
      </c>
      <c r="B6344" s="1">
        <v>1256</v>
      </c>
      <c r="C6344" s="1">
        <v>14</v>
      </c>
      <c r="D6344" t="str">
        <f>VLOOKUP(B6344,Заказы!A:C,3,0)</f>
        <v>2024-01-02 20:11:00</v>
      </c>
      <c r="E6344" t="str">
        <f>VLOOKUP(C6344,Меню!A:E,4,0)</f>
        <v>Первое</v>
      </c>
      <c r="F6344">
        <f>VLOOKUP(C6344,Меню!A:E,5,0)</f>
        <v>350</v>
      </c>
    </row>
    <row r="6345" spans="1:6" ht="15.75" hidden="1" customHeight="1" x14ac:dyDescent="0.35">
      <c r="A6345" s="1">
        <v>6344</v>
      </c>
      <c r="B6345" s="1">
        <v>1256</v>
      </c>
      <c r="C6345" s="1">
        <v>56</v>
      </c>
      <c r="D6345" t="str">
        <f>VLOOKUP(B6345,Заказы!A:C,3,0)</f>
        <v>2024-01-02 20:11:00</v>
      </c>
      <c r="E6345" t="str">
        <f>VLOOKUP(C6345,Меню!A:E,4,0)</f>
        <v>Суши</v>
      </c>
      <c r="F6345">
        <f>VLOOKUP(C6345,Меню!A:E,5,0)</f>
        <v>200</v>
      </c>
    </row>
    <row r="6346" spans="1:6" ht="15.75" hidden="1" customHeight="1" x14ac:dyDescent="0.35">
      <c r="A6346" s="1">
        <v>6345</v>
      </c>
      <c r="B6346" s="1">
        <v>1256</v>
      </c>
      <c r="C6346" s="1">
        <v>1</v>
      </c>
      <c r="D6346" t="str">
        <f>VLOOKUP(B6346,Заказы!A:C,3,0)</f>
        <v>2024-01-02 20:11:00</v>
      </c>
      <c r="E6346" t="str">
        <f>VLOOKUP(C6346,Меню!A:E,4,0)</f>
        <v>Завтрак</v>
      </c>
      <c r="F6346">
        <f>VLOOKUP(C6346,Меню!A:E,5,0)</f>
        <v>200</v>
      </c>
    </row>
    <row r="6347" spans="1:6" ht="15.75" hidden="1" customHeight="1" x14ac:dyDescent="0.35">
      <c r="A6347" s="1">
        <v>6346</v>
      </c>
      <c r="B6347" s="1">
        <v>1256</v>
      </c>
      <c r="C6347" s="1">
        <v>14</v>
      </c>
      <c r="D6347" t="str">
        <f>VLOOKUP(B6347,Заказы!A:C,3,0)</f>
        <v>2024-01-02 20:11:00</v>
      </c>
      <c r="E6347" t="str">
        <f>VLOOKUP(C6347,Меню!A:E,4,0)</f>
        <v>Первое</v>
      </c>
      <c r="F6347">
        <f>VLOOKUP(C6347,Меню!A:E,5,0)</f>
        <v>350</v>
      </c>
    </row>
    <row r="6348" spans="1:6" ht="15.75" hidden="1" customHeight="1" x14ac:dyDescent="0.35">
      <c r="A6348" s="1">
        <v>6347</v>
      </c>
      <c r="B6348" s="1">
        <v>1256</v>
      </c>
      <c r="C6348" s="1">
        <v>18</v>
      </c>
      <c r="D6348" t="str">
        <f>VLOOKUP(B6348,Заказы!A:C,3,0)</f>
        <v>2024-01-02 20:11:00</v>
      </c>
      <c r="E6348" t="str">
        <f>VLOOKUP(C6348,Меню!A:E,4,0)</f>
        <v>Первое</v>
      </c>
      <c r="F6348">
        <f>VLOOKUP(C6348,Меню!A:E,5,0)</f>
        <v>300</v>
      </c>
    </row>
    <row r="6349" spans="1:6" ht="15.75" hidden="1" customHeight="1" x14ac:dyDescent="0.35">
      <c r="A6349" s="1">
        <v>6348</v>
      </c>
      <c r="B6349" s="1">
        <v>1256</v>
      </c>
      <c r="C6349" s="1">
        <v>57</v>
      </c>
      <c r="D6349" t="str">
        <f>VLOOKUP(B6349,Заказы!A:C,3,0)</f>
        <v>2024-01-02 20:11:00</v>
      </c>
      <c r="E6349" t="str">
        <f>VLOOKUP(C6349,Меню!A:E,4,0)</f>
        <v>Суши</v>
      </c>
      <c r="F6349">
        <f>VLOOKUP(C6349,Меню!A:E,5,0)</f>
        <v>200</v>
      </c>
    </row>
    <row r="6350" spans="1:6" ht="15.75" customHeight="1" x14ac:dyDescent="0.35">
      <c r="A6350" s="1">
        <v>6349</v>
      </c>
      <c r="B6350" s="1">
        <v>1256</v>
      </c>
      <c r="C6350" s="1">
        <v>34</v>
      </c>
      <c r="D6350" t="str">
        <f>VLOOKUP(B6350,Заказы!A:C,3,0)</f>
        <v>2024-01-02 20:11:00</v>
      </c>
      <c r="E6350" t="str">
        <f>VLOOKUP(C6350,Меню!A:E,4,0)</f>
        <v>Десерт</v>
      </c>
      <c r="F6350">
        <f>VLOOKUP(C6350,Меню!A:E,5,0)</f>
        <v>150</v>
      </c>
    </row>
    <row r="6351" spans="1:6" ht="15.75" hidden="1" customHeight="1" x14ac:dyDescent="0.35">
      <c r="A6351" s="1">
        <v>6350</v>
      </c>
      <c r="B6351" s="1">
        <v>1257</v>
      </c>
      <c r="C6351" s="1">
        <v>12</v>
      </c>
      <c r="D6351" t="str">
        <f>VLOOKUP(B6351,Заказы!A:C,3,0)</f>
        <v>2024-01-02 20:18:00</v>
      </c>
      <c r="E6351" t="str">
        <f>VLOOKUP(C6351,Меню!A:E,4,0)</f>
        <v>Первое</v>
      </c>
      <c r="F6351">
        <f>VLOOKUP(C6351,Меню!A:E,5,0)</f>
        <v>300</v>
      </c>
    </row>
    <row r="6352" spans="1:6" ht="15.75" hidden="1" customHeight="1" x14ac:dyDescent="0.35">
      <c r="A6352" s="1">
        <v>6351</v>
      </c>
      <c r="B6352" s="1">
        <v>1257</v>
      </c>
      <c r="C6352" s="1">
        <v>41</v>
      </c>
      <c r="D6352" t="str">
        <f>VLOOKUP(B6352,Заказы!A:C,3,0)</f>
        <v>2024-01-02 20:18:00</v>
      </c>
      <c r="E6352" t="str">
        <f>VLOOKUP(C6352,Меню!A:E,4,0)</f>
        <v>Суши</v>
      </c>
      <c r="F6352">
        <f>VLOOKUP(C6352,Меню!A:E,5,0)</f>
        <v>220</v>
      </c>
    </row>
    <row r="6353" spans="1:6" ht="15.75" hidden="1" customHeight="1" x14ac:dyDescent="0.35">
      <c r="A6353" s="1">
        <v>6352</v>
      </c>
      <c r="B6353" s="1">
        <v>1257</v>
      </c>
      <c r="C6353" s="1">
        <v>5</v>
      </c>
      <c r="D6353" t="str">
        <f>VLOOKUP(B6353,Заказы!A:C,3,0)</f>
        <v>2024-01-02 20:18:00</v>
      </c>
      <c r="E6353" t="str">
        <f>VLOOKUP(C6353,Меню!A:E,4,0)</f>
        <v>Завтрак</v>
      </c>
      <c r="F6353">
        <f>VLOOKUP(C6353,Меню!A:E,5,0)</f>
        <v>220</v>
      </c>
    </row>
    <row r="6354" spans="1:6" ht="15.75" hidden="1" customHeight="1" x14ac:dyDescent="0.35">
      <c r="A6354" s="1">
        <v>6353</v>
      </c>
      <c r="B6354" s="1">
        <v>1257</v>
      </c>
      <c r="C6354" s="1">
        <v>7</v>
      </c>
      <c r="D6354" t="str">
        <f>VLOOKUP(B6354,Заказы!A:C,3,0)</f>
        <v>2024-01-02 20:18:00</v>
      </c>
      <c r="E6354" t="str">
        <f>VLOOKUP(C6354,Меню!A:E,4,0)</f>
        <v>Завтрак</v>
      </c>
      <c r="F6354">
        <f>VLOOKUP(C6354,Меню!A:E,5,0)</f>
        <v>200</v>
      </c>
    </row>
    <row r="6355" spans="1:6" ht="15.75" customHeight="1" x14ac:dyDescent="0.35">
      <c r="A6355" s="1">
        <v>6354</v>
      </c>
      <c r="B6355" s="1">
        <v>1258</v>
      </c>
      <c r="C6355" s="1">
        <v>37</v>
      </c>
      <c r="D6355" t="str">
        <f>VLOOKUP(B6355,Заказы!A:C,3,0)</f>
        <v>2024-01-02 22:51:00</v>
      </c>
      <c r="E6355" t="str">
        <f>VLOOKUP(C6355,Меню!A:E,4,0)</f>
        <v>Десерт</v>
      </c>
      <c r="F6355">
        <f>VLOOKUP(C6355,Меню!A:E,5,0)</f>
        <v>100</v>
      </c>
    </row>
    <row r="6356" spans="1:6" ht="15.75" hidden="1" customHeight="1" x14ac:dyDescent="0.35">
      <c r="A6356" s="1">
        <v>6355</v>
      </c>
      <c r="B6356" s="1">
        <v>1258</v>
      </c>
      <c r="C6356" s="1">
        <v>29</v>
      </c>
      <c r="D6356" t="str">
        <f>VLOOKUP(B6356,Заказы!A:C,3,0)</f>
        <v>2024-01-02 22:51:00</v>
      </c>
      <c r="E6356" t="str">
        <f>VLOOKUP(C6356,Меню!A:E,4,0)</f>
        <v>Салат</v>
      </c>
      <c r="F6356">
        <f>VLOOKUP(C6356,Меню!A:E,5,0)</f>
        <v>250</v>
      </c>
    </row>
    <row r="6357" spans="1:6" ht="15.75" hidden="1" customHeight="1" x14ac:dyDescent="0.35">
      <c r="A6357" s="1">
        <v>6356</v>
      </c>
      <c r="B6357" s="1">
        <v>1258</v>
      </c>
      <c r="C6357" s="1">
        <v>44</v>
      </c>
      <c r="D6357" t="str">
        <f>VLOOKUP(B6357,Заказы!A:C,3,0)</f>
        <v>2024-01-02 22:51:00</v>
      </c>
      <c r="E6357" t="str">
        <f>VLOOKUP(C6357,Меню!A:E,4,0)</f>
        <v>Суши</v>
      </c>
      <c r="F6357">
        <f>VLOOKUP(C6357,Меню!A:E,5,0)</f>
        <v>250</v>
      </c>
    </row>
    <row r="6358" spans="1:6" ht="15.75" hidden="1" customHeight="1" x14ac:dyDescent="0.35">
      <c r="A6358" s="1">
        <v>6357</v>
      </c>
      <c r="B6358" s="1">
        <v>1259</v>
      </c>
      <c r="C6358" s="1">
        <v>15</v>
      </c>
      <c r="D6358" t="str">
        <f>VLOOKUP(B6358,Заказы!A:C,3,0)</f>
        <v>2024-01-03 16:44:00</v>
      </c>
      <c r="E6358" t="str">
        <f>VLOOKUP(C6358,Меню!A:E,4,0)</f>
        <v>Первое</v>
      </c>
      <c r="F6358">
        <f>VLOOKUP(C6358,Меню!A:E,5,0)</f>
        <v>250</v>
      </c>
    </row>
    <row r="6359" spans="1:6" ht="15.75" customHeight="1" x14ac:dyDescent="0.35">
      <c r="A6359" s="1">
        <v>6358</v>
      </c>
      <c r="B6359" s="1">
        <v>1259</v>
      </c>
      <c r="C6359" s="1">
        <v>35</v>
      </c>
      <c r="D6359" t="str">
        <f>VLOOKUP(B6359,Заказы!A:C,3,0)</f>
        <v>2024-01-03 16:44:00</v>
      </c>
      <c r="E6359" t="str">
        <f>VLOOKUP(C6359,Меню!A:E,4,0)</f>
        <v>Десерт</v>
      </c>
      <c r="F6359">
        <f>VLOOKUP(C6359,Меню!A:E,5,0)</f>
        <v>150</v>
      </c>
    </row>
    <row r="6360" spans="1:6" ht="15.75" hidden="1" customHeight="1" x14ac:dyDescent="0.35">
      <c r="A6360" s="1">
        <v>6359</v>
      </c>
      <c r="B6360" s="1">
        <v>1259</v>
      </c>
      <c r="C6360" s="1">
        <v>54</v>
      </c>
      <c r="D6360" t="str">
        <f>VLOOKUP(B6360,Заказы!A:C,3,0)</f>
        <v>2024-01-03 16:44:00</v>
      </c>
      <c r="E6360" t="str">
        <f>VLOOKUP(C6360,Меню!A:E,4,0)</f>
        <v>Суши</v>
      </c>
      <c r="F6360">
        <f>VLOOKUP(C6360,Меню!A:E,5,0)</f>
        <v>100</v>
      </c>
    </row>
    <row r="6361" spans="1:6" ht="15.75" hidden="1" customHeight="1" x14ac:dyDescent="0.35">
      <c r="A6361" s="1">
        <v>6360</v>
      </c>
      <c r="B6361" s="1">
        <v>1259</v>
      </c>
      <c r="C6361" s="1">
        <v>16</v>
      </c>
      <c r="D6361" t="str">
        <f>VLOOKUP(B6361,Заказы!A:C,3,0)</f>
        <v>2024-01-03 16:44:00</v>
      </c>
      <c r="E6361" t="str">
        <f>VLOOKUP(C6361,Меню!A:E,4,0)</f>
        <v>Первое</v>
      </c>
      <c r="F6361">
        <f>VLOOKUP(C6361,Меню!A:E,5,0)</f>
        <v>250</v>
      </c>
    </row>
    <row r="6362" spans="1:6" ht="15.75" hidden="1" customHeight="1" x14ac:dyDescent="0.35">
      <c r="A6362" s="1">
        <v>6361</v>
      </c>
      <c r="B6362" s="1">
        <v>1259</v>
      </c>
      <c r="C6362" s="1">
        <v>45</v>
      </c>
      <c r="D6362" t="str">
        <f>VLOOKUP(B6362,Заказы!A:C,3,0)</f>
        <v>2024-01-03 16:44:00</v>
      </c>
      <c r="E6362" t="str">
        <f>VLOOKUP(C6362,Меню!A:E,4,0)</f>
        <v>Суши</v>
      </c>
      <c r="F6362">
        <f>VLOOKUP(C6362,Меню!A:E,5,0)</f>
        <v>200</v>
      </c>
    </row>
    <row r="6363" spans="1:6" ht="15.75" hidden="1" customHeight="1" x14ac:dyDescent="0.35">
      <c r="A6363" s="1">
        <v>6362</v>
      </c>
      <c r="B6363" s="1">
        <v>1259</v>
      </c>
      <c r="C6363" s="1">
        <v>49</v>
      </c>
      <c r="D6363" t="str">
        <f>VLOOKUP(B6363,Заказы!A:C,3,0)</f>
        <v>2024-01-03 16:44:00</v>
      </c>
      <c r="E6363" t="str">
        <f>VLOOKUP(C6363,Меню!A:E,4,0)</f>
        <v>Суши</v>
      </c>
      <c r="F6363">
        <f>VLOOKUP(C6363,Меню!A:E,5,0)</f>
        <v>200</v>
      </c>
    </row>
    <row r="6364" spans="1:6" ht="15.75" hidden="1" customHeight="1" x14ac:dyDescent="0.35">
      <c r="A6364" s="1">
        <v>6363</v>
      </c>
      <c r="B6364" s="1">
        <v>1260</v>
      </c>
      <c r="C6364" s="1">
        <v>16</v>
      </c>
      <c r="D6364" t="str">
        <f>VLOOKUP(B6364,Заказы!A:C,3,0)</f>
        <v>2024-01-03 18:20:00</v>
      </c>
      <c r="E6364" t="str">
        <f>VLOOKUP(C6364,Меню!A:E,4,0)</f>
        <v>Первое</v>
      </c>
      <c r="F6364">
        <f>VLOOKUP(C6364,Меню!A:E,5,0)</f>
        <v>250</v>
      </c>
    </row>
    <row r="6365" spans="1:6" ht="15.75" hidden="1" customHeight="1" x14ac:dyDescent="0.35">
      <c r="A6365" s="1">
        <v>6364</v>
      </c>
      <c r="B6365" s="1">
        <v>1261</v>
      </c>
      <c r="C6365" s="1">
        <v>20</v>
      </c>
      <c r="D6365" t="str">
        <f>VLOOKUP(B6365,Заказы!A:C,3,0)</f>
        <v>2024-01-03 20:58:00</v>
      </c>
      <c r="E6365" t="str">
        <f>VLOOKUP(C6365,Меню!A:E,4,0)</f>
        <v>Первое</v>
      </c>
      <c r="F6365">
        <f>VLOOKUP(C6365,Меню!A:E,5,0)</f>
        <v>250</v>
      </c>
    </row>
    <row r="6366" spans="1:6" ht="15.75" hidden="1" customHeight="1" x14ac:dyDescent="0.35">
      <c r="A6366" s="1">
        <v>6365</v>
      </c>
      <c r="B6366" s="1">
        <v>1261</v>
      </c>
      <c r="C6366" s="1">
        <v>9</v>
      </c>
      <c r="D6366" t="str">
        <f>VLOOKUP(B6366,Заказы!A:C,3,0)</f>
        <v>2024-01-03 20:58:00</v>
      </c>
      <c r="E6366" t="str">
        <f>VLOOKUP(C6366,Меню!A:E,4,0)</f>
        <v>Завтрак</v>
      </c>
      <c r="F6366">
        <f>VLOOKUP(C6366,Меню!A:E,5,0)</f>
        <v>220</v>
      </c>
    </row>
    <row r="6367" spans="1:6" ht="15.75" hidden="1" customHeight="1" x14ac:dyDescent="0.35">
      <c r="A6367" s="1">
        <v>6366</v>
      </c>
      <c r="B6367" s="1">
        <v>1261</v>
      </c>
      <c r="C6367" s="1">
        <v>11</v>
      </c>
      <c r="D6367" t="str">
        <f>VLOOKUP(B6367,Заказы!A:C,3,0)</f>
        <v>2024-01-03 20:58:00</v>
      </c>
      <c r="E6367" t="str">
        <f>VLOOKUP(C6367,Меню!A:E,4,0)</f>
        <v>Первое</v>
      </c>
      <c r="F6367">
        <f>VLOOKUP(C6367,Меню!A:E,5,0)</f>
        <v>300</v>
      </c>
    </row>
    <row r="6368" spans="1:6" ht="15.75" hidden="1" customHeight="1" x14ac:dyDescent="0.35">
      <c r="A6368" s="1">
        <v>6367</v>
      </c>
      <c r="B6368" s="1">
        <v>1261</v>
      </c>
      <c r="C6368" s="1">
        <v>12</v>
      </c>
      <c r="D6368" t="str">
        <f>VLOOKUP(B6368,Заказы!A:C,3,0)</f>
        <v>2024-01-03 20:58:00</v>
      </c>
      <c r="E6368" t="str">
        <f>VLOOKUP(C6368,Меню!A:E,4,0)</f>
        <v>Первое</v>
      </c>
      <c r="F6368">
        <f>VLOOKUP(C6368,Меню!A:E,5,0)</f>
        <v>300</v>
      </c>
    </row>
    <row r="6369" spans="1:6" ht="15.75" hidden="1" customHeight="1" x14ac:dyDescent="0.35">
      <c r="A6369" s="1">
        <v>6368</v>
      </c>
      <c r="B6369" s="1">
        <v>1262</v>
      </c>
      <c r="C6369" s="1">
        <v>44</v>
      </c>
      <c r="D6369" t="str">
        <f>VLOOKUP(B6369,Заказы!A:C,3,0)</f>
        <v>2024-01-04 15:30:00</v>
      </c>
      <c r="E6369" t="str">
        <f>VLOOKUP(C6369,Меню!A:E,4,0)</f>
        <v>Суши</v>
      </c>
      <c r="F6369">
        <f>VLOOKUP(C6369,Меню!A:E,5,0)</f>
        <v>250</v>
      </c>
    </row>
    <row r="6370" spans="1:6" ht="15.75" hidden="1" customHeight="1" x14ac:dyDescent="0.35">
      <c r="A6370" s="1">
        <v>6369</v>
      </c>
      <c r="B6370" s="1">
        <v>1262</v>
      </c>
      <c r="C6370" s="1">
        <v>3</v>
      </c>
      <c r="D6370" t="str">
        <f>VLOOKUP(B6370,Заказы!A:C,3,0)</f>
        <v>2024-01-04 15:30:00</v>
      </c>
      <c r="E6370" t="str">
        <f>VLOOKUP(C6370,Меню!A:E,4,0)</f>
        <v>Завтрак</v>
      </c>
      <c r="F6370">
        <f>VLOOKUP(C6370,Меню!A:E,5,0)</f>
        <v>150</v>
      </c>
    </row>
    <row r="6371" spans="1:6" ht="15.75" hidden="1" customHeight="1" x14ac:dyDescent="0.35">
      <c r="A6371" s="1">
        <v>6370</v>
      </c>
      <c r="B6371" s="1">
        <v>1262</v>
      </c>
      <c r="C6371" s="1">
        <v>44</v>
      </c>
      <c r="D6371" t="str">
        <f>VLOOKUP(B6371,Заказы!A:C,3,0)</f>
        <v>2024-01-04 15:30:00</v>
      </c>
      <c r="E6371" t="str">
        <f>VLOOKUP(C6371,Меню!A:E,4,0)</f>
        <v>Суши</v>
      </c>
      <c r="F6371">
        <f>VLOOKUP(C6371,Меню!A:E,5,0)</f>
        <v>250</v>
      </c>
    </row>
    <row r="6372" spans="1:6" ht="15.75" hidden="1" customHeight="1" x14ac:dyDescent="0.35">
      <c r="A6372" s="1">
        <v>6371</v>
      </c>
      <c r="B6372" s="1">
        <v>1263</v>
      </c>
      <c r="C6372" s="1">
        <v>59</v>
      </c>
      <c r="D6372" t="str">
        <f>VLOOKUP(B6372,Заказы!A:C,3,0)</f>
        <v>2024-01-04 18:51:00</v>
      </c>
      <c r="E6372" t="str">
        <f>VLOOKUP(C6372,Меню!A:E,4,0)</f>
        <v>Суши</v>
      </c>
      <c r="F6372">
        <f>VLOOKUP(C6372,Меню!A:E,5,0)</f>
        <v>300</v>
      </c>
    </row>
    <row r="6373" spans="1:6" ht="15.75" hidden="1" customHeight="1" x14ac:dyDescent="0.35">
      <c r="A6373" s="1">
        <v>6372</v>
      </c>
      <c r="B6373" s="1">
        <v>1263</v>
      </c>
      <c r="C6373" s="1">
        <v>24</v>
      </c>
      <c r="D6373" t="str">
        <f>VLOOKUP(B6373,Заказы!A:C,3,0)</f>
        <v>2024-01-04 18:51:00</v>
      </c>
      <c r="E6373" t="str">
        <f>VLOOKUP(C6373,Меню!A:E,4,0)</f>
        <v>Салат</v>
      </c>
      <c r="F6373">
        <f>VLOOKUP(C6373,Меню!A:E,5,0)</f>
        <v>250</v>
      </c>
    </row>
    <row r="6374" spans="1:6" ht="15.75" hidden="1" customHeight="1" x14ac:dyDescent="0.35">
      <c r="A6374" s="1">
        <v>6373</v>
      </c>
      <c r="B6374" s="1">
        <v>1263</v>
      </c>
      <c r="C6374" s="1">
        <v>16</v>
      </c>
      <c r="D6374" t="str">
        <f>VLOOKUP(B6374,Заказы!A:C,3,0)</f>
        <v>2024-01-04 18:51:00</v>
      </c>
      <c r="E6374" t="str">
        <f>VLOOKUP(C6374,Меню!A:E,4,0)</f>
        <v>Первое</v>
      </c>
      <c r="F6374">
        <f>VLOOKUP(C6374,Меню!A:E,5,0)</f>
        <v>250</v>
      </c>
    </row>
    <row r="6375" spans="1:6" ht="15.75" hidden="1" customHeight="1" x14ac:dyDescent="0.35">
      <c r="A6375" s="1">
        <v>6374</v>
      </c>
      <c r="B6375" s="1">
        <v>1263</v>
      </c>
      <c r="C6375" s="1">
        <v>53</v>
      </c>
      <c r="D6375" t="str">
        <f>VLOOKUP(B6375,Заказы!A:C,3,0)</f>
        <v>2024-01-04 18:51:00</v>
      </c>
      <c r="E6375" t="str">
        <f>VLOOKUP(C6375,Меню!A:E,4,0)</f>
        <v>Суши</v>
      </c>
      <c r="F6375">
        <f>VLOOKUP(C6375,Меню!A:E,5,0)</f>
        <v>100</v>
      </c>
    </row>
    <row r="6376" spans="1:6" ht="15.75" hidden="1" customHeight="1" x14ac:dyDescent="0.35">
      <c r="A6376" s="1">
        <v>6375</v>
      </c>
      <c r="B6376" s="1">
        <v>1263</v>
      </c>
      <c r="C6376" s="1">
        <v>54</v>
      </c>
      <c r="D6376" t="str">
        <f>VLOOKUP(B6376,Заказы!A:C,3,0)</f>
        <v>2024-01-04 18:51:00</v>
      </c>
      <c r="E6376" t="str">
        <f>VLOOKUP(C6376,Меню!A:E,4,0)</f>
        <v>Суши</v>
      </c>
      <c r="F6376">
        <f>VLOOKUP(C6376,Меню!A:E,5,0)</f>
        <v>100</v>
      </c>
    </row>
    <row r="6377" spans="1:6" ht="15.75" hidden="1" customHeight="1" x14ac:dyDescent="0.35">
      <c r="A6377" s="1">
        <v>6376</v>
      </c>
      <c r="B6377" s="1">
        <v>1263</v>
      </c>
      <c r="C6377" s="1">
        <v>58</v>
      </c>
      <c r="D6377" t="str">
        <f>VLOOKUP(B6377,Заказы!A:C,3,0)</f>
        <v>2024-01-04 18:51:00</v>
      </c>
      <c r="E6377" t="str">
        <f>VLOOKUP(C6377,Меню!A:E,4,0)</f>
        <v>Суши</v>
      </c>
      <c r="F6377">
        <f>VLOOKUP(C6377,Меню!A:E,5,0)</f>
        <v>200</v>
      </c>
    </row>
    <row r="6378" spans="1:6" ht="15.75" hidden="1" customHeight="1" x14ac:dyDescent="0.35">
      <c r="A6378" s="1">
        <v>6377</v>
      </c>
      <c r="B6378" s="1">
        <v>1263</v>
      </c>
      <c r="C6378" s="1">
        <v>44</v>
      </c>
      <c r="D6378" t="str">
        <f>VLOOKUP(B6378,Заказы!A:C,3,0)</f>
        <v>2024-01-04 18:51:00</v>
      </c>
      <c r="E6378" t="str">
        <f>VLOOKUP(C6378,Меню!A:E,4,0)</f>
        <v>Суши</v>
      </c>
      <c r="F6378">
        <f>VLOOKUP(C6378,Меню!A:E,5,0)</f>
        <v>250</v>
      </c>
    </row>
    <row r="6379" spans="1:6" ht="15.75" customHeight="1" x14ac:dyDescent="0.35">
      <c r="A6379" s="1">
        <v>6378</v>
      </c>
      <c r="B6379" s="1">
        <v>1264</v>
      </c>
      <c r="C6379" s="1">
        <v>32</v>
      </c>
      <c r="D6379" t="str">
        <f>VLOOKUP(B6379,Заказы!A:C,3,0)</f>
        <v>2024-01-04 19:14:00</v>
      </c>
      <c r="E6379" t="str">
        <f>VLOOKUP(C6379,Меню!A:E,4,0)</f>
        <v>Десерт</v>
      </c>
      <c r="F6379">
        <f>VLOOKUP(C6379,Меню!A:E,5,0)</f>
        <v>150</v>
      </c>
    </row>
    <row r="6380" spans="1:6" ht="15.75" hidden="1" customHeight="1" x14ac:dyDescent="0.35">
      <c r="A6380" s="1">
        <v>6379</v>
      </c>
      <c r="B6380" s="1">
        <v>1264</v>
      </c>
      <c r="C6380" s="1">
        <v>51</v>
      </c>
      <c r="D6380" t="str">
        <f>VLOOKUP(B6380,Заказы!A:C,3,0)</f>
        <v>2024-01-04 19:14:00</v>
      </c>
      <c r="E6380" t="str">
        <f>VLOOKUP(C6380,Меню!A:E,4,0)</f>
        <v>Суши</v>
      </c>
      <c r="F6380">
        <f>VLOOKUP(C6380,Меню!A:E,5,0)</f>
        <v>100</v>
      </c>
    </row>
    <row r="6381" spans="1:6" ht="15.75" customHeight="1" x14ac:dyDescent="0.35">
      <c r="A6381" s="1">
        <v>6380</v>
      </c>
      <c r="B6381" s="1">
        <v>1264</v>
      </c>
      <c r="C6381" s="1">
        <v>36</v>
      </c>
      <c r="D6381" t="str">
        <f>VLOOKUP(B6381,Заказы!A:C,3,0)</f>
        <v>2024-01-04 19:14:00</v>
      </c>
      <c r="E6381" t="str">
        <f>VLOOKUP(C6381,Меню!A:E,4,0)</f>
        <v>Десерт</v>
      </c>
      <c r="F6381">
        <f>VLOOKUP(C6381,Меню!A:E,5,0)</f>
        <v>150</v>
      </c>
    </row>
    <row r="6382" spans="1:6" ht="15.75" customHeight="1" x14ac:dyDescent="0.35">
      <c r="A6382" s="1">
        <v>6381</v>
      </c>
      <c r="B6382" s="1">
        <v>1264</v>
      </c>
      <c r="C6382" s="1">
        <v>39</v>
      </c>
      <c r="D6382" t="str">
        <f>VLOOKUP(B6382,Заказы!A:C,3,0)</f>
        <v>2024-01-04 19:14:00</v>
      </c>
      <c r="E6382" t="str">
        <f>VLOOKUP(C6382,Меню!A:E,4,0)</f>
        <v>Десерт</v>
      </c>
      <c r="F6382">
        <f>VLOOKUP(C6382,Меню!A:E,5,0)</f>
        <v>150</v>
      </c>
    </row>
    <row r="6383" spans="1:6" ht="15.75" hidden="1" customHeight="1" x14ac:dyDescent="0.35">
      <c r="A6383" s="1">
        <v>6382</v>
      </c>
      <c r="B6383" s="1">
        <v>1264</v>
      </c>
      <c r="C6383" s="1">
        <v>20</v>
      </c>
      <c r="D6383" t="str">
        <f>VLOOKUP(B6383,Заказы!A:C,3,0)</f>
        <v>2024-01-04 19:14:00</v>
      </c>
      <c r="E6383" t="str">
        <f>VLOOKUP(C6383,Меню!A:E,4,0)</f>
        <v>Первое</v>
      </c>
      <c r="F6383">
        <f>VLOOKUP(C6383,Меню!A:E,5,0)</f>
        <v>250</v>
      </c>
    </row>
    <row r="6384" spans="1:6" ht="15.75" hidden="1" customHeight="1" x14ac:dyDescent="0.35">
      <c r="A6384" s="1">
        <v>6383</v>
      </c>
      <c r="B6384" s="1">
        <v>1265</v>
      </c>
      <c r="C6384" s="1">
        <v>11</v>
      </c>
      <c r="D6384" t="str">
        <f>VLOOKUP(B6384,Заказы!A:C,3,0)</f>
        <v>2024-01-04 20:41:00</v>
      </c>
      <c r="E6384" t="str">
        <f>VLOOKUP(C6384,Меню!A:E,4,0)</f>
        <v>Первое</v>
      </c>
      <c r="F6384">
        <f>VLOOKUP(C6384,Меню!A:E,5,0)</f>
        <v>300</v>
      </c>
    </row>
    <row r="6385" spans="1:6" ht="15.75" hidden="1" customHeight="1" x14ac:dyDescent="0.35">
      <c r="A6385" s="1">
        <v>6384</v>
      </c>
      <c r="B6385" s="1">
        <v>1265</v>
      </c>
      <c r="C6385" s="1">
        <v>16</v>
      </c>
      <c r="D6385" t="str">
        <f>VLOOKUP(B6385,Заказы!A:C,3,0)</f>
        <v>2024-01-04 20:41:00</v>
      </c>
      <c r="E6385" t="str">
        <f>VLOOKUP(C6385,Меню!A:E,4,0)</f>
        <v>Первое</v>
      </c>
      <c r="F6385">
        <f>VLOOKUP(C6385,Меню!A:E,5,0)</f>
        <v>250</v>
      </c>
    </row>
    <row r="6386" spans="1:6" ht="15.75" hidden="1" customHeight="1" x14ac:dyDescent="0.35">
      <c r="A6386" s="1">
        <v>6385</v>
      </c>
      <c r="B6386" s="1">
        <v>1265</v>
      </c>
      <c r="C6386" s="1">
        <v>18</v>
      </c>
      <c r="D6386" t="str">
        <f>VLOOKUP(B6386,Заказы!A:C,3,0)</f>
        <v>2024-01-04 20:41:00</v>
      </c>
      <c r="E6386" t="str">
        <f>VLOOKUP(C6386,Меню!A:E,4,0)</f>
        <v>Первое</v>
      </c>
      <c r="F6386">
        <f>VLOOKUP(C6386,Меню!A:E,5,0)</f>
        <v>300</v>
      </c>
    </row>
    <row r="6387" spans="1:6" ht="15.75" hidden="1" customHeight="1" x14ac:dyDescent="0.35">
      <c r="A6387" s="1">
        <v>6386</v>
      </c>
      <c r="B6387" s="1">
        <v>1265</v>
      </c>
      <c r="C6387" s="1">
        <v>19</v>
      </c>
      <c r="D6387" t="str">
        <f>VLOOKUP(B6387,Заказы!A:C,3,0)</f>
        <v>2024-01-04 20:41:00</v>
      </c>
      <c r="E6387" t="str">
        <f>VLOOKUP(C6387,Меню!A:E,4,0)</f>
        <v>Первое</v>
      </c>
      <c r="F6387">
        <f>VLOOKUP(C6387,Меню!A:E,5,0)</f>
        <v>300</v>
      </c>
    </row>
    <row r="6388" spans="1:6" ht="15.75" hidden="1" customHeight="1" x14ac:dyDescent="0.35">
      <c r="A6388" s="1">
        <v>6387</v>
      </c>
      <c r="B6388" s="1">
        <v>1265</v>
      </c>
      <c r="C6388" s="1">
        <v>25</v>
      </c>
      <c r="D6388" t="str">
        <f>VLOOKUP(B6388,Заказы!A:C,3,0)</f>
        <v>2024-01-04 20:41:00</v>
      </c>
      <c r="E6388" t="str">
        <f>VLOOKUP(C6388,Меню!A:E,4,0)</f>
        <v>Салат</v>
      </c>
      <c r="F6388">
        <f>VLOOKUP(C6388,Меню!A:E,5,0)</f>
        <v>250</v>
      </c>
    </row>
    <row r="6389" spans="1:6" ht="15.75" hidden="1" customHeight="1" x14ac:dyDescent="0.35">
      <c r="A6389" s="1">
        <v>6388</v>
      </c>
      <c r="B6389" s="1">
        <v>1266</v>
      </c>
      <c r="C6389" s="1">
        <v>53</v>
      </c>
      <c r="D6389" t="str">
        <f>VLOOKUP(B6389,Заказы!A:C,3,0)</f>
        <v>2024-01-04 22:00:00</v>
      </c>
      <c r="E6389" t="str">
        <f>VLOOKUP(C6389,Меню!A:E,4,0)</f>
        <v>Суши</v>
      </c>
      <c r="F6389">
        <f>VLOOKUP(C6389,Меню!A:E,5,0)</f>
        <v>100</v>
      </c>
    </row>
    <row r="6390" spans="1:6" ht="15.75" hidden="1" customHeight="1" x14ac:dyDescent="0.35">
      <c r="A6390" s="1">
        <v>6389</v>
      </c>
      <c r="B6390" s="1">
        <v>1266</v>
      </c>
      <c r="C6390" s="1">
        <v>55</v>
      </c>
      <c r="D6390" t="str">
        <f>VLOOKUP(B6390,Заказы!A:C,3,0)</f>
        <v>2024-01-04 22:00:00</v>
      </c>
      <c r="E6390" t="str">
        <f>VLOOKUP(C6390,Меню!A:E,4,0)</f>
        <v>Суши</v>
      </c>
      <c r="F6390">
        <f>VLOOKUP(C6390,Меню!A:E,5,0)</f>
        <v>100</v>
      </c>
    </row>
    <row r="6391" spans="1:6" ht="15.75" hidden="1" customHeight="1" x14ac:dyDescent="0.35">
      <c r="A6391" s="1">
        <v>6390</v>
      </c>
      <c r="B6391" s="1">
        <v>1266</v>
      </c>
      <c r="C6391" s="1">
        <v>16</v>
      </c>
      <c r="D6391" t="str">
        <f>VLOOKUP(B6391,Заказы!A:C,3,0)</f>
        <v>2024-01-04 22:00:00</v>
      </c>
      <c r="E6391" t="str">
        <f>VLOOKUP(C6391,Меню!A:E,4,0)</f>
        <v>Первое</v>
      </c>
      <c r="F6391">
        <f>VLOOKUP(C6391,Меню!A:E,5,0)</f>
        <v>250</v>
      </c>
    </row>
    <row r="6392" spans="1:6" ht="15.75" hidden="1" customHeight="1" x14ac:dyDescent="0.35">
      <c r="A6392" s="1">
        <v>6391</v>
      </c>
      <c r="B6392" s="1">
        <v>1266</v>
      </c>
      <c r="C6392" s="1">
        <v>23</v>
      </c>
      <c r="D6392" t="str">
        <f>VLOOKUP(B6392,Заказы!A:C,3,0)</f>
        <v>2024-01-04 22:00:00</v>
      </c>
      <c r="E6392" t="str">
        <f>VLOOKUP(C6392,Меню!A:E,4,0)</f>
        <v>Салат</v>
      </c>
      <c r="F6392">
        <f>VLOOKUP(C6392,Меню!A:E,5,0)</f>
        <v>250</v>
      </c>
    </row>
    <row r="6393" spans="1:6" ht="15.75" hidden="1" customHeight="1" x14ac:dyDescent="0.35">
      <c r="A6393" s="1">
        <v>6392</v>
      </c>
      <c r="B6393" s="1">
        <v>1266</v>
      </c>
      <c r="C6393" s="1">
        <v>20</v>
      </c>
      <c r="D6393" t="str">
        <f>VLOOKUP(B6393,Заказы!A:C,3,0)</f>
        <v>2024-01-04 22:00:00</v>
      </c>
      <c r="E6393" t="str">
        <f>VLOOKUP(C6393,Меню!A:E,4,0)</f>
        <v>Первое</v>
      </c>
      <c r="F6393">
        <f>VLOOKUP(C6393,Меню!A:E,5,0)</f>
        <v>250</v>
      </c>
    </row>
    <row r="6394" spans="1:6" ht="15.75" hidden="1" customHeight="1" x14ac:dyDescent="0.35">
      <c r="A6394" s="1">
        <v>6393</v>
      </c>
      <c r="B6394" s="1">
        <v>1266</v>
      </c>
      <c r="C6394" s="1">
        <v>47</v>
      </c>
      <c r="D6394" t="str">
        <f>VLOOKUP(B6394,Заказы!A:C,3,0)</f>
        <v>2024-01-04 22:00:00</v>
      </c>
      <c r="E6394" t="str">
        <f>VLOOKUP(C6394,Меню!A:E,4,0)</f>
        <v>Суши</v>
      </c>
      <c r="F6394">
        <f>VLOOKUP(C6394,Меню!A:E,5,0)</f>
        <v>200</v>
      </c>
    </row>
    <row r="6395" spans="1:6" ht="15.75" hidden="1" customHeight="1" x14ac:dyDescent="0.35">
      <c r="A6395" s="1">
        <v>6394</v>
      </c>
      <c r="B6395" s="1">
        <v>1266</v>
      </c>
      <c r="C6395" s="1">
        <v>3</v>
      </c>
      <c r="D6395" t="str">
        <f>VLOOKUP(B6395,Заказы!A:C,3,0)</f>
        <v>2024-01-04 22:00:00</v>
      </c>
      <c r="E6395" t="str">
        <f>VLOOKUP(C6395,Меню!A:E,4,0)</f>
        <v>Завтрак</v>
      </c>
      <c r="F6395">
        <f>VLOOKUP(C6395,Меню!A:E,5,0)</f>
        <v>150</v>
      </c>
    </row>
    <row r="6396" spans="1:6" ht="15.75" hidden="1" customHeight="1" x14ac:dyDescent="0.35">
      <c r="A6396" s="1">
        <v>6395</v>
      </c>
      <c r="B6396" s="1">
        <v>1267</v>
      </c>
      <c r="C6396" s="1">
        <v>53</v>
      </c>
      <c r="D6396" t="str">
        <f>VLOOKUP(B6396,Заказы!A:C,3,0)</f>
        <v>2024-01-05 15:52:00</v>
      </c>
      <c r="E6396" t="str">
        <f>VLOOKUP(C6396,Меню!A:E,4,0)</f>
        <v>Суши</v>
      </c>
      <c r="F6396">
        <f>VLOOKUP(C6396,Меню!A:E,5,0)</f>
        <v>100</v>
      </c>
    </row>
    <row r="6397" spans="1:6" ht="15.75" hidden="1" customHeight="1" x14ac:dyDescent="0.35">
      <c r="A6397" s="1">
        <v>6396</v>
      </c>
      <c r="B6397" s="1">
        <v>1267</v>
      </c>
      <c r="C6397" s="1">
        <v>50</v>
      </c>
      <c r="D6397" t="str">
        <f>VLOOKUP(B6397,Заказы!A:C,3,0)</f>
        <v>2024-01-05 15:52:00</v>
      </c>
      <c r="E6397" t="str">
        <f>VLOOKUP(C6397,Меню!A:E,4,0)</f>
        <v>Суши</v>
      </c>
      <c r="F6397">
        <f>VLOOKUP(C6397,Меню!A:E,5,0)</f>
        <v>200</v>
      </c>
    </row>
    <row r="6398" spans="1:6" ht="15.75" hidden="1" customHeight="1" x14ac:dyDescent="0.35">
      <c r="A6398" s="1">
        <v>6397</v>
      </c>
      <c r="B6398" s="1">
        <v>1267</v>
      </c>
      <c r="C6398" s="1">
        <v>57</v>
      </c>
      <c r="D6398" t="str">
        <f>VLOOKUP(B6398,Заказы!A:C,3,0)</f>
        <v>2024-01-05 15:52:00</v>
      </c>
      <c r="E6398" t="str">
        <f>VLOOKUP(C6398,Меню!A:E,4,0)</f>
        <v>Суши</v>
      </c>
      <c r="F6398">
        <f>VLOOKUP(C6398,Меню!A:E,5,0)</f>
        <v>200</v>
      </c>
    </row>
    <row r="6399" spans="1:6" ht="15.75" hidden="1" customHeight="1" x14ac:dyDescent="0.35">
      <c r="A6399" s="1">
        <v>6398</v>
      </c>
      <c r="B6399" s="1">
        <v>1267</v>
      </c>
      <c r="C6399" s="1">
        <v>3</v>
      </c>
      <c r="D6399" t="str">
        <f>VLOOKUP(B6399,Заказы!A:C,3,0)</f>
        <v>2024-01-05 15:52:00</v>
      </c>
      <c r="E6399" t="str">
        <f>VLOOKUP(C6399,Меню!A:E,4,0)</f>
        <v>Завтрак</v>
      </c>
      <c r="F6399">
        <f>VLOOKUP(C6399,Меню!A:E,5,0)</f>
        <v>150</v>
      </c>
    </row>
    <row r="6400" spans="1:6" ht="15.75" hidden="1" customHeight="1" x14ac:dyDescent="0.35">
      <c r="A6400" s="1">
        <v>6399</v>
      </c>
      <c r="B6400" s="1">
        <v>1267</v>
      </c>
      <c r="C6400" s="1">
        <v>50</v>
      </c>
      <c r="D6400" t="str">
        <f>VLOOKUP(B6400,Заказы!A:C,3,0)</f>
        <v>2024-01-05 15:52:00</v>
      </c>
      <c r="E6400" t="str">
        <f>VLOOKUP(C6400,Меню!A:E,4,0)</f>
        <v>Суши</v>
      </c>
      <c r="F6400">
        <f>VLOOKUP(C6400,Меню!A:E,5,0)</f>
        <v>200</v>
      </c>
    </row>
    <row r="6401" spans="1:6" ht="15.75" hidden="1" customHeight="1" x14ac:dyDescent="0.35">
      <c r="A6401" s="1">
        <v>6400</v>
      </c>
      <c r="B6401" s="1">
        <v>1268</v>
      </c>
      <c r="C6401" s="1">
        <v>7</v>
      </c>
      <c r="D6401" t="str">
        <f>VLOOKUP(B6401,Заказы!A:C,3,0)</f>
        <v>2024-01-05 17:12:00</v>
      </c>
      <c r="E6401" t="str">
        <f>VLOOKUP(C6401,Меню!A:E,4,0)</f>
        <v>Завтрак</v>
      </c>
      <c r="F6401">
        <f>VLOOKUP(C6401,Меню!A:E,5,0)</f>
        <v>200</v>
      </c>
    </row>
    <row r="6402" spans="1:6" ht="15.75" customHeight="1" x14ac:dyDescent="0.35">
      <c r="A6402" s="1">
        <v>6401</v>
      </c>
      <c r="B6402" s="1">
        <v>1268</v>
      </c>
      <c r="C6402" s="1">
        <v>35</v>
      </c>
      <c r="D6402" t="str">
        <f>VLOOKUP(B6402,Заказы!A:C,3,0)</f>
        <v>2024-01-05 17:12:00</v>
      </c>
      <c r="E6402" t="str">
        <f>VLOOKUP(C6402,Меню!A:E,4,0)</f>
        <v>Десерт</v>
      </c>
      <c r="F6402">
        <f>VLOOKUP(C6402,Меню!A:E,5,0)</f>
        <v>150</v>
      </c>
    </row>
    <row r="6403" spans="1:6" ht="15.75" hidden="1" customHeight="1" x14ac:dyDescent="0.35">
      <c r="A6403" s="1">
        <v>6402</v>
      </c>
      <c r="B6403" s="1">
        <v>1268</v>
      </c>
      <c r="C6403" s="1">
        <v>42</v>
      </c>
      <c r="D6403" t="str">
        <f>VLOOKUP(B6403,Заказы!A:C,3,0)</f>
        <v>2024-01-05 17:12:00</v>
      </c>
      <c r="E6403" t="str">
        <f>VLOOKUP(C6403,Меню!A:E,4,0)</f>
        <v>Суши</v>
      </c>
      <c r="F6403">
        <f>VLOOKUP(C6403,Меню!A:E,5,0)</f>
        <v>250</v>
      </c>
    </row>
    <row r="6404" spans="1:6" ht="15.75" hidden="1" customHeight="1" x14ac:dyDescent="0.35">
      <c r="A6404" s="1">
        <v>6403</v>
      </c>
      <c r="B6404" s="1">
        <v>1268</v>
      </c>
      <c r="C6404" s="1">
        <v>22</v>
      </c>
      <c r="D6404" t="str">
        <f>VLOOKUP(B6404,Заказы!A:C,3,0)</f>
        <v>2024-01-05 17:12:00</v>
      </c>
      <c r="E6404" t="str">
        <f>VLOOKUP(C6404,Меню!A:E,4,0)</f>
        <v>Салат</v>
      </c>
      <c r="F6404">
        <f>VLOOKUP(C6404,Меню!A:E,5,0)</f>
        <v>250</v>
      </c>
    </row>
    <row r="6405" spans="1:6" ht="15.75" customHeight="1" x14ac:dyDescent="0.35">
      <c r="A6405" s="1">
        <v>6404</v>
      </c>
      <c r="B6405" s="1">
        <v>1269</v>
      </c>
      <c r="C6405" s="1">
        <v>34</v>
      </c>
      <c r="D6405" t="str">
        <f>VLOOKUP(B6405,Заказы!A:C,3,0)</f>
        <v>2024-01-05 21:19:00</v>
      </c>
      <c r="E6405" t="str">
        <f>VLOOKUP(C6405,Меню!A:E,4,0)</f>
        <v>Десерт</v>
      </c>
      <c r="F6405">
        <f>VLOOKUP(C6405,Меню!A:E,5,0)</f>
        <v>150</v>
      </c>
    </row>
    <row r="6406" spans="1:6" ht="15.75" customHeight="1" x14ac:dyDescent="0.35">
      <c r="A6406" s="1">
        <v>6405</v>
      </c>
      <c r="B6406" s="1">
        <v>1269</v>
      </c>
      <c r="C6406" s="1">
        <v>37</v>
      </c>
      <c r="D6406" t="str">
        <f>VLOOKUP(B6406,Заказы!A:C,3,0)</f>
        <v>2024-01-05 21:19:00</v>
      </c>
      <c r="E6406" t="str">
        <f>VLOOKUP(C6406,Меню!A:E,4,0)</f>
        <v>Десерт</v>
      </c>
      <c r="F6406">
        <f>VLOOKUP(C6406,Меню!A:E,5,0)</f>
        <v>100</v>
      </c>
    </row>
    <row r="6407" spans="1:6" ht="15.75" hidden="1" customHeight="1" x14ac:dyDescent="0.35">
      <c r="A6407" s="1">
        <v>6406</v>
      </c>
      <c r="B6407" s="1">
        <v>1269</v>
      </c>
      <c r="C6407" s="1">
        <v>43</v>
      </c>
      <c r="D6407" t="str">
        <f>VLOOKUP(B6407,Заказы!A:C,3,0)</f>
        <v>2024-01-05 21:19:00</v>
      </c>
      <c r="E6407" t="str">
        <f>VLOOKUP(C6407,Меню!A:E,4,0)</f>
        <v>Суши</v>
      </c>
      <c r="F6407">
        <f>VLOOKUP(C6407,Меню!A:E,5,0)</f>
        <v>250</v>
      </c>
    </row>
    <row r="6408" spans="1:6" ht="15.75" hidden="1" customHeight="1" x14ac:dyDescent="0.35">
      <c r="A6408" s="1">
        <v>6407</v>
      </c>
      <c r="B6408" s="1">
        <v>1269</v>
      </c>
      <c r="C6408" s="1">
        <v>18</v>
      </c>
      <c r="D6408" t="str">
        <f>VLOOKUP(B6408,Заказы!A:C,3,0)</f>
        <v>2024-01-05 21:19:00</v>
      </c>
      <c r="E6408" t="str">
        <f>VLOOKUP(C6408,Меню!A:E,4,0)</f>
        <v>Первое</v>
      </c>
      <c r="F6408">
        <f>VLOOKUP(C6408,Меню!A:E,5,0)</f>
        <v>300</v>
      </c>
    </row>
    <row r="6409" spans="1:6" ht="15.75" hidden="1" customHeight="1" x14ac:dyDescent="0.35">
      <c r="A6409" s="1">
        <v>6408</v>
      </c>
      <c r="B6409" s="1">
        <v>1269</v>
      </c>
      <c r="C6409" s="1">
        <v>22</v>
      </c>
      <c r="D6409" t="str">
        <f>VLOOKUP(B6409,Заказы!A:C,3,0)</f>
        <v>2024-01-05 21:19:00</v>
      </c>
      <c r="E6409" t="str">
        <f>VLOOKUP(C6409,Меню!A:E,4,0)</f>
        <v>Салат</v>
      </c>
      <c r="F6409">
        <f>VLOOKUP(C6409,Меню!A:E,5,0)</f>
        <v>250</v>
      </c>
    </row>
    <row r="6410" spans="1:6" ht="15.75" customHeight="1" x14ac:dyDescent="0.35">
      <c r="A6410" s="1">
        <v>6409</v>
      </c>
      <c r="B6410" s="1">
        <v>1269</v>
      </c>
      <c r="C6410" s="1">
        <v>37</v>
      </c>
      <c r="D6410" t="str">
        <f>VLOOKUP(B6410,Заказы!A:C,3,0)</f>
        <v>2024-01-05 21:19:00</v>
      </c>
      <c r="E6410" t="str">
        <f>VLOOKUP(C6410,Меню!A:E,4,0)</f>
        <v>Десерт</v>
      </c>
      <c r="F6410">
        <f>VLOOKUP(C6410,Меню!A:E,5,0)</f>
        <v>100</v>
      </c>
    </row>
    <row r="6411" spans="1:6" ht="15.75" hidden="1" customHeight="1" x14ac:dyDescent="0.35">
      <c r="A6411" s="1">
        <v>6410</v>
      </c>
      <c r="B6411" s="1">
        <v>1270</v>
      </c>
      <c r="C6411" s="1">
        <v>7</v>
      </c>
      <c r="D6411" t="str">
        <f>VLOOKUP(B6411,Заказы!A:C,3,0)</f>
        <v>2024-01-05 22:19:00</v>
      </c>
      <c r="E6411" t="str">
        <f>VLOOKUP(C6411,Меню!A:E,4,0)</f>
        <v>Завтрак</v>
      </c>
      <c r="F6411">
        <f>VLOOKUP(C6411,Меню!A:E,5,0)</f>
        <v>200</v>
      </c>
    </row>
    <row r="6412" spans="1:6" ht="15.75" customHeight="1" x14ac:dyDescent="0.35">
      <c r="A6412" s="1">
        <v>6411</v>
      </c>
      <c r="B6412" s="1">
        <v>1270</v>
      </c>
      <c r="C6412" s="1">
        <v>32</v>
      </c>
      <c r="D6412" t="str">
        <f>VLOOKUP(B6412,Заказы!A:C,3,0)</f>
        <v>2024-01-05 22:19:00</v>
      </c>
      <c r="E6412" t="str">
        <f>VLOOKUP(C6412,Меню!A:E,4,0)</f>
        <v>Десерт</v>
      </c>
      <c r="F6412">
        <f>VLOOKUP(C6412,Меню!A:E,5,0)</f>
        <v>150</v>
      </c>
    </row>
    <row r="6413" spans="1:6" ht="15.75" customHeight="1" x14ac:dyDescent="0.35">
      <c r="A6413" s="1">
        <v>6412</v>
      </c>
      <c r="B6413" s="1">
        <v>1270</v>
      </c>
      <c r="C6413" s="1">
        <v>34</v>
      </c>
      <c r="D6413" t="str">
        <f>VLOOKUP(B6413,Заказы!A:C,3,0)</f>
        <v>2024-01-05 22:19:00</v>
      </c>
      <c r="E6413" t="str">
        <f>VLOOKUP(C6413,Меню!A:E,4,0)</f>
        <v>Десерт</v>
      </c>
      <c r="F6413">
        <f>VLOOKUP(C6413,Меню!A:E,5,0)</f>
        <v>150</v>
      </c>
    </row>
    <row r="6414" spans="1:6" ht="15.75" hidden="1" customHeight="1" x14ac:dyDescent="0.35">
      <c r="A6414" s="1">
        <v>6413</v>
      </c>
      <c r="B6414" s="1">
        <v>1270</v>
      </c>
      <c r="C6414" s="1">
        <v>15</v>
      </c>
      <c r="D6414" t="str">
        <f>VLOOKUP(B6414,Заказы!A:C,3,0)</f>
        <v>2024-01-05 22:19:00</v>
      </c>
      <c r="E6414" t="str">
        <f>VLOOKUP(C6414,Меню!A:E,4,0)</f>
        <v>Первое</v>
      </c>
      <c r="F6414">
        <f>VLOOKUP(C6414,Меню!A:E,5,0)</f>
        <v>250</v>
      </c>
    </row>
    <row r="6415" spans="1:6" ht="15.75" hidden="1" customHeight="1" x14ac:dyDescent="0.35">
      <c r="A6415" s="1">
        <v>6414</v>
      </c>
      <c r="B6415" s="1">
        <v>1270</v>
      </c>
      <c r="C6415" s="1">
        <v>50</v>
      </c>
      <c r="D6415" t="str">
        <f>VLOOKUP(B6415,Заказы!A:C,3,0)</f>
        <v>2024-01-05 22:19:00</v>
      </c>
      <c r="E6415" t="str">
        <f>VLOOKUP(C6415,Меню!A:E,4,0)</f>
        <v>Суши</v>
      </c>
      <c r="F6415">
        <f>VLOOKUP(C6415,Меню!A:E,5,0)</f>
        <v>200</v>
      </c>
    </row>
    <row r="6416" spans="1:6" ht="15.75" hidden="1" customHeight="1" x14ac:dyDescent="0.35">
      <c r="A6416" s="1">
        <v>6415</v>
      </c>
      <c r="B6416" s="1">
        <v>1271</v>
      </c>
      <c r="C6416" s="1">
        <v>28</v>
      </c>
      <c r="D6416" t="str">
        <f>VLOOKUP(B6416,Заказы!A:C,3,0)</f>
        <v>2024-01-06 19:06:00</v>
      </c>
      <c r="E6416" t="str">
        <f>VLOOKUP(C6416,Меню!A:E,4,0)</f>
        <v>Салат</v>
      </c>
      <c r="F6416">
        <f>VLOOKUP(C6416,Меню!A:E,5,0)</f>
        <v>250</v>
      </c>
    </row>
    <row r="6417" spans="1:6" ht="15.75" hidden="1" customHeight="1" x14ac:dyDescent="0.35">
      <c r="A6417" s="1">
        <v>6416</v>
      </c>
      <c r="B6417" s="1">
        <v>1272</v>
      </c>
      <c r="C6417" s="1">
        <v>53</v>
      </c>
      <c r="D6417" t="str">
        <f>VLOOKUP(B6417,Заказы!A:C,3,0)</f>
        <v>2024-01-06 19:50:00</v>
      </c>
      <c r="E6417" t="str">
        <f>VLOOKUP(C6417,Меню!A:E,4,0)</f>
        <v>Суши</v>
      </c>
      <c r="F6417">
        <f>VLOOKUP(C6417,Меню!A:E,5,0)</f>
        <v>100</v>
      </c>
    </row>
    <row r="6418" spans="1:6" ht="15.75" hidden="1" customHeight="1" x14ac:dyDescent="0.35">
      <c r="A6418" s="1">
        <v>6417</v>
      </c>
      <c r="B6418" s="1">
        <v>1272</v>
      </c>
      <c r="C6418" s="1">
        <v>13</v>
      </c>
      <c r="D6418" t="str">
        <f>VLOOKUP(B6418,Заказы!A:C,3,0)</f>
        <v>2024-01-06 19:50:00</v>
      </c>
      <c r="E6418" t="str">
        <f>VLOOKUP(C6418,Меню!A:E,4,0)</f>
        <v>Первое</v>
      </c>
      <c r="F6418">
        <f>VLOOKUP(C6418,Меню!A:E,5,0)</f>
        <v>280</v>
      </c>
    </row>
    <row r="6419" spans="1:6" ht="15.75" hidden="1" customHeight="1" x14ac:dyDescent="0.35">
      <c r="A6419" s="1">
        <v>6418</v>
      </c>
      <c r="B6419" s="1">
        <v>1272</v>
      </c>
      <c r="C6419" s="1">
        <v>26</v>
      </c>
      <c r="D6419" t="str">
        <f>VLOOKUP(B6419,Заказы!A:C,3,0)</f>
        <v>2024-01-06 19:50:00</v>
      </c>
      <c r="E6419" t="str">
        <f>VLOOKUP(C6419,Меню!A:E,4,0)</f>
        <v>Салат</v>
      </c>
      <c r="F6419">
        <f>VLOOKUP(C6419,Меню!A:E,5,0)</f>
        <v>250</v>
      </c>
    </row>
    <row r="6420" spans="1:6" ht="15.75" hidden="1" customHeight="1" x14ac:dyDescent="0.35">
      <c r="A6420" s="1">
        <v>6419</v>
      </c>
      <c r="B6420" s="1">
        <v>1272</v>
      </c>
      <c r="C6420" s="1">
        <v>19</v>
      </c>
      <c r="D6420" t="str">
        <f>VLOOKUP(B6420,Заказы!A:C,3,0)</f>
        <v>2024-01-06 19:50:00</v>
      </c>
      <c r="E6420" t="str">
        <f>VLOOKUP(C6420,Меню!A:E,4,0)</f>
        <v>Первое</v>
      </c>
      <c r="F6420">
        <f>VLOOKUP(C6420,Меню!A:E,5,0)</f>
        <v>300</v>
      </c>
    </row>
    <row r="6421" spans="1:6" ht="15.75" hidden="1" customHeight="1" x14ac:dyDescent="0.35">
      <c r="A6421" s="1">
        <v>6420</v>
      </c>
      <c r="B6421" s="1">
        <v>1272</v>
      </c>
      <c r="C6421" s="1">
        <v>17</v>
      </c>
      <c r="D6421" t="str">
        <f>VLOOKUP(B6421,Заказы!A:C,3,0)</f>
        <v>2024-01-06 19:50:00</v>
      </c>
      <c r="E6421" t="str">
        <f>VLOOKUP(C6421,Меню!A:E,4,0)</f>
        <v>Первое</v>
      </c>
      <c r="F6421">
        <f>VLOOKUP(C6421,Меню!A:E,5,0)</f>
        <v>250</v>
      </c>
    </row>
    <row r="6422" spans="1:6" ht="15.75" hidden="1" customHeight="1" x14ac:dyDescent="0.35">
      <c r="A6422" s="1">
        <v>6421</v>
      </c>
      <c r="B6422" s="1">
        <v>1273</v>
      </c>
      <c r="C6422" s="1">
        <v>3</v>
      </c>
      <c r="D6422" t="str">
        <f>VLOOKUP(B6422,Заказы!A:C,3,0)</f>
        <v>2024-01-06 20:14:00</v>
      </c>
      <c r="E6422" t="str">
        <f>VLOOKUP(C6422,Меню!A:E,4,0)</f>
        <v>Завтрак</v>
      </c>
      <c r="F6422">
        <f>VLOOKUP(C6422,Меню!A:E,5,0)</f>
        <v>150</v>
      </c>
    </row>
    <row r="6423" spans="1:6" ht="15.75" hidden="1" customHeight="1" x14ac:dyDescent="0.35">
      <c r="A6423" s="1">
        <v>6422</v>
      </c>
      <c r="B6423" s="1">
        <v>1273</v>
      </c>
      <c r="C6423" s="1">
        <v>58</v>
      </c>
      <c r="D6423" t="str">
        <f>VLOOKUP(B6423,Заказы!A:C,3,0)</f>
        <v>2024-01-06 20:14:00</v>
      </c>
      <c r="E6423" t="str">
        <f>VLOOKUP(C6423,Меню!A:E,4,0)</f>
        <v>Суши</v>
      </c>
      <c r="F6423">
        <f>VLOOKUP(C6423,Меню!A:E,5,0)</f>
        <v>200</v>
      </c>
    </row>
    <row r="6424" spans="1:6" ht="15.75" hidden="1" customHeight="1" x14ac:dyDescent="0.35">
      <c r="A6424" s="1">
        <v>6423</v>
      </c>
      <c r="B6424" s="1">
        <v>1273</v>
      </c>
      <c r="C6424" s="1">
        <v>20</v>
      </c>
      <c r="D6424" t="str">
        <f>VLOOKUP(B6424,Заказы!A:C,3,0)</f>
        <v>2024-01-06 20:14:00</v>
      </c>
      <c r="E6424" t="str">
        <f>VLOOKUP(C6424,Меню!A:E,4,0)</f>
        <v>Первое</v>
      </c>
      <c r="F6424">
        <f>VLOOKUP(C6424,Меню!A:E,5,0)</f>
        <v>250</v>
      </c>
    </row>
    <row r="6425" spans="1:6" ht="15.75" hidden="1" customHeight="1" x14ac:dyDescent="0.35">
      <c r="A6425" s="1">
        <v>6424</v>
      </c>
      <c r="B6425" s="1">
        <v>1273</v>
      </c>
      <c r="C6425" s="1">
        <v>14</v>
      </c>
      <c r="D6425" t="str">
        <f>VLOOKUP(B6425,Заказы!A:C,3,0)</f>
        <v>2024-01-06 20:14:00</v>
      </c>
      <c r="E6425" t="str">
        <f>VLOOKUP(C6425,Меню!A:E,4,0)</f>
        <v>Первое</v>
      </c>
      <c r="F6425">
        <f>VLOOKUP(C6425,Меню!A:E,5,0)</f>
        <v>350</v>
      </c>
    </row>
    <row r="6426" spans="1:6" ht="15.75" hidden="1" customHeight="1" x14ac:dyDescent="0.35">
      <c r="A6426" s="1">
        <v>6425</v>
      </c>
      <c r="B6426" s="1">
        <v>1274</v>
      </c>
      <c r="C6426" s="1">
        <v>47</v>
      </c>
      <c r="D6426" t="str">
        <f>VLOOKUP(B6426,Заказы!A:C,3,0)</f>
        <v>2024-01-06 20:22:00</v>
      </c>
      <c r="E6426" t="str">
        <f>VLOOKUP(C6426,Меню!A:E,4,0)</f>
        <v>Суши</v>
      </c>
      <c r="F6426">
        <f>VLOOKUP(C6426,Меню!A:E,5,0)</f>
        <v>200</v>
      </c>
    </row>
    <row r="6427" spans="1:6" ht="15.75" hidden="1" customHeight="1" x14ac:dyDescent="0.35">
      <c r="A6427" s="1">
        <v>6426</v>
      </c>
      <c r="B6427" s="1">
        <v>1274</v>
      </c>
      <c r="C6427" s="1">
        <v>22</v>
      </c>
      <c r="D6427" t="str">
        <f>VLOOKUP(B6427,Заказы!A:C,3,0)</f>
        <v>2024-01-06 20:22:00</v>
      </c>
      <c r="E6427" t="str">
        <f>VLOOKUP(C6427,Меню!A:E,4,0)</f>
        <v>Салат</v>
      </c>
      <c r="F6427">
        <f>VLOOKUP(C6427,Меню!A:E,5,0)</f>
        <v>250</v>
      </c>
    </row>
    <row r="6428" spans="1:6" ht="15.75" hidden="1" customHeight="1" x14ac:dyDescent="0.35">
      <c r="A6428" s="1">
        <v>6427</v>
      </c>
      <c r="B6428" s="1">
        <v>1274</v>
      </c>
      <c r="C6428" s="1">
        <v>26</v>
      </c>
      <c r="D6428" t="str">
        <f>VLOOKUP(B6428,Заказы!A:C,3,0)</f>
        <v>2024-01-06 20:22:00</v>
      </c>
      <c r="E6428" t="str">
        <f>VLOOKUP(C6428,Меню!A:E,4,0)</f>
        <v>Салат</v>
      </c>
      <c r="F6428">
        <f>VLOOKUP(C6428,Меню!A:E,5,0)</f>
        <v>250</v>
      </c>
    </row>
    <row r="6429" spans="1:6" ht="15.75" hidden="1" customHeight="1" x14ac:dyDescent="0.35">
      <c r="A6429" s="1">
        <v>6428</v>
      </c>
      <c r="B6429" s="1">
        <v>1274</v>
      </c>
      <c r="C6429" s="1">
        <v>5</v>
      </c>
      <c r="D6429" t="str">
        <f>VLOOKUP(B6429,Заказы!A:C,3,0)</f>
        <v>2024-01-06 20:22:00</v>
      </c>
      <c r="E6429" t="str">
        <f>VLOOKUP(C6429,Меню!A:E,4,0)</f>
        <v>Завтрак</v>
      </c>
      <c r="F6429">
        <f>VLOOKUP(C6429,Меню!A:E,5,0)</f>
        <v>220</v>
      </c>
    </row>
    <row r="6430" spans="1:6" ht="15.75" hidden="1" customHeight="1" x14ac:dyDescent="0.35">
      <c r="A6430" s="1">
        <v>6429</v>
      </c>
      <c r="B6430" s="1">
        <v>1274</v>
      </c>
      <c r="C6430" s="1">
        <v>14</v>
      </c>
      <c r="D6430" t="str">
        <f>VLOOKUP(B6430,Заказы!A:C,3,0)</f>
        <v>2024-01-06 20:22:00</v>
      </c>
      <c r="E6430" t="str">
        <f>VLOOKUP(C6430,Меню!A:E,4,0)</f>
        <v>Первое</v>
      </c>
      <c r="F6430">
        <f>VLOOKUP(C6430,Меню!A:E,5,0)</f>
        <v>350</v>
      </c>
    </row>
    <row r="6431" spans="1:6" ht="15.75" customHeight="1" x14ac:dyDescent="0.35">
      <c r="A6431" s="1">
        <v>6430</v>
      </c>
      <c r="B6431" s="1">
        <v>1275</v>
      </c>
      <c r="C6431" s="1">
        <v>34</v>
      </c>
      <c r="D6431" t="str">
        <f>VLOOKUP(B6431,Заказы!A:C,3,0)</f>
        <v>2024-01-06 21:47:00</v>
      </c>
      <c r="E6431" t="str">
        <f>VLOOKUP(C6431,Меню!A:E,4,0)</f>
        <v>Десерт</v>
      </c>
      <c r="F6431">
        <f>VLOOKUP(C6431,Меню!A:E,5,0)</f>
        <v>150</v>
      </c>
    </row>
    <row r="6432" spans="1:6" ht="15.75" hidden="1" customHeight="1" x14ac:dyDescent="0.35">
      <c r="A6432" s="1">
        <v>6431</v>
      </c>
      <c r="B6432" s="1">
        <v>1275</v>
      </c>
      <c r="C6432" s="1">
        <v>56</v>
      </c>
      <c r="D6432" t="str">
        <f>VLOOKUP(B6432,Заказы!A:C,3,0)</f>
        <v>2024-01-06 21:47:00</v>
      </c>
      <c r="E6432" t="str">
        <f>VLOOKUP(C6432,Меню!A:E,4,0)</f>
        <v>Суши</v>
      </c>
      <c r="F6432">
        <f>VLOOKUP(C6432,Меню!A:E,5,0)</f>
        <v>200</v>
      </c>
    </row>
    <row r="6433" spans="1:6" ht="15.75" hidden="1" customHeight="1" x14ac:dyDescent="0.35">
      <c r="A6433" s="1">
        <v>6432</v>
      </c>
      <c r="B6433" s="1">
        <v>1275</v>
      </c>
      <c r="C6433" s="1">
        <v>12</v>
      </c>
      <c r="D6433" t="str">
        <f>VLOOKUP(B6433,Заказы!A:C,3,0)</f>
        <v>2024-01-06 21:47:00</v>
      </c>
      <c r="E6433" t="str">
        <f>VLOOKUP(C6433,Меню!A:E,4,0)</f>
        <v>Первое</v>
      </c>
      <c r="F6433">
        <f>VLOOKUP(C6433,Меню!A:E,5,0)</f>
        <v>300</v>
      </c>
    </row>
    <row r="6434" spans="1:6" ht="15.75" customHeight="1" x14ac:dyDescent="0.35">
      <c r="A6434" s="1">
        <v>6433</v>
      </c>
      <c r="B6434" s="1">
        <v>1275</v>
      </c>
      <c r="C6434" s="1">
        <v>39</v>
      </c>
      <c r="D6434" t="str">
        <f>VLOOKUP(B6434,Заказы!A:C,3,0)</f>
        <v>2024-01-06 21:47:00</v>
      </c>
      <c r="E6434" t="str">
        <f>VLOOKUP(C6434,Меню!A:E,4,0)</f>
        <v>Десерт</v>
      </c>
      <c r="F6434">
        <f>VLOOKUP(C6434,Меню!A:E,5,0)</f>
        <v>150</v>
      </c>
    </row>
    <row r="6435" spans="1:6" ht="15.75" hidden="1" customHeight="1" x14ac:dyDescent="0.35">
      <c r="A6435" s="1">
        <v>6434</v>
      </c>
      <c r="B6435" s="1">
        <v>1275</v>
      </c>
      <c r="C6435" s="1">
        <v>18</v>
      </c>
      <c r="D6435" t="str">
        <f>VLOOKUP(B6435,Заказы!A:C,3,0)</f>
        <v>2024-01-06 21:47:00</v>
      </c>
      <c r="E6435" t="str">
        <f>VLOOKUP(C6435,Меню!A:E,4,0)</f>
        <v>Первое</v>
      </c>
      <c r="F6435">
        <f>VLOOKUP(C6435,Меню!A:E,5,0)</f>
        <v>300</v>
      </c>
    </row>
    <row r="6436" spans="1:6" ht="15.75" hidden="1" customHeight="1" x14ac:dyDescent="0.35">
      <c r="A6436" s="1">
        <v>6435</v>
      </c>
      <c r="B6436" s="1">
        <v>1275</v>
      </c>
      <c r="C6436" s="1">
        <v>17</v>
      </c>
      <c r="D6436" t="str">
        <f>VLOOKUP(B6436,Заказы!A:C,3,0)</f>
        <v>2024-01-06 21:47:00</v>
      </c>
      <c r="E6436" t="str">
        <f>VLOOKUP(C6436,Меню!A:E,4,0)</f>
        <v>Первое</v>
      </c>
      <c r="F6436">
        <f>VLOOKUP(C6436,Меню!A:E,5,0)</f>
        <v>250</v>
      </c>
    </row>
    <row r="6437" spans="1:6" ht="15.75" hidden="1" customHeight="1" x14ac:dyDescent="0.35">
      <c r="A6437" s="1">
        <v>6436</v>
      </c>
      <c r="B6437" s="1">
        <v>1275</v>
      </c>
      <c r="C6437" s="1">
        <v>17</v>
      </c>
      <c r="D6437" t="str">
        <f>VLOOKUP(B6437,Заказы!A:C,3,0)</f>
        <v>2024-01-06 21:47:00</v>
      </c>
      <c r="E6437" t="str">
        <f>VLOOKUP(C6437,Меню!A:E,4,0)</f>
        <v>Первое</v>
      </c>
      <c r="F6437">
        <f>VLOOKUP(C6437,Меню!A:E,5,0)</f>
        <v>250</v>
      </c>
    </row>
    <row r="6438" spans="1:6" ht="15.75" hidden="1" customHeight="1" x14ac:dyDescent="0.35">
      <c r="A6438" s="1">
        <v>6437</v>
      </c>
      <c r="B6438" s="1">
        <v>1275</v>
      </c>
      <c r="C6438" s="1">
        <v>46</v>
      </c>
      <c r="D6438" t="str">
        <f>VLOOKUP(B6438,Заказы!A:C,3,0)</f>
        <v>2024-01-06 21:47:00</v>
      </c>
      <c r="E6438" t="str">
        <f>VLOOKUP(C6438,Меню!A:E,4,0)</f>
        <v>Суши</v>
      </c>
      <c r="F6438">
        <f>VLOOKUP(C6438,Меню!A:E,5,0)</f>
        <v>200</v>
      </c>
    </row>
    <row r="6439" spans="1:6" ht="15.75" hidden="1" customHeight="1" x14ac:dyDescent="0.35">
      <c r="A6439" s="1">
        <v>6438</v>
      </c>
      <c r="B6439" s="1">
        <v>1276</v>
      </c>
      <c r="C6439" s="1">
        <v>47</v>
      </c>
      <c r="D6439" t="str">
        <f>VLOOKUP(B6439,Заказы!A:C,3,0)</f>
        <v>2024-01-07 16:41:00</v>
      </c>
      <c r="E6439" t="str">
        <f>VLOOKUP(C6439,Меню!A:E,4,0)</f>
        <v>Суши</v>
      </c>
      <c r="F6439">
        <f>VLOOKUP(C6439,Меню!A:E,5,0)</f>
        <v>200</v>
      </c>
    </row>
    <row r="6440" spans="1:6" ht="15.75" hidden="1" customHeight="1" x14ac:dyDescent="0.35">
      <c r="A6440" s="1">
        <v>6439</v>
      </c>
      <c r="B6440" s="1">
        <v>1276</v>
      </c>
      <c r="C6440" s="1">
        <v>9</v>
      </c>
      <c r="D6440" t="str">
        <f>VLOOKUP(B6440,Заказы!A:C,3,0)</f>
        <v>2024-01-07 16:41:00</v>
      </c>
      <c r="E6440" t="str">
        <f>VLOOKUP(C6440,Меню!A:E,4,0)</f>
        <v>Завтрак</v>
      </c>
      <c r="F6440">
        <f>VLOOKUP(C6440,Меню!A:E,5,0)</f>
        <v>220</v>
      </c>
    </row>
    <row r="6441" spans="1:6" ht="15.75" customHeight="1" x14ac:dyDescent="0.35">
      <c r="A6441" s="1">
        <v>6440</v>
      </c>
      <c r="B6441" s="1">
        <v>1276</v>
      </c>
      <c r="C6441" s="1">
        <v>39</v>
      </c>
      <c r="D6441" t="str">
        <f>VLOOKUP(B6441,Заказы!A:C,3,0)</f>
        <v>2024-01-07 16:41:00</v>
      </c>
      <c r="E6441" t="str">
        <f>VLOOKUP(C6441,Меню!A:E,4,0)</f>
        <v>Десерт</v>
      </c>
      <c r="F6441">
        <f>VLOOKUP(C6441,Меню!A:E,5,0)</f>
        <v>150</v>
      </c>
    </row>
    <row r="6442" spans="1:6" ht="15.75" hidden="1" customHeight="1" x14ac:dyDescent="0.35">
      <c r="A6442" s="1">
        <v>6441</v>
      </c>
      <c r="B6442" s="1">
        <v>1276</v>
      </c>
      <c r="C6442" s="1">
        <v>56</v>
      </c>
      <c r="D6442" t="str">
        <f>VLOOKUP(B6442,Заказы!A:C,3,0)</f>
        <v>2024-01-07 16:41:00</v>
      </c>
      <c r="E6442" t="str">
        <f>VLOOKUP(C6442,Меню!A:E,4,0)</f>
        <v>Суши</v>
      </c>
      <c r="F6442">
        <f>VLOOKUP(C6442,Меню!A:E,5,0)</f>
        <v>200</v>
      </c>
    </row>
    <row r="6443" spans="1:6" ht="15.75" hidden="1" customHeight="1" x14ac:dyDescent="0.35">
      <c r="A6443" s="1">
        <v>6442</v>
      </c>
      <c r="B6443" s="1">
        <v>1276</v>
      </c>
      <c r="C6443" s="1">
        <v>12</v>
      </c>
      <c r="D6443" t="str">
        <f>VLOOKUP(B6443,Заказы!A:C,3,0)</f>
        <v>2024-01-07 16:41:00</v>
      </c>
      <c r="E6443" t="str">
        <f>VLOOKUP(C6443,Меню!A:E,4,0)</f>
        <v>Первое</v>
      </c>
      <c r="F6443">
        <f>VLOOKUP(C6443,Меню!A:E,5,0)</f>
        <v>300</v>
      </c>
    </row>
    <row r="6444" spans="1:6" ht="15.75" hidden="1" customHeight="1" x14ac:dyDescent="0.35">
      <c r="A6444" s="1">
        <v>6443</v>
      </c>
      <c r="B6444" s="1">
        <v>1277</v>
      </c>
      <c r="C6444" s="1">
        <v>7</v>
      </c>
      <c r="D6444" t="str">
        <f>VLOOKUP(B6444,Заказы!A:C,3,0)</f>
        <v>2024-01-07 16:50:00</v>
      </c>
      <c r="E6444" t="str">
        <f>VLOOKUP(C6444,Меню!A:E,4,0)</f>
        <v>Завтрак</v>
      </c>
      <c r="F6444">
        <f>VLOOKUP(C6444,Меню!A:E,5,0)</f>
        <v>200</v>
      </c>
    </row>
    <row r="6445" spans="1:6" ht="15.75" hidden="1" customHeight="1" x14ac:dyDescent="0.35">
      <c r="A6445" s="1">
        <v>6444</v>
      </c>
      <c r="B6445" s="1">
        <v>1277</v>
      </c>
      <c r="C6445" s="1">
        <v>4</v>
      </c>
      <c r="D6445" t="str">
        <f>VLOOKUP(B6445,Заказы!A:C,3,0)</f>
        <v>2024-01-07 16:50:00</v>
      </c>
      <c r="E6445" t="str">
        <f>VLOOKUP(C6445,Меню!A:E,4,0)</f>
        <v>Завтрак</v>
      </c>
      <c r="F6445">
        <f>VLOOKUP(C6445,Меню!A:E,5,0)</f>
        <v>180</v>
      </c>
    </row>
    <row r="6446" spans="1:6" ht="15.75" customHeight="1" x14ac:dyDescent="0.35">
      <c r="A6446" s="1">
        <v>6445</v>
      </c>
      <c r="B6446" s="1">
        <v>1277</v>
      </c>
      <c r="C6446" s="1">
        <v>35</v>
      </c>
      <c r="D6446" t="str">
        <f>VLOOKUP(B6446,Заказы!A:C,3,0)</f>
        <v>2024-01-07 16:50:00</v>
      </c>
      <c r="E6446" t="str">
        <f>VLOOKUP(C6446,Меню!A:E,4,0)</f>
        <v>Десерт</v>
      </c>
      <c r="F6446">
        <f>VLOOKUP(C6446,Меню!A:E,5,0)</f>
        <v>150</v>
      </c>
    </row>
    <row r="6447" spans="1:6" ht="15.75" hidden="1" customHeight="1" x14ac:dyDescent="0.35">
      <c r="A6447" s="1">
        <v>6446</v>
      </c>
      <c r="B6447" s="1">
        <v>1277</v>
      </c>
      <c r="C6447" s="1">
        <v>50</v>
      </c>
      <c r="D6447" t="str">
        <f>VLOOKUP(B6447,Заказы!A:C,3,0)</f>
        <v>2024-01-07 16:50:00</v>
      </c>
      <c r="E6447" t="str">
        <f>VLOOKUP(C6447,Меню!A:E,4,0)</f>
        <v>Суши</v>
      </c>
      <c r="F6447">
        <f>VLOOKUP(C6447,Меню!A:E,5,0)</f>
        <v>200</v>
      </c>
    </row>
    <row r="6448" spans="1:6" ht="15.75" hidden="1" customHeight="1" x14ac:dyDescent="0.35">
      <c r="A6448" s="1">
        <v>6447</v>
      </c>
      <c r="B6448" s="1">
        <v>1277</v>
      </c>
      <c r="C6448" s="1">
        <v>54</v>
      </c>
      <c r="D6448" t="str">
        <f>VLOOKUP(B6448,Заказы!A:C,3,0)</f>
        <v>2024-01-07 16:50:00</v>
      </c>
      <c r="E6448" t="str">
        <f>VLOOKUP(C6448,Меню!A:E,4,0)</f>
        <v>Суши</v>
      </c>
      <c r="F6448">
        <f>VLOOKUP(C6448,Меню!A:E,5,0)</f>
        <v>100</v>
      </c>
    </row>
    <row r="6449" spans="1:6" ht="15.75" hidden="1" customHeight="1" x14ac:dyDescent="0.35">
      <c r="A6449" s="1">
        <v>6448</v>
      </c>
      <c r="B6449" s="1">
        <v>1277</v>
      </c>
      <c r="C6449" s="1">
        <v>5</v>
      </c>
      <c r="D6449" t="str">
        <f>VLOOKUP(B6449,Заказы!A:C,3,0)</f>
        <v>2024-01-07 16:50:00</v>
      </c>
      <c r="E6449" t="str">
        <f>VLOOKUP(C6449,Меню!A:E,4,0)</f>
        <v>Завтрак</v>
      </c>
      <c r="F6449">
        <f>VLOOKUP(C6449,Меню!A:E,5,0)</f>
        <v>220</v>
      </c>
    </row>
    <row r="6450" spans="1:6" ht="15.75" customHeight="1" x14ac:dyDescent="0.35">
      <c r="A6450" s="1">
        <v>6449</v>
      </c>
      <c r="B6450" s="1">
        <v>1277</v>
      </c>
      <c r="C6450" s="1">
        <v>33</v>
      </c>
      <c r="D6450" t="str">
        <f>VLOOKUP(B6450,Заказы!A:C,3,0)</f>
        <v>2024-01-07 16:50:00</v>
      </c>
      <c r="E6450" t="str">
        <f>VLOOKUP(C6450,Меню!A:E,4,0)</f>
        <v>Десерт</v>
      </c>
      <c r="F6450">
        <f>VLOOKUP(C6450,Меню!A:E,5,0)</f>
        <v>150</v>
      </c>
    </row>
    <row r="6451" spans="1:6" ht="15.75" hidden="1" customHeight="1" x14ac:dyDescent="0.35">
      <c r="A6451" s="1">
        <v>6450</v>
      </c>
      <c r="B6451" s="1">
        <v>1277</v>
      </c>
      <c r="C6451" s="1">
        <v>58</v>
      </c>
      <c r="D6451" t="str">
        <f>VLOOKUP(B6451,Заказы!A:C,3,0)</f>
        <v>2024-01-07 16:50:00</v>
      </c>
      <c r="E6451" t="str">
        <f>VLOOKUP(C6451,Меню!A:E,4,0)</f>
        <v>Суши</v>
      </c>
      <c r="F6451">
        <f>VLOOKUP(C6451,Меню!A:E,5,0)</f>
        <v>200</v>
      </c>
    </row>
    <row r="6452" spans="1:6" ht="15.75" hidden="1" customHeight="1" x14ac:dyDescent="0.35">
      <c r="A6452" s="1">
        <v>6451</v>
      </c>
      <c r="B6452" s="1">
        <v>1277</v>
      </c>
      <c r="C6452" s="1">
        <v>53</v>
      </c>
      <c r="D6452" t="str">
        <f>VLOOKUP(B6452,Заказы!A:C,3,0)</f>
        <v>2024-01-07 16:50:00</v>
      </c>
      <c r="E6452" t="str">
        <f>VLOOKUP(C6452,Меню!A:E,4,0)</f>
        <v>Суши</v>
      </c>
      <c r="F6452">
        <f>VLOOKUP(C6452,Меню!A:E,5,0)</f>
        <v>100</v>
      </c>
    </row>
    <row r="6453" spans="1:6" ht="15.75" hidden="1" customHeight="1" x14ac:dyDescent="0.35">
      <c r="A6453" s="1">
        <v>6452</v>
      </c>
      <c r="B6453" s="1">
        <v>1277</v>
      </c>
      <c r="C6453" s="1">
        <v>16</v>
      </c>
      <c r="D6453" t="str">
        <f>VLOOKUP(B6453,Заказы!A:C,3,0)</f>
        <v>2024-01-07 16:50:00</v>
      </c>
      <c r="E6453" t="str">
        <f>VLOOKUP(C6453,Меню!A:E,4,0)</f>
        <v>Первое</v>
      </c>
      <c r="F6453">
        <f>VLOOKUP(C6453,Меню!A:E,5,0)</f>
        <v>250</v>
      </c>
    </row>
    <row r="6454" spans="1:6" ht="15.75" hidden="1" customHeight="1" x14ac:dyDescent="0.35">
      <c r="A6454" s="1">
        <v>6453</v>
      </c>
      <c r="B6454" s="1">
        <v>1277</v>
      </c>
      <c r="C6454" s="1">
        <v>49</v>
      </c>
      <c r="D6454" t="str">
        <f>VLOOKUP(B6454,Заказы!A:C,3,0)</f>
        <v>2024-01-07 16:50:00</v>
      </c>
      <c r="E6454" t="str">
        <f>VLOOKUP(C6454,Меню!A:E,4,0)</f>
        <v>Суши</v>
      </c>
      <c r="F6454">
        <f>VLOOKUP(C6454,Меню!A:E,5,0)</f>
        <v>200</v>
      </c>
    </row>
    <row r="6455" spans="1:6" ht="15.75" hidden="1" customHeight="1" x14ac:dyDescent="0.35">
      <c r="A6455" s="1">
        <v>6454</v>
      </c>
      <c r="B6455" s="1">
        <v>1278</v>
      </c>
      <c r="C6455" s="1">
        <v>25</v>
      </c>
      <c r="D6455" t="str">
        <f>VLOOKUP(B6455,Заказы!A:C,3,0)</f>
        <v>2024-01-07 16:59:00</v>
      </c>
      <c r="E6455" t="str">
        <f>VLOOKUP(C6455,Меню!A:E,4,0)</f>
        <v>Салат</v>
      </c>
      <c r="F6455">
        <f>VLOOKUP(C6455,Меню!A:E,5,0)</f>
        <v>250</v>
      </c>
    </row>
    <row r="6456" spans="1:6" ht="15.75" hidden="1" customHeight="1" x14ac:dyDescent="0.35">
      <c r="A6456" s="1">
        <v>6455</v>
      </c>
      <c r="B6456" s="1">
        <v>1278</v>
      </c>
      <c r="C6456" s="1">
        <v>45</v>
      </c>
      <c r="D6456" t="str">
        <f>VLOOKUP(B6456,Заказы!A:C,3,0)</f>
        <v>2024-01-07 16:59:00</v>
      </c>
      <c r="E6456" t="str">
        <f>VLOOKUP(C6456,Меню!A:E,4,0)</f>
        <v>Суши</v>
      </c>
      <c r="F6456">
        <f>VLOOKUP(C6456,Меню!A:E,5,0)</f>
        <v>200</v>
      </c>
    </row>
    <row r="6457" spans="1:6" ht="15.75" hidden="1" customHeight="1" x14ac:dyDescent="0.35">
      <c r="A6457" s="1">
        <v>6456</v>
      </c>
      <c r="B6457" s="1">
        <v>1278</v>
      </c>
      <c r="C6457" s="1">
        <v>8</v>
      </c>
      <c r="D6457" t="str">
        <f>VLOOKUP(B6457,Заказы!A:C,3,0)</f>
        <v>2024-01-07 16:59:00</v>
      </c>
      <c r="E6457" t="str">
        <f>VLOOKUP(C6457,Меню!A:E,4,0)</f>
        <v>Завтрак</v>
      </c>
      <c r="F6457">
        <f>VLOOKUP(C6457,Меню!A:E,5,0)</f>
        <v>180</v>
      </c>
    </row>
    <row r="6458" spans="1:6" ht="15.75" hidden="1" customHeight="1" x14ac:dyDescent="0.35">
      <c r="A6458" s="1">
        <v>6457</v>
      </c>
      <c r="B6458" s="1">
        <v>1278</v>
      </c>
      <c r="C6458" s="1">
        <v>54</v>
      </c>
      <c r="D6458" t="str">
        <f>VLOOKUP(B6458,Заказы!A:C,3,0)</f>
        <v>2024-01-07 16:59:00</v>
      </c>
      <c r="E6458" t="str">
        <f>VLOOKUP(C6458,Меню!A:E,4,0)</f>
        <v>Суши</v>
      </c>
      <c r="F6458">
        <f>VLOOKUP(C6458,Меню!A:E,5,0)</f>
        <v>100</v>
      </c>
    </row>
    <row r="6459" spans="1:6" ht="15.75" customHeight="1" x14ac:dyDescent="0.35">
      <c r="A6459" s="1">
        <v>6458</v>
      </c>
      <c r="B6459" s="1">
        <v>1278</v>
      </c>
      <c r="C6459" s="1">
        <v>35</v>
      </c>
      <c r="D6459" t="str">
        <f>VLOOKUP(B6459,Заказы!A:C,3,0)</f>
        <v>2024-01-07 16:59:00</v>
      </c>
      <c r="E6459" t="str">
        <f>VLOOKUP(C6459,Меню!A:E,4,0)</f>
        <v>Десерт</v>
      </c>
      <c r="F6459">
        <f>VLOOKUP(C6459,Меню!A:E,5,0)</f>
        <v>150</v>
      </c>
    </row>
    <row r="6460" spans="1:6" ht="15.75" hidden="1" customHeight="1" x14ac:dyDescent="0.35">
      <c r="A6460" s="1">
        <v>6459</v>
      </c>
      <c r="B6460" s="1">
        <v>1278</v>
      </c>
      <c r="C6460" s="1">
        <v>9</v>
      </c>
      <c r="D6460" t="str">
        <f>VLOOKUP(B6460,Заказы!A:C,3,0)</f>
        <v>2024-01-07 16:59:00</v>
      </c>
      <c r="E6460" t="str">
        <f>VLOOKUP(C6460,Меню!A:E,4,0)</f>
        <v>Завтрак</v>
      </c>
      <c r="F6460">
        <f>VLOOKUP(C6460,Меню!A:E,5,0)</f>
        <v>220</v>
      </c>
    </row>
    <row r="6461" spans="1:6" ht="15.75" hidden="1" customHeight="1" x14ac:dyDescent="0.35">
      <c r="A6461" s="1">
        <v>6460</v>
      </c>
      <c r="B6461" s="1">
        <v>1278</v>
      </c>
      <c r="C6461" s="1">
        <v>57</v>
      </c>
      <c r="D6461" t="str">
        <f>VLOOKUP(B6461,Заказы!A:C,3,0)</f>
        <v>2024-01-07 16:59:00</v>
      </c>
      <c r="E6461" t="str">
        <f>VLOOKUP(C6461,Меню!A:E,4,0)</f>
        <v>Суши</v>
      </c>
      <c r="F6461">
        <f>VLOOKUP(C6461,Меню!A:E,5,0)</f>
        <v>200</v>
      </c>
    </row>
    <row r="6462" spans="1:6" ht="15.75" hidden="1" customHeight="1" x14ac:dyDescent="0.35">
      <c r="A6462" s="1">
        <v>6461</v>
      </c>
      <c r="B6462" s="1">
        <v>1279</v>
      </c>
      <c r="C6462" s="1">
        <v>23</v>
      </c>
      <c r="D6462" t="str">
        <f>VLOOKUP(B6462,Заказы!A:C,3,0)</f>
        <v>2024-01-07 21:43:00</v>
      </c>
      <c r="E6462" t="str">
        <f>VLOOKUP(C6462,Меню!A:E,4,0)</f>
        <v>Салат</v>
      </c>
      <c r="F6462">
        <f>VLOOKUP(C6462,Меню!A:E,5,0)</f>
        <v>250</v>
      </c>
    </row>
    <row r="6463" spans="1:6" ht="15.75" hidden="1" customHeight="1" x14ac:dyDescent="0.35">
      <c r="A6463" s="1">
        <v>6462</v>
      </c>
      <c r="B6463" s="1">
        <v>1279</v>
      </c>
      <c r="C6463" s="1">
        <v>5</v>
      </c>
      <c r="D6463" t="str">
        <f>VLOOKUP(B6463,Заказы!A:C,3,0)</f>
        <v>2024-01-07 21:43:00</v>
      </c>
      <c r="E6463" t="str">
        <f>VLOOKUP(C6463,Меню!A:E,4,0)</f>
        <v>Завтрак</v>
      </c>
      <c r="F6463">
        <f>VLOOKUP(C6463,Меню!A:E,5,0)</f>
        <v>220</v>
      </c>
    </row>
    <row r="6464" spans="1:6" ht="15.75" hidden="1" customHeight="1" x14ac:dyDescent="0.35">
      <c r="A6464" s="1">
        <v>6463</v>
      </c>
      <c r="B6464" s="1">
        <v>1279</v>
      </c>
      <c r="C6464" s="1">
        <v>13</v>
      </c>
      <c r="D6464" t="str">
        <f>VLOOKUP(B6464,Заказы!A:C,3,0)</f>
        <v>2024-01-07 21:43:00</v>
      </c>
      <c r="E6464" t="str">
        <f>VLOOKUP(C6464,Меню!A:E,4,0)</f>
        <v>Первое</v>
      </c>
      <c r="F6464">
        <f>VLOOKUP(C6464,Меню!A:E,5,0)</f>
        <v>280</v>
      </c>
    </row>
    <row r="6465" spans="1:6" ht="15.75" hidden="1" customHeight="1" x14ac:dyDescent="0.35">
      <c r="A6465" s="1">
        <v>6464</v>
      </c>
      <c r="B6465" s="1">
        <v>1279</v>
      </c>
      <c r="C6465" s="1">
        <v>22</v>
      </c>
      <c r="D6465" t="str">
        <f>VLOOKUP(B6465,Заказы!A:C,3,0)</f>
        <v>2024-01-07 21:43:00</v>
      </c>
      <c r="E6465" t="str">
        <f>VLOOKUP(C6465,Меню!A:E,4,0)</f>
        <v>Салат</v>
      </c>
      <c r="F6465">
        <f>VLOOKUP(C6465,Меню!A:E,5,0)</f>
        <v>250</v>
      </c>
    </row>
    <row r="6466" spans="1:6" ht="15.75" customHeight="1" x14ac:dyDescent="0.35">
      <c r="A6466" s="1">
        <v>6465</v>
      </c>
      <c r="B6466" s="1">
        <v>1279</v>
      </c>
      <c r="C6466" s="1">
        <v>33</v>
      </c>
      <c r="D6466" t="str">
        <f>VLOOKUP(B6466,Заказы!A:C,3,0)</f>
        <v>2024-01-07 21:43:00</v>
      </c>
      <c r="E6466" t="str">
        <f>VLOOKUP(C6466,Меню!A:E,4,0)</f>
        <v>Десерт</v>
      </c>
      <c r="F6466">
        <f>VLOOKUP(C6466,Меню!A:E,5,0)</f>
        <v>150</v>
      </c>
    </row>
    <row r="6467" spans="1:6" ht="15.75" customHeight="1" x14ac:dyDescent="0.35">
      <c r="A6467" s="1">
        <v>6466</v>
      </c>
      <c r="B6467" s="1">
        <v>1279</v>
      </c>
      <c r="C6467" s="1">
        <v>32</v>
      </c>
      <c r="D6467" t="str">
        <f>VLOOKUP(B6467,Заказы!A:C,3,0)</f>
        <v>2024-01-07 21:43:00</v>
      </c>
      <c r="E6467" t="str">
        <f>VLOOKUP(C6467,Меню!A:E,4,0)</f>
        <v>Десерт</v>
      </c>
      <c r="F6467">
        <f>VLOOKUP(C6467,Меню!A:E,5,0)</f>
        <v>150</v>
      </c>
    </row>
    <row r="6468" spans="1:6" ht="15.75" hidden="1" customHeight="1" x14ac:dyDescent="0.35">
      <c r="A6468" s="1">
        <v>6467</v>
      </c>
      <c r="B6468" s="1">
        <v>1280</v>
      </c>
      <c r="C6468" s="1">
        <v>4</v>
      </c>
      <c r="D6468" t="str">
        <f>VLOOKUP(B6468,Заказы!A:C,3,0)</f>
        <v>2024-01-07 21:55:00</v>
      </c>
      <c r="E6468" t="str">
        <f>VLOOKUP(C6468,Меню!A:E,4,0)</f>
        <v>Завтрак</v>
      </c>
      <c r="F6468">
        <f>VLOOKUP(C6468,Меню!A:E,5,0)</f>
        <v>180</v>
      </c>
    </row>
    <row r="6469" spans="1:6" ht="15.75" hidden="1" customHeight="1" x14ac:dyDescent="0.35">
      <c r="A6469" s="1">
        <v>6468</v>
      </c>
      <c r="B6469" s="1">
        <v>1280</v>
      </c>
      <c r="C6469" s="1">
        <v>45</v>
      </c>
      <c r="D6469" t="str">
        <f>VLOOKUP(B6469,Заказы!A:C,3,0)</f>
        <v>2024-01-07 21:55:00</v>
      </c>
      <c r="E6469" t="str">
        <f>VLOOKUP(C6469,Меню!A:E,4,0)</f>
        <v>Суши</v>
      </c>
      <c r="F6469">
        <f>VLOOKUP(C6469,Меню!A:E,5,0)</f>
        <v>200</v>
      </c>
    </row>
    <row r="6470" spans="1:6" ht="15.75" hidden="1" customHeight="1" x14ac:dyDescent="0.35">
      <c r="A6470" s="1">
        <v>6469</v>
      </c>
      <c r="B6470" s="1">
        <v>1281</v>
      </c>
      <c r="C6470" s="1">
        <v>41</v>
      </c>
      <c r="D6470" t="str">
        <f>VLOOKUP(B6470,Заказы!A:C,3,0)</f>
        <v>2024-01-07 22:20:00</v>
      </c>
      <c r="E6470" t="str">
        <f>VLOOKUP(C6470,Меню!A:E,4,0)</f>
        <v>Суши</v>
      </c>
      <c r="F6470">
        <f>VLOOKUP(C6470,Меню!A:E,5,0)</f>
        <v>220</v>
      </c>
    </row>
    <row r="6471" spans="1:6" ht="15.75" hidden="1" customHeight="1" x14ac:dyDescent="0.35">
      <c r="A6471" s="1">
        <v>6470</v>
      </c>
      <c r="B6471" s="1">
        <v>1281</v>
      </c>
      <c r="C6471" s="1">
        <v>41</v>
      </c>
      <c r="D6471" t="str">
        <f>VLOOKUP(B6471,Заказы!A:C,3,0)</f>
        <v>2024-01-07 22:20:00</v>
      </c>
      <c r="E6471" t="str">
        <f>VLOOKUP(C6471,Меню!A:E,4,0)</f>
        <v>Суши</v>
      </c>
      <c r="F6471">
        <f>VLOOKUP(C6471,Меню!A:E,5,0)</f>
        <v>220</v>
      </c>
    </row>
    <row r="6472" spans="1:6" ht="15.75" hidden="1" customHeight="1" x14ac:dyDescent="0.35">
      <c r="A6472" s="1">
        <v>6471</v>
      </c>
      <c r="B6472" s="1">
        <v>1281</v>
      </c>
      <c r="C6472" s="1">
        <v>24</v>
      </c>
      <c r="D6472" t="str">
        <f>VLOOKUP(B6472,Заказы!A:C,3,0)</f>
        <v>2024-01-07 22:20:00</v>
      </c>
      <c r="E6472" t="str">
        <f>VLOOKUP(C6472,Меню!A:E,4,0)</f>
        <v>Салат</v>
      </c>
      <c r="F6472">
        <f>VLOOKUP(C6472,Меню!A:E,5,0)</f>
        <v>250</v>
      </c>
    </row>
    <row r="6473" spans="1:6" ht="15.75" hidden="1" customHeight="1" x14ac:dyDescent="0.35">
      <c r="A6473" s="1">
        <v>6472</v>
      </c>
      <c r="B6473" s="1">
        <v>1281</v>
      </c>
      <c r="C6473" s="1">
        <v>53</v>
      </c>
      <c r="D6473" t="str">
        <f>VLOOKUP(B6473,Заказы!A:C,3,0)</f>
        <v>2024-01-07 22:20:00</v>
      </c>
      <c r="E6473" t="str">
        <f>VLOOKUP(C6473,Меню!A:E,4,0)</f>
        <v>Суши</v>
      </c>
      <c r="F6473">
        <f>VLOOKUP(C6473,Меню!A:E,5,0)</f>
        <v>100</v>
      </c>
    </row>
    <row r="6474" spans="1:6" ht="15.75" hidden="1" customHeight="1" x14ac:dyDescent="0.35">
      <c r="A6474" s="1">
        <v>6473</v>
      </c>
      <c r="B6474" s="1">
        <v>1281</v>
      </c>
      <c r="C6474" s="1">
        <v>54</v>
      </c>
      <c r="D6474" t="str">
        <f>VLOOKUP(B6474,Заказы!A:C,3,0)</f>
        <v>2024-01-07 22:20:00</v>
      </c>
      <c r="E6474" t="str">
        <f>VLOOKUP(C6474,Меню!A:E,4,0)</f>
        <v>Суши</v>
      </c>
      <c r="F6474">
        <f>VLOOKUP(C6474,Меню!A:E,5,0)</f>
        <v>100</v>
      </c>
    </row>
    <row r="6475" spans="1:6" ht="15.75" hidden="1" customHeight="1" x14ac:dyDescent="0.35">
      <c r="A6475" s="1">
        <v>6474</v>
      </c>
      <c r="B6475" s="1">
        <v>1282</v>
      </c>
      <c r="C6475" s="1">
        <v>6</v>
      </c>
      <c r="D6475" t="str">
        <f>VLOOKUP(B6475,Заказы!A:C,3,0)</f>
        <v>2024-01-08 18:17:00</v>
      </c>
      <c r="E6475" t="str">
        <f>VLOOKUP(C6475,Меню!A:E,4,0)</f>
        <v>Завтрак</v>
      </c>
      <c r="F6475">
        <f>VLOOKUP(C6475,Меню!A:E,5,0)</f>
        <v>300</v>
      </c>
    </row>
    <row r="6476" spans="1:6" ht="15.75" hidden="1" customHeight="1" x14ac:dyDescent="0.35">
      <c r="A6476" s="1">
        <v>6475</v>
      </c>
      <c r="B6476" s="1">
        <v>1282</v>
      </c>
      <c r="C6476" s="1">
        <v>2</v>
      </c>
      <c r="D6476" t="str">
        <f>VLOOKUP(B6476,Заказы!A:C,3,0)</f>
        <v>2024-01-08 18:17:00</v>
      </c>
      <c r="E6476" t="str">
        <f>VLOOKUP(C6476,Меню!A:E,4,0)</f>
        <v>Завтрак</v>
      </c>
      <c r="F6476">
        <f>VLOOKUP(C6476,Меню!A:E,5,0)</f>
        <v>250</v>
      </c>
    </row>
    <row r="6477" spans="1:6" ht="15.75" hidden="1" customHeight="1" x14ac:dyDescent="0.35">
      <c r="A6477" s="1">
        <v>6476</v>
      </c>
      <c r="B6477" s="1">
        <v>1282</v>
      </c>
      <c r="C6477" s="1">
        <v>55</v>
      </c>
      <c r="D6477" t="str">
        <f>VLOOKUP(B6477,Заказы!A:C,3,0)</f>
        <v>2024-01-08 18:17:00</v>
      </c>
      <c r="E6477" t="str">
        <f>VLOOKUP(C6477,Меню!A:E,4,0)</f>
        <v>Суши</v>
      </c>
      <c r="F6477">
        <f>VLOOKUP(C6477,Меню!A:E,5,0)</f>
        <v>100</v>
      </c>
    </row>
    <row r="6478" spans="1:6" ht="15.75" customHeight="1" x14ac:dyDescent="0.35">
      <c r="A6478" s="1">
        <v>6477</v>
      </c>
      <c r="B6478" s="1">
        <v>1282</v>
      </c>
      <c r="C6478" s="1">
        <v>37</v>
      </c>
      <c r="D6478" t="str">
        <f>VLOOKUP(B6478,Заказы!A:C,3,0)</f>
        <v>2024-01-08 18:17:00</v>
      </c>
      <c r="E6478" t="str">
        <f>VLOOKUP(C6478,Меню!A:E,4,0)</f>
        <v>Десерт</v>
      </c>
      <c r="F6478">
        <f>VLOOKUP(C6478,Меню!A:E,5,0)</f>
        <v>100</v>
      </c>
    </row>
    <row r="6479" spans="1:6" ht="15.75" hidden="1" customHeight="1" x14ac:dyDescent="0.35">
      <c r="A6479" s="1">
        <v>6478</v>
      </c>
      <c r="B6479" s="1">
        <v>1282</v>
      </c>
      <c r="C6479" s="1">
        <v>11</v>
      </c>
      <c r="D6479" t="str">
        <f>VLOOKUP(B6479,Заказы!A:C,3,0)</f>
        <v>2024-01-08 18:17:00</v>
      </c>
      <c r="E6479" t="str">
        <f>VLOOKUP(C6479,Меню!A:E,4,0)</f>
        <v>Первое</v>
      </c>
      <c r="F6479">
        <f>VLOOKUP(C6479,Меню!A:E,5,0)</f>
        <v>300</v>
      </c>
    </row>
    <row r="6480" spans="1:6" ht="15.75" hidden="1" customHeight="1" x14ac:dyDescent="0.35">
      <c r="A6480" s="1">
        <v>6479</v>
      </c>
      <c r="B6480" s="1">
        <v>1283</v>
      </c>
      <c r="C6480" s="1">
        <v>45</v>
      </c>
      <c r="D6480" t="str">
        <f>VLOOKUP(B6480,Заказы!A:C,3,0)</f>
        <v>2024-01-08 22:32:00</v>
      </c>
      <c r="E6480" t="str">
        <f>VLOOKUP(C6480,Меню!A:E,4,0)</f>
        <v>Суши</v>
      </c>
      <c r="F6480">
        <f>VLOOKUP(C6480,Меню!A:E,5,0)</f>
        <v>200</v>
      </c>
    </row>
    <row r="6481" spans="1:6" ht="15.75" customHeight="1" x14ac:dyDescent="0.35">
      <c r="A6481" s="1">
        <v>6480</v>
      </c>
      <c r="B6481" s="1">
        <v>1283</v>
      </c>
      <c r="C6481" s="1">
        <v>33</v>
      </c>
      <c r="D6481" t="str">
        <f>VLOOKUP(B6481,Заказы!A:C,3,0)</f>
        <v>2024-01-08 22:32:00</v>
      </c>
      <c r="E6481" t="str">
        <f>VLOOKUP(C6481,Меню!A:E,4,0)</f>
        <v>Десерт</v>
      </c>
      <c r="F6481">
        <f>VLOOKUP(C6481,Меню!A:E,5,0)</f>
        <v>150</v>
      </c>
    </row>
    <row r="6482" spans="1:6" ht="15.75" hidden="1" customHeight="1" x14ac:dyDescent="0.35">
      <c r="A6482" s="1">
        <v>6481</v>
      </c>
      <c r="B6482" s="1">
        <v>1283</v>
      </c>
      <c r="C6482" s="1">
        <v>17</v>
      </c>
      <c r="D6482" t="str">
        <f>VLOOKUP(B6482,Заказы!A:C,3,0)</f>
        <v>2024-01-08 22:32:00</v>
      </c>
      <c r="E6482" t="str">
        <f>VLOOKUP(C6482,Меню!A:E,4,0)</f>
        <v>Первое</v>
      </c>
      <c r="F6482">
        <f>VLOOKUP(C6482,Меню!A:E,5,0)</f>
        <v>250</v>
      </c>
    </row>
    <row r="6483" spans="1:6" ht="15.75" customHeight="1" x14ac:dyDescent="0.35">
      <c r="A6483" s="1">
        <v>6482</v>
      </c>
      <c r="B6483" s="1">
        <v>1283</v>
      </c>
      <c r="C6483" s="1">
        <v>39</v>
      </c>
      <c r="D6483" t="str">
        <f>VLOOKUP(B6483,Заказы!A:C,3,0)</f>
        <v>2024-01-08 22:32:00</v>
      </c>
      <c r="E6483" t="str">
        <f>VLOOKUP(C6483,Меню!A:E,4,0)</f>
        <v>Десерт</v>
      </c>
      <c r="F6483">
        <f>VLOOKUP(C6483,Меню!A:E,5,0)</f>
        <v>150</v>
      </c>
    </row>
    <row r="6484" spans="1:6" ht="15.75" hidden="1" customHeight="1" x14ac:dyDescent="0.35">
      <c r="A6484" s="1">
        <v>6483</v>
      </c>
      <c r="B6484" s="1">
        <v>1283</v>
      </c>
      <c r="C6484" s="1">
        <v>58</v>
      </c>
      <c r="D6484" t="str">
        <f>VLOOKUP(B6484,Заказы!A:C,3,0)</f>
        <v>2024-01-08 22:32:00</v>
      </c>
      <c r="E6484" t="str">
        <f>VLOOKUP(C6484,Меню!A:E,4,0)</f>
        <v>Суши</v>
      </c>
      <c r="F6484">
        <f>VLOOKUP(C6484,Меню!A:E,5,0)</f>
        <v>200</v>
      </c>
    </row>
    <row r="6485" spans="1:6" ht="15.75" hidden="1" customHeight="1" x14ac:dyDescent="0.35">
      <c r="A6485" s="1">
        <v>6484</v>
      </c>
      <c r="B6485" s="1">
        <v>1284</v>
      </c>
      <c r="C6485" s="1">
        <v>13</v>
      </c>
      <c r="D6485" t="str">
        <f>VLOOKUP(B6485,Заказы!A:C,3,0)</f>
        <v>2024-01-08 22:56:00</v>
      </c>
      <c r="E6485" t="str">
        <f>VLOOKUP(C6485,Меню!A:E,4,0)</f>
        <v>Первое</v>
      </c>
      <c r="F6485">
        <f>VLOOKUP(C6485,Меню!A:E,5,0)</f>
        <v>280</v>
      </c>
    </row>
    <row r="6486" spans="1:6" ht="15.75" hidden="1" customHeight="1" x14ac:dyDescent="0.35">
      <c r="A6486" s="1">
        <v>6485</v>
      </c>
      <c r="B6486" s="1">
        <v>1284</v>
      </c>
      <c r="C6486" s="1">
        <v>49</v>
      </c>
      <c r="D6486" t="str">
        <f>VLOOKUP(B6486,Заказы!A:C,3,0)</f>
        <v>2024-01-08 22:56:00</v>
      </c>
      <c r="E6486" t="str">
        <f>VLOOKUP(C6486,Меню!A:E,4,0)</f>
        <v>Суши</v>
      </c>
      <c r="F6486">
        <f>VLOOKUP(C6486,Меню!A:E,5,0)</f>
        <v>200</v>
      </c>
    </row>
    <row r="6487" spans="1:6" ht="15.75" hidden="1" customHeight="1" x14ac:dyDescent="0.35">
      <c r="A6487" s="1">
        <v>6486</v>
      </c>
      <c r="B6487" s="1">
        <v>1284</v>
      </c>
      <c r="C6487" s="1">
        <v>17</v>
      </c>
      <c r="D6487" t="str">
        <f>VLOOKUP(B6487,Заказы!A:C,3,0)</f>
        <v>2024-01-08 22:56:00</v>
      </c>
      <c r="E6487" t="str">
        <f>VLOOKUP(C6487,Меню!A:E,4,0)</f>
        <v>Первое</v>
      </c>
      <c r="F6487">
        <f>VLOOKUP(C6487,Меню!A:E,5,0)</f>
        <v>250</v>
      </c>
    </row>
    <row r="6488" spans="1:6" ht="15.75" hidden="1" customHeight="1" x14ac:dyDescent="0.35">
      <c r="A6488" s="1">
        <v>6487</v>
      </c>
      <c r="B6488" s="1">
        <v>1284</v>
      </c>
      <c r="C6488" s="1">
        <v>24</v>
      </c>
      <c r="D6488" t="str">
        <f>VLOOKUP(B6488,Заказы!A:C,3,0)</f>
        <v>2024-01-08 22:56:00</v>
      </c>
      <c r="E6488" t="str">
        <f>VLOOKUP(C6488,Меню!A:E,4,0)</f>
        <v>Салат</v>
      </c>
      <c r="F6488">
        <f>VLOOKUP(C6488,Меню!A:E,5,0)</f>
        <v>250</v>
      </c>
    </row>
    <row r="6489" spans="1:6" ht="15.75" hidden="1" customHeight="1" x14ac:dyDescent="0.35">
      <c r="A6489" s="1">
        <v>6488</v>
      </c>
      <c r="B6489" s="1">
        <v>1284</v>
      </c>
      <c r="C6489" s="1">
        <v>48</v>
      </c>
      <c r="D6489" t="str">
        <f>VLOOKUP(B6489,Заказы!A:C,3,0)</f>
        <v>2024-01-08 22:56:00</v>
      </c>
      <c r="E6489" t="str">
        <f>VLOOKUP(C6489,Меню!A:E,4,0)</f>
        <v>Суши</v>
      </c>
      <c r="F6489">
        <f>VLOOKUP(C6489,Меню!A:E,5,0)</f>
        <v>200</v>
      </c>
    </row>
    <row r="6490" spans="1:6" ht="15.75" hidden="1" customHeight="1" x14ac:dyDescent="0.35">
      <c r="A6490" s="1">
        <v>6489</v>
      </c>
      <c r="B6490" s="1">
        <v>1284</v>
      </c>
      <c r="C6490" s="1">
        <v>17</v>
      </c>
      <c r="D6490" t="str">
        <f>VLOOKUP(B6490,Заказы!A:C,3,0)</f>
        <v>2024-01-08 22:56:00</v>
      </c>
      <c r="E6490" t="str">
        <f>VLOOKUP(C6490,Меню!A:E,4,0)</f>
        <v>Первое</v>
      </c>
      <c r="F6490">
        <f>VLOOKUP(C6490,Меню!A:E,5,0)</f>
        <v>250</v>
      </c>
    </row>
    <row r="6491" spans="1:6" ht="15.75" hidden="1" customHeight="1" x14ac:dyDescent="0.35">
      <c r="A6491" s="1">
        <v>6490</v>
      </c>
      <c r="B6491" s="1">
        <v>1284</v>
      </c>
      <c r="C6491" s="1">
        <v>57</v>
      </c>
      <c r="D6491" t="str">
        <f>VLOOKUP(B6491,Заказы!A:C,3,0)</f>
        <v>2024-01-08 22:56:00</v>
      </c>
      <c r="E6491" t="str">
        <f>VLOOKUP(C6491,Меню!A:E,4,0)</f>
        <v>Суши</v>
      </c>
      <c r="F6491">
        <f>VLOOKUP(C6491,Меню!A:E,5,0)</f>
        <v>200</v>
      </c>
    </row>
    <row r="6492" spans="1:6" ht="15.75" hidden="1" customHeight="1" x14ac:dyDescent="0.35">
      <c r="A6492" s="1">
        <v>6491</v>
      </c>
      <c r="B6492" s="1">
        <v>1284</v>
      </c>
      <c r="C6492" s="1">
        <v>27</v>
      </c>
      <c r="D6492" t="str">
        <f>VLOOKUP(B6492,Заказы!A:C,3,0)</f>
        <v>2024-01-08 22:56:00</v>
      </c>
      <c r="E6492" t="str">
        <f>VLOOKUP(C6492,Меню!A:E,4,0)</f>
        <v>Салат</v>
      </c>
      <c r="F6492">
        <f>VLOOKUP(C6492,Меню!A:E,5,0)</f>
        <v>250</v>
      </c>
    </row>
    <row r="6493" spans="1:6" ht="15.75" hidden="1" customHeight="1" x14ac:dyDescent="0.35">
      <c r="A6493" s="1">
        <v>6492</v>
      </c>
      <c r="B6493" s="1">
        <v>1284</v>
      </c>
      <c r="C6493" s="1">
        <v>24</v>
      </c>
      <c r="D6493" t="str">
        <f>VLOOKUP(B6493,Заказы!A:C,3,0)</f>
        <v>2024-01-08 22:56:00</v>
      </c>
      <c r="E6493" t="str">
        <f>VLOOKUP(C6493,Меню!A:E,4,0)</f>
        <v>Салат</v>
      </c>
      <c r="F6493">
        <f>VLOOKUP(C6493,Меню!A:E,5,0)</f>
        <v>250</v>
      </c>
    </row>
    <row r="6494" spans="1:6" ht="15.75" hidden="1" customHeight="1" x14ac:dyDescent="0.35">
      <c r="A6494" s="1">
        <v>6493</v>
      </c>
      <c r="B6494" s="1">
        <v>1285</v>
      </c>
      <c r="C6494" s="1">
        <v>27</v>
      </c>
      <c r="D6494" t="str">
        <f>VLOOKUP(B6494,Заказы!A:C,3,0)</f>
        <v>2024-01-09 15:20:00</v>
      </c>
      <c r="E6494" t="str">
        <f>VLOOKUP(C6494,Меню!A:E,4,0)</f>
        <v>Салат</v>
      </c>
      <c r="F6494">
        <f>VLOOKUP(C6494,Меню!A:E,5,0)</f>
        <v>250</v>
      </c>
    </row>
    <row r="6495" spans="1:6" ht="15.75" hidden="1" customHeight="1" x14ac:dyDescent="0.35">
      <c r="A6495" s="1">
        <v>6494</v>
      </c>
      <c r="B6495" s="1">
        <v>1285</v>
      </c>
      <c r="C6495" s="1">
        <v>4</v>
      </c>
      <c r="D6495" t="str">
        <f>VLOOKUP(B6495,Заказы!A:C,3,0)</f>
        <v>2024-01-09 15:20:00</v>
      </c>
      <c r="E6495" t="str">
        <f>VLOOKUP(C6495,Меню!A:E,4,0)</f>
        <v>Завтрак</v>
      </c>
      <c r="F6495">
        <f>VLOOKUP(C6495,Меню!A:E,5,0)</f>
        <v>180</v>
      </c>
    </row>
    <row r="6496" spans="1:6" ht="15.75" hidden="1" customHeight="1" x14ac:dyDescent="0.35">
      <c r="A6496" s="1">
        <v>6495</v>
      </c>
      <c r="B6496" s="1">
        <v>1285</v>
      </c>
      <c r="C6496" s="1">
        <v>2</v>
      </c>
      <c r="D6496" t="str">
        <f>VLOOKUP(B6496,Заказы!A:C,3,0)</f>
        <v>2024-01-09 15:20:00</v>
      </c>
      <c r="E6496" t="str">
        <f>VLOOKUP(C6496,Меню!A:E,4,0)</f>
        <v>Завтрак</v>
      </c>
      <c r="F6496">
        <f>VLOOKUP(C6496,Меню!A:E,5,0)</f>
        <v>250</v>
      </c>
    </row>
    <row r="6497" spans="1:6" ht="15.75" customHeight="1" x14ac:dyDescent="0.35">
      <c r="A6497" s="1">
        <v>6496</v>
      </c>
      <c r="B6497" s="1">
        <v>1285</v>
      </c>
      <c r="C6497" s="1">
        <v>39</v>
      </c>
      <c r="D6497" t="str">
        <f>VLOOKUP(B6497,Заказы!A:C,3,0)</f>
        <v>2024-01-09 15:20:00</v>
      </c>
      <c r="E6497" t="str">
        <f>VLOOKUP(C6497,Меню!A:E,4,0)</f>
        <v>Десерт</v>
      </c>
      <c r="F6497">
        <f>VLOOKUP(C6497,Меню!A:E,5,0)</f>
        <v>150</v>
      </c>
    </row>
    <row r="6498" spans="1:6" ht="15.75" hidden="1" customHeight="1" x14ac:dyDescent="0.35">
      <c r="A6498" s="1">
        <v>6497</v>
      </c>
      <c r="B6498" s="1">
        <v>1286</v>
      </c>
      <c r="C6498" s="1">
        <v>10</v>
      </c>
      <c r="D6498" t="str">
        <f>VLOOKUP(B6498,Заказы!A:C,3,0)</f>
        <v>2024-01-09 17:29:00</v>
      </c>
      <c r="E6498" t="str">
        <f>VLOOKUP(C6498,Меню!A:E,4,0)</f>
        <v>Завтрак</v>
      </c>
      <c r="F6498">
        <f>VLOOKUP(C6498,Меню!A:E,5,0)</f>
        <v>200</v>
      </c>
    </row>
    <row r="6499" spans="1:6" ht="15.75" hidden="1" customHeight="1" x14ac:dyDescent="0.35">
      <c r="A6499" s="1">
        <v>6498</v>
      </c>
      <c r="B6499" s="1">
        <v>1286</v>
      </c>
      <c r="C6499" s="1">
        <v>59</v>
      </c>
      <c r="D6499" t="str">
        <f>VLOOKUP(B6499,Заказы!A:C,3,0)</f>
        <v>2024-01-09 17:29:00</v>
      </c>
      <c r="E6499" t="str">
        <f>VLOOKUP(C6499,Меню!A:E,4,0)</f>
        <v>Суши</v>
      </c>
      <c r="F6499">
        <f>VLOOKUP(C6499,Меню!A:E,5,0)</f>
        <v>300</v>
      </c>
    </row>
    <row r="6500" spans="1:6" ht="15.75" hidden="1" customHeight="1" x14ac:dyDescent="0.35">
      <c r="A6500" s="1">
        <v>6499</v>
      </c>
      <c r="B6500" s="1">
        <v>1286</v>
      </c>
      <c r="C6500" s="1">
        <v>42</v>
      </c>
      <c r="D6500" t="str">
        <f>VLOOKUP(B6500,Заказы!A:C,3,0)</f>
        <v>2024-01-09 17:29:00</v>
      </c>
      <c r="E6500" t="str">
        <f>VLOOKUP(C6500,Меню!A:E,4,0)</f>
        <v>Суши</v>
      </c>
      <c r="F6500">
        <f>VLOOKUP(C6500,Меню!A:E,5,0)</f>
        <v>250</v>
      </c>
    </row>
    <row r="6501" spans="1:6" ht="15.75" hidden="1" customHeight="1" x14ac:dyDescent="0.35">
      <c r="A6501" s="1">
        <v>6500</v>
      </c>
      <c r="B6501" s="1">
        <v>1287</v>
      </c>
      <c r="C6501" s="1">
        <v>9</v>
      </c>
      <c r="D6501" t="str">
        <f>VLOOKUP(B6501,Заказы!A:C,3,0)</f>
        <v>2024-01-09 20:04:00</v>
      </c>
      <c r="E6501" t="str">
        <f>VLOOKUP(C6501,Меню!A:E,4,0)</f>
        <v>Завтрак</v>
      </c>
      <c r="F6501">
        <f>VLOOKUP(C6501,Меню!A:E,5,0)</f>
        <v>220</v>
      </c>
    </row>
    <row r="6502" spans="1:6" ht="15.75" hidden="1" customHeight="1" x14ac:dyDescent="0.35">
      <c r="A6502" s="1">
        <v>6501</v>
      </c>
      <c r="B6502" s="1">
        <v>1287</v>
      </c>
      <c r="C6502" s="1">
        <v>56</v>
      </c>
      <c r="D6502" t="str">
        <f>VLOOKUP(B6502,Заказы!A:C,3,0)</f>
        <v>2024-01-09 20:04:00</v>
      </c>
      <c r="E6502" t="str">
        <f>VLOOKUP(C6502,Меню!A:E,4,0)</f>
        <v>Суши</v>
      </c>
      <c r="F6502">
        <f>VLOOKUP(C6502,Меню!A:E,5,0)</f>
        <v>200</v>
      </c>
    </row>
    <row r="6503" spans="1:6" ht="15.75" hidden="1" customHeight="1" x14ac:dyDescent="0.35">
      <c r="A6503" s="1">
        <v>6502</v>
      </c>
      <c r="B6503" s="1">
        <v>1287</v>
      </c>
      <c r="C6503" s="1">
        <v>47</v>
      </c>
      <c r="D6503" t="str">
        <f>VLOOKUP(B6503,Заказы!A:C,3,0)</f>
        <v>2024-01-09 20:04:00</v>
      </c>
      <c r="E6503" t="str">
        <f>VLOOKUP(C6503,Меню!A:E,4,0)</f>
        <v>Суши</v>
      </c>
      <c r="F6503">
        <f>VLOOKUP(C6503,Меню!A:E,5,0)</f>
        <v>200</v>
      </c>
    </row>
    <row r="6504" spans="1:6" ht="15.75" hidden="1" customHeight="1" x14ac:dyDescent="0.35">
      <c r="A6504" s="1">
        <v>6503</v>
      </c>
      <c r="B6504" s="1">
        <v>1287</v>
      </c>
      <c r="C6504" s="1">
        <v>21</v>
      </c>
      <c r="D6504" t="str">
        <f>VLOOKUP(B6504,Заказы!A:C,3,0)</f>
        <v>2024-01-09 20:04:00</v>
      </c>
      <c r="E6504" t="str">
        <f>VLOOKUP(C6504,Меню!A:E,4,0)</f>
        <v>Салат</v>
      </c>
      <c r="F6504">
        <f>VLOOKUP(C6504,Меню!A:E,5,0)</f>
        <v>250</v>
      </c>
    </row>
    <row r="6505" spans="1:6" ht="15.75" hidden="1" customHeight="1" x14ac:dyDescent="0.35">
      <c r="A6505" s="1">
        <v>6504</v>
      </c>
      <c r="B6505" s="1">
        <v>1287</v>
      </c>
      <c r="C6505" s="1">
        <v>47</v>
      </c>
      <c r="D6505" t="str">
        <f>VLOOKUP(B6505,Заказы!A:C,3,0)</f>
        <v>2024-01-09 20:04:00</v>
      </c>
      <c r="E6505" t="str">
        <f>VLOOKUP(C6505,Меню!A:E,4,0)</f>
        <v>Суши</v>
      </c>
      <c r="F6505">
        <f>VLOOKUP(C6505,Меню!A:E,5,0)</f>
        <v>200</v>
      </c>
    </row>
    <row r="6506" spans="1:6" ht="15.75" hidden="1" customHeight="1" x14ac:dyDescent="0.35">
      <c r="A6506" s="1">
        <v>6505</v>
      </c>
      <c r="B6506" s="1">
        <v>1287</v>
      </c>
      <c r="C6506" s="1">
        <v>15</v>
      </c>
      <c r="D6506" t="str">
        <f>VLOOKUP(B6506,Заказы!A:C,3,0)</f>
        <v>2024-01-09 20:04:00</v>
      </c>
      <c r="E6506" t="str">
        <f>VLOOKUP(C6506,Меню!A:E,4,0)</f>
        <v>Первое</v>
      </c>
      <c r="F6506">
        <f>VLOOKUP(C6506,Меню!A:E,5,0)</f>
        <v>250</v>
      </c>
    </row>
    <row r="6507" spans="1:6" ht="15.75" customHeight="1" x14ac:dyDescent="0.35">
      <c r="A6507" s="1">
        <v>6506</v>
      </c>
      <c r="B6507" s="1">
        <v>1287</v>
      </c>
      <c r="C6507" s="1">
        <v>31</v>
      </c>
      <c r="D6507" t="str">
        <f>VLOOKUP(B6507,Заказы!A:C,3,0)</f>
        <v>2024-01-09 20:04:00</v>
      </c>
      <c r="E6507" t="str">
        <f>VLOOKUP(C6507,Меню!A:E,4,0)</f>
        <v>Десерт</v>
      </c>
      <c r="F6507">
        <f>VLOOKUP(C6507,Меню!A:E,5,0)</f>
        <v>150</v>
      </c>
    </row>
    <row r="6508" spans="1:6" ht="15.75" hidden="1" customHeight="1" x14ac:dyDescent="0.35">
      <c r="A6508" s="1">
        <v>6507</v>
      </c>
      <c r="B6508" s="1">
        <v>1287</v>
      </c>
      <c r="C6508" s="1">
        <v>8</v>
      </c>
      <c r="D6508" t="str">
        <f>VLOOKUP(B6508,Заказы!A:C,3,0)</f>
        <v>2024-01-09 20:04:00</v>
      </c>
      <c r="E6508" t="str">
        <f>VLOOKUP(C6508,Меню!A:E,4,0)</f>
        <v>Завтрак</v>
      </c>
      <c r="F6508">
        <f>VLOOKUP(C6508,Меню!A:E,5,0)</f>
        <v>180</v>
      </c>
    </row>
    <row r="6509" spans="1:6" ht="15.75" customHeight="1" x14ac:dyDescent="0.35">
      <c r="A6509" s="1">
        <v>6508</v>
      </c>
      <c r="B6509" s="1">
        <v>1287</v>
      </c>
      <c r="C6509" s="1">
        <v>32</v>
      </c>
      <c r="D6509" t="str">
        <f>VLOOKUP(B6509,Заказы!A:C,3,0)</f>
        <v>2024-01-09 20:04:00</v>
      </c>
      <c r="E6509" t="str">
        <f>VLOOKUP(C6509,Меню!A:E,4,0)</f>
        <v>Десерт</v>
      </c>
      <c r="F6509">
        <f>VLOOKUP(C6509,Меню!A:E,5,0)</f>
        <v>150</v>
      </c>
    </row>
    <row r="6510" spans="1:6" ht="15.75" hidden="1" customHeight="1" x14ac:dyDescent="0.35">
      <c r="A6510" s="1">
        <v>6509</v>
      </c>
      <c r="B6510" s="1">
        <v>1288</v>
      </c>
      <c r="C6510" s="1">
        <v>44</v>
      </c>
      <c r="D6510" t="str">
        <f>VLOOKUP(B6510,Заказы!A:C,3,0)</f>
        <v>2024-01-10 16:56:00</v>
      </c>
      <c r="E6510" t="str">
        <f>VLOOKUP(C6510,Меню!A:E,4,0)</f>
        <v>Суши</v>
      </c>
      <c r="F6510">
        <f>VLOOKUP(C6510,Меню!A:E,5,0)</f>
        <v>250</v>
      </c>
    </row>
    <row r="6511" spans="1:6" ht="15.75" hidden="1" customHeight="1" x14ac:dyDescent="0.35">
      <c r="A6511" s="1">
        <v>6510</v>
      </c>
      <c r="B6511" s="1">
        <v>1288</v>
      </c>
      <c r="C6511" s="1">
        <v>48</v>
      </c>
      <c r="D6511" t="str">
        <f>VLOOKUP(B6511,Заказы!A:C,3,0)</f>
        <v>2024-01-10 16:56:00</v>
      </c>
      <c r="E6511" t="str">
        <f>VLOOKUP(C6511,Меню!A:E,4,0)</f>
        <v>Суши</v>
      </c>
      <c r="F6511">
        <f>VLOOKUP(C6511,Меню!A:E,5,0)</f>
        <v>200</v>
      </c>
    </row>
    <row r="6512" spans="1:6" ht="15.75" hidden="1" customHeight="1" x14ac:dyDescent="0.35">
      <c r="A6512" s="1">
        <v>6511</v>
      </c>
      <c r="B6512" s="1">
        <v>1289</v>
      </c>
      <c r="C6512" s="1">
        <v>5</v>
      </c>
      <c r="D6512" t="str">
        <f>VLOOKUP(B6512,Заказы!A:C,3,0)</f>
        <v>2024-01-10 19:31:00</v>
      </c>
      <c r="E6512" t="str">
        <f>VLOOKUP(C6512,Меню!A:E,4,0)</f>
        <v>Завтрак</v>
      </c>
      <c r="F6512">
        <f>VLOOKUP(C6512,Меню!A:E,5,0)</f>
        <v>220</v>
      </c>
    </row>
    <row r="6513" spans="1:6" ht="15.75" hidden="1" customHeight="1" x14ac:dyDescent="0.35">
      <c r="A6513" s="1">
        <v>6512</v>
      </c>
      <c r="B6513" s="1">
        <v>1289</v>
      </c>
      <c r="C6513" s="1">
        <v>47</v>
      </c>
      <c r="D6513" t="str">
        <f>VLOOKUP(B6513,Заказы!A:C,3,0)</f>
        <v>2024-01-10 19:31:00</v>
      </c>
      <c r="E6513" t="str">
        <f>VLOOKUP(C6513,Меню!A:E,4,0)</f>
        <v>Суши</v>
      </c>
      <c r="F6513">
        <f>VLOOKUP(C6513,Меню!A:E,5,0)</f>
        <v>200</v>
      </c>
    </row>
    <row r="6514" spans="1:6" ht="15.75" hidden="1" customHeight="1" x14ac:dyDescent="0.35">
      <c r="A6514" s="1">
        <v>6513</v>
      </c>
      <c r="B6514" s="1">
        <v>1289</v>
      </c>
      <c r="C6514" s="1">
        <v>5</v>
      </c>
      <c r="D6514" t="str">
        <f>VLOOKUP(B6514,Заказы!A:C,3,0)</f>
        <v>2024-01-10 19:31:00</v>
      </c>
      <c r="E6514" t="str">
        <f>VLOOKUP(C6514,Меню!A:E,4,0)</f>
        <v>Завтрак</v>
      </c>
      <c r="F6514">
        <f>VLOOKUP(C6514,Меню!A:E,5,0)</f>
        <v>220</v>
      </c>
    </row>
    <row r="6515" spans="1:6" ht="15.75" hidden="1" customHeight="1" x14ac:dyDescent="0.35">
      <c r="A6515" s="1">
        <v>6514</v>
      </c>
      <c r="B6515" s="1">
        <v>1289</v>
      </c>
      <c r="C6515" s="1">
        <v>17</v>
      </c>
      <c r="D6515" t="str">
        <f>VLOOKUP(B6515,Заказы!A:C,3,0)</f>
        <v>2024-01-10 19:31:00</v>
      </c>
      <c r="E6515" t="str">
        <f>VLOOKUP(C6515,Меню!A:E,4,0)</f>
        <v>Первое</v>
      </c>
      <c r="F6515">
        <f>VLOOKUP(C6515,Меню!A:E,5,0)</f>
        <v>250</v>
      </c>
    </row>
    <row r="6516" spans="1:6" ht="15.75" hidden="1" customHeight="1" x14ac:dyDescent="0.35">
      <c r="A6516" s="1">
        <v>6515</v>
      </c>
      <c r="B6516" s="1">
        <v>1289</v>
      </c>
      <c r="C6516" s="1">
        <v>28</v>
      </c>
      <c r="D6516" t="str">
        <f>VLOOKUP(B6516,Заказы!A:C,3,0)</f>
        <v>2024-01-10 19:31:00</v>
      </c>
      <c r="E6516" t="str">
        <f>VLOOKUP(C6516,Меню!A:E,4,0)</f>
        <v>Салат</v>
      </c>
      <c r="F6516">
        <f>VLOOKUP(C6516,Меню!A:E,5,0)</f>
        <v>250</v>
      </c>
    </row>
    <row r="6517" spans="1:6" ht="15.75" hidden="1" customHeight="1" x14ac:dyDescent="0.35">
      <c r="A6517" s="1">
        <v>6516</v>
      </c>
      <c r="B6517" s="1">
        <v>1289</v>
      </c>
      <c r="C6517" s="1">
        <v>59</v>
      </c>
      <c r="D6517" t="str">
        <f>VLOOKUP(B6517,Заказы!A:C,3,0)</f>
        <v>2024-01-10 19:31:00</v>
      </c>
      <c r="E6517" t="str">
        <f>VLOOKUP(C6517,Меню!A:E,4,0)</f>
        <v>Суши</v>
      </c>
      <c r="F6517">
        <f>VLOOKUP(C6517,Меню!A:E,5,0)</f>
        <v>300</v>
      </c>
    </row>
    <row r="6518" spans="1:6" ht="15.75" hidden="1" customHeight="1" x14ac:dyDescent="0.35">
      <c r="A6518" s="1">
        <v>6517</v>
      </c>
      <c r="B6518" s="1">
        <v>1289</v>
      </c>
      <c r="C6518" s="1">
        <v>19</v>
      </c>
      <c r="D6518" t="str">
        <f>VLOOKUP(B6518,Заказы!A:C,3,0)</f>
        <v>2024-01-10 19:31:00</v>
      </c>
      <c r="E6518" t="str">
        <f>VLOOKUP(C6518,Меню!A:E,4,0)</f>
        <v>Первое</v>
      </c>
      <c r="F6518">
        <f>VLOOKUP(C6518,Меню!A:E,5,0)</f>
        <v>300</v>
      </c>
    </row>
    <row r="6519" spans="1:6" ht="15.75" customHeight="1" x14ac:dyDescent="0.35">
      <c r="A6519" s="1">
        <v>6518</v>
      </c>
      <c r="B6519" s="1">
        <v>1289</v>
      </c>
      <c r="C6519" s="1">
        <v>37</v>
      </c>
      <c r="D6519" t="str">
        <f>VLOOKUP(B6519,Заказы!A:C,3,0)</f>
        <v>2024-01-10 19:31:00</v>
      </c>
      <c r="E6519" t="str">
        <f>VLOOKUP(C6519,Меню!A:E,4,0)</f>
        <v>Десерт</v>
      </c>
      <c r="F6519">
        <f>VLOOKUP(C6519,Меню!A:E,5,0)</f>
        <v>100</v>
      </c>
    </row>
    <row r="6520" spans="1:6" ht="15.75" hidden="1" customHeight="1" x14ac:dyDescent="0.35">
      <c r="A6520" s="1">
        <v>6519</v>
      </c>
      <c r="B6520" s="1">
        <v>1289</v>
      </c>
      <c r="C6520" s="1">
        <v>45</v>
      </c>
      <c r="D6520" t="str">
        <f>VLOOKUP(B6520,Заказы!A:C,3,0)</f>
        <v>2024-01-10 19:31:00</v>
      </c>
      <c r="E6520" t="str">
        <f>VLOOKUP(C6520,Меню!A:E,4,0)</f>
        <v>Суши</v>
      </c>
      <c r="F6520">
        <f>VLOOKUP(C6520,Меню!A:E,5,0)</f>
        <v>200</v>
      </c>
    </row>
    <row r="6521" spans="1:6" ht="15.75" hidden="1" customHeight="1" x14ac:dyDescent="0.35">
      <c r="A6521" s="1">
        <v>6520</v>
      </c>
      <c r="B6521" s="1">
        <v>1289</v>
      </c>
      <c r="C6521" s="1">
        <v>42</v>
      </c>
      <c r="D6521" t="str">
        <f>VLOOKUP(B6521,Заказы!A:C,3,0)</f>
        <v>2024-01-10 19:31:00</v>
      </c>
      <c r="E6521" t="str">
        <f>VLOOKUP(C6521,Меню!A:E,4,0)</f>
        <v>Суши</v>
      </c>
      <c r="F6521">
        <f>VLOOKUP(C6521,Меню!A:E,5,0)</f>
        <v>250</v>
      </c>
    </row>
    <row r="6522" spans="1:6" ht="15.75" hidden="1" customHeight="1" x14ac:dyDescent="0.35">
      <c r="A6522" s="1">
        <v>6521</v>
      </c>
      <c r="B6522" s="1">
        <v>1290</v>
      </c>
      <c r="C6522" s="1">
        <v>29</v>
      </c>
      <c r="D6522" t="str">
        <f>VLOOKUP(B6522,Заказы!A:C,3,0)</f>
        <v>2024-01-10 21:13:00</v>
      </c>
      <c r="E6522" t="str">
        <f>VLOOKUP(C6522,Меню!A:E,4,0)</f>
        <v>Салат</v>
      </c>
      <c r="F6522">
        <f>VLOOKUP(C6522,Меню!A:E,5,0)</f>
        <v>250</v>
      </c>
    </row>
    <row r="6523" spans="1:6" ht="15.75" hidden="1" customHeight="1" x14ac:dyDescent="0.35">
      <c r="A6523" s="1">
        <v>6522</v>
      </c>
      <c r="B6523" s="1">
        <v>1291</v>
      </c>
      <c r="C6523" s="1">
        <v>56</v>
      </c>
      <c r="D6523" t="str">
        <f>VLOOKUP(B6523,Заказы!A:C,3,0)</f>
        <v>2024-01-10 21:50:00</v>
      </c>
      <c r="E6523" t="str">
        <f>VLOOKUP(C6523,Меню!A:E,4,0)</f>
        <v>Суши</v>
      </c>
      <c r="F6523">
        <f>VLOOKUP(C6523,Меню!A:E,5,0)</f>
        <v>200</v>
      </c>
    </row>
    <row r="6524" spans="1:6" ht="15.75" hidden="1" customHeight="1" x14ac:dyDescent="0.35">
      <c r="A6524" s="1">
        <v>6523</v>
      </c>
      <c r="B6524" s="1">
        <v>1291</v>
      </c>
      <c r="C6524" s="1">
        <v>47</v>
      </c>
      <c r="D6524" t="str">
        <f>VLOOKUP(B6524,Заказы!A:C,3,0)</f>
        <v>2024-01-10 21:50:00</v>
      </c>
      <c r="E6524" t="str">
        <f>VLOOKUP(C6524,Меню!A:E,4,0)</f>
        <v>Суши</v>
      </c>
      <c r="F6524">
        <f>VLOOKUP(C6524,Меню!A:E,5,0)</f>
        <v>200</v>
      </c>
    </row>
    <row r="6525" spans="1:6" ht="15.75" hidden="1" customHeight="1" x14ac:dyDescent="0.35">
      <c r="A6525" s="1">
        <v>6524</v>
      </c>
      <c r="B6525" s="1">
        <v>1291</v>
      </c>
      <c r="C6525" s="1">
        <v>58</v>
      </c>
      <c r="D6525" t="str">
        <f>VLOOKUP(B6525,Заказы!A:C,3,0)</f>
        <v>2024-01-10 21:50:00</v>
      </c>
      <c r="E6525" t="str">
        <f>VLOOKUP(C6525,Меню!A:E,4,0)</f>
        <v>Суши</v>
      </c>
      <c r="F6525">
        <f>VLOOKUP(C6525,Меню!A:E,5,0)</f>
        <v>200</v>
      </c>
    </row>
    <row r="6526" spans="1:6" ht="15.75" hidden="1" customHeight="1" x14ac:dyDescent="0.35">
      <c r="A6526" s="1">
        <v>6525</v>
      </c>
      <c r="B6526" s="1">
        <v>1292</v>
      </c>
      <c r="C6526" s="1">
        <v>55</v>
      </c>
      <c r="D6526" t="str">
        <f>VLOOKUP(B6526,Заказы!A:C,3,0)</f>
        <v>2024-01-11 15:30:00</v>
      </c>
      <c r="E6526" t="str">
        <f>VLOOKUP(C6526,Меню!A:E,4,0)</f>
        <v>Суши</v>
      </c>
      <c r="F6526">
        <f>VLOOKUP(C6526,Меню!A:E,5,0)</f>
        <v>100</v>
      </c>
    </row>
    <row r="6527" spans="1:6" ht="15.75" hidden="1" customHeight="1" x14ac:dyDescent="0.35">
      <c r="A6527" s="1">
        <v>6526</v>
      </c>
      <c r="B6527" s="1">
        <v>1292</v>
      </c>
      <c r="C6527" s="1">
        <v>52</v>
      </c>
      <c r="D6527" t="str">
        <f>VLOOKUP(B6527,Заказы!A:C,3,0)</f>
        <v>2024-01-11 15:30:00</v>
      </c>
      <c r="E6527" t="str">
        <f>VLOOKUP(C6527,Меню!A:E,4,0)</f>
        <v>Суши</v>
      </c>
      <c r="F6527">
        <f>VLOOKUP(C6527,Меню!A:E,5,0)</f>
        <v>100</v>
      </c>
    </row>
    <row r="6528" spans="1:6" ht="15.75" hidden="1" customHeight="1" x14ac:dyDescent="0.35">
      <c r="A6528" s="1">
        <v>6527</v>
      </c>
      <c r="B6528" s="1">
        <v>1292</v>
      </c>
      <c r="C6528" s="1">
        <v>21</v>
      </c>
      <c r="D6528" t="str">
        <f>VLOOKUP(B6528,Заказы!A:C,3,0)</f>
        <v>2024-01-11 15:30:00</v>
      </c>
      <c r="E6528" t="str">
        <f>VLOOKUP(C6528,Меню!A:E,4,0)</f>
        <v>Салат</v>
      </c>
      <c r="F6528">
        <f>VLOOKUP(C6528,Меню!A:E,5,0)</f>
        <v>250</v>
      </c>
    </row>
    <row r="6529" spans="1:6" ht="15.75" hidden="1" customHeight="1" x14ac:dyDescent="0.35">
      <c r="A6529" s="1">
        <v>6528</v>
      </c>
      <c r="B6529" s="1">
        <v>1292</v>
      </c>
      <c r="C6529" s="1">
        <v>21</v>
      </c>
      <c r="D6529" t="str">
        <f>VLOOKUP(B6529,Заказы!A:C,3,0)</f>
        <v>2024-01-11 15:30:00</v>
      </c>
      <c r="E6529" t="str">
        <f>VLOOKUP(C6529,Меню!A:E,4,0)</f>
        <v>Салат</v>
      </c>
      <c r="F6529">
        <f>VLOOKUP(C6529,Меню!A:E,5,0)</f>
        <v>250</v>
      </c>
    </row>
    <row r="6530" spans="1:6" ht="15.75" hidden="1" customHeight="1" x14ac:dyDescent="0.35">
      <c r="A6530" s="1">
        <v>6529</v>
      </c>
      <c r="B6530" s="1">
        <v>1293</v>
      </c>
      <c r="C6530" s="1">
        <v>7</v>
      </c>
      <c r="D6530" t="str">
        <f>VLOOKUP(B6530,Заказы!A:C,3,0)</f>
        <v>2024-01-11 18:59:00</v>
      </c>
      <c r="E6530" t="str">
        <f>VLOOKUP(C6530,Меню!A:E,4,0)</f>
        <v>Завтрак</v>
      </c>
      <c r="F6530">
        <f>VLOOKUP(C6530,Меню!A:E,5,0)</f>
        <v>200</v>
      </c>
    </row>
    <row r="6531" spans="1:6" ht="15.75" hidden="1" customHeight="1" x14ac:dyDescent="0.35">
      <c r="A6531" s="1">
        <v>6530</v>
      </c>
      <c r="B6531" s="1">
        <v>1293</v>
      </c>
      <c r="C6531" s="1">
        <v>18</v>
      </c>
      <c r="D6531" t="str">
        <f>VLOOKUP(B6531,Заказы!A:C,3,0)</f>
        <v>2024-01-11 18:59:00</v>
      </c>
      <c r="E6531" t="str">
        <f>VLOOKUP(C6531,Меню!A:E,4,0)</f>
        <v>Первое</v>
      </c>
      <c r="F6531">
        <f>VLOOKUP(C6531,Меню!A:E,5,0)</f>
        <v>300</v>
      </c>
    </row>
    <row r="6532" spans="1:6" ht="15.75" hidden="1" customHeight="1" x14ac:dyDescent="0.35">
      <c r="A6532" s="1">
        <v>6531</v>
      </c>
      <c r="B6532" s="1">
        <v>1293</v>
      </c>
      <c r="C6532" s="1">
        <v>4</v>
      </c>
      <c r="D6532" t="str">
        <f>VLOOKUP(B6532,Заказы!A:C,3,0)</f>
        <v>2024-01-11 18:59:00</v>
      </c>
      <c r="E6532" t="str">
        <f>VLOOKUP(C6532,Меню!A:E,4,0)</f>
        <v>Завтрак</v>
      </c>
      <c r="F6532">
        <f>VLOOKUP(C6532,Меню!A:E,5,0)</f>
        <v>180</v>
      </c>
    </row>
    <row r="6533" spans="1:6" ht="15.75" hidden="1" customHeight="1" x14ac:dyDescent="0.35">
      <c r="A6533" s="1">
        <v>6532</v>
      </c>
      <c r="B6533" s="1">
        <v>1293</v>
      </c>
      <c r="C6533" s="1">
        <v>11</v>
      </c>
      <c r="D6533" t="str">
        <f>VLOOKUP(B6533,Заказы!A:C,3,0)</f>
        <v>2024-01-11 18:59:00</v>
      </c>
      <c r="E6533" t="str">
        <f>VLOOKUP(C6533,Меню!A:E,4,0)</f>
        <v>Первое</v>
      </c>
      <c r="F6533">
        <f>VLOOKUP(C6533,Меню!A:E,5,0)</f>
        <v>300</v>
      </c>
    </row>
    <row r="6534" spans="1:6" ht="15.75" hidden="1" customHeight="1" x14ac:dyDescent="0.35">
      <c r="A6534" s="1">
        <v>6533</v>
      </c>
      <c r="B6534" s="1">
        <v>1293</v>
      </c>
      <c r="C6534" s="1">
        <v>9</v>
      </c>
      <c r="D6534" t="str">
        <f>VLOOKUP(B6534,Заказы!A:C,3,0)</f>
        <v>2024-01-11 18:59:00</v>
      </c>
      <c r="E6534" t="str">
        <f>VLOOKUP(C6534,Меню!A:E,4,0)</f>
        <v>Завтрак</v>
      </c>
      <c r="F6534">
        <f>VLOOKUP(C6534,Меню!A:E,5,0)</f>
        <v>220</v>
      </c>
    </row>
    <row r="6535" spans="1:6" ht="15.75" customHeight="1" x14ac:dyDescent="0.35">
      <c r="A6535" s="1">
        <v>6534</v>
      </c>
      <c r="B6535" s="1">
        <v>1293</v>
      </c>
      <c r="C6535" s="1">
        <v>40</v>
      </c>
      <c r="D6535" t="str">
        <f>VLOOKUP(B6535,Заказы!A:C,3,0)</f>
        <v>2024-01-11 18:59:00</v>
      </c>
      <c r="E6535" t="str">
        <f>VLOOKUP(C6535,Меню!A:E,4,0)</f>
        <v>Десерт</v>
      </c>
      <c r="F6535">
        <f>VLOOKUP(C6535,Меню!A:E,5,0)</f>
        <v>150</v>
      </c>
    </row>
    <row r="6536" spans="1:6" ht="15.75" customHeight="1" x14ac:dyDescent="0.35">
      <c r="A6536" s="1">
        <v>6535</v>
      </c>
      <c r="B6536" s="1">
        <v>1293</v>
      </c>
      <c r="C6536" s="1">
        <v>36</v>
      </c>
      <c r="D6536" t="str">
        <f>VLOOKUP(B6536,Заказы!A:C,3,0)</f>
        <v>2024-01-11 18:59:00</v>
      </c>
      <c r="E6536" t="str">
        <f>VLOOKUP(C6536,Меню!A:E,4,0)</f>
        <v>Десерт</v>
      </c>
      <c r="F6536">
        <f>VLOOKUP(C6536,Меню!A:E,5,0)</f>
        <v>150</v>
      </c>
    </row>
    <row r="6537" spans="1:6" ht="15.75" hidden="1" customHeight="1" x14ac:dyDescent="0.35">
      <c r="A6537" s="1">
        <v>6536</v>
      </c>
      <c r="B6537" s="1">
        <v>1294</v>
      </c>
      <c r="C6537" s="1">
        <v>56</v>
      </c>
      <c r="D6537" t="str">
        <f>VLOOKUP(B6537,Заказы!A:C,3,0)</f>
        <v>2024-01-11 19:09:00</v>
      </c>
      <c r="E6537" t="str">
        <f>VLOOKUP(C6537,Меню!A:E,4,0)</f>
        <v>Суши</v>
      </c>
      <c r="F6537">
        <f>VLOOKUP(C6537,Меню!A:E,5,0)</f>
        <v>200</v>
      </c>
    </row>
    <row r="6538" spans="1:6" ht="15.75" hidden="1" customHeight="1" x14ac:dyDescent="0.35">
      <c r="A6538" s="1">
        <v>6537</v>
      </c>
      <c r="B6538" s="1">
        <v>1294</v>
      </c>
      <c r="C6538" s="1">
        <v>24</v>
      </c>
      <c r="D6538" t="str">
        <f>VLOOKUP(B6538,Заказы!A:C,3,0)</f>
        <v>2024-01-11 19:09:00</v>
      </c>
      <c r="E6538" t="str">
        <f>VLOOKUP(C6538,Меню!A:E,4,0)</f>
        <v>Салат</v>
      </c>
      <c r="F6538">
        <f>VLOOKUP(C6538,Меню!A:E,5,0)</f>
        <v>250</v>
      </c>
    </row>
    <row r="6539" spans="1:6" ht="15.75" hidden="1" customHeight="1" x14ac:dyDescent="0.35">
      <c r="A6539" s="1">
        <v>6538</v>
      </c>
      <c r="B6539" s="1">
        <v>1294</v>
      </c>
      <c r="C6539" s="1">
        <v>59</v>
      </c>
      <c r="D6539" t="str">
        <f>VLOOKUP(B6539,Заказы!A:C,3,0)</f>
        <v>2024-01-11 19:09:00</v>
      </c>
      <c r="E6539" t="str">
        <f>VLOOKUP(C6539,Меню!A:E,4,0)</f>
        <v>Суши</v>
      </c>
      <c r="F6539">
        <f>VLOOKUP(C6539,Меню!A:E,5,0)</f>
        <v>300</v>
      </c>
    </row>
    <row r="6540" spans="1:6" ht="15.75" hidden="1" customHeight="1" x14ac:dyDescent="0.35">
      <c r="A6540" s="1">
        <v>6539</v>
      </c>
      <c r="B6540" s="1">
        <v>1294</v>
      </c>
      <c r="C6540" s="1">
        <v>51</v>
      </c>
      <c r="D6540" t="str">
        <f>VLOOKUP(B6540,Заказы!A:C,3,0)</f>
        <v>2024-01-11 19:09:00</v>
      </c>
      <c r="E6540" t="str">
        <f>VLOOKUP(C6540,Меню!A:E,4,0)</f>
        <v>Суши</v>
      </c>
      <c r="F6540">
        <f>VLOOKUP(C6540,Меню!A:E,5,0)</f>
        <v>100</v>
      </c>
    </row>
    <row r="6541" spans="1:6" ht="15.75" hidden="1" customHeight="1" x14ac:dyDescent="0.35">
      <c r="A6541" s="1">
        <v>6540</v>
      </c>
      <c r="B6541" s="1">
        <v>1295</v>
      </c>
      <c r="C6541" s="1">
        <v>22</v>
      </c>
      <c r="D6541" t="str">
        <f>VLOOKUP(B6541,Заказы!A:C,3,0)</f>
        <v>2024-01-11 20:17:00</v>
      </c>
      <c r="E6541" t="str">
        <f>VLOOKUP(C6541,Меню!A:E,4,0)</f>
        <v>Салат</v>
      </c>
      <c r="F6541">
        <f>VLOOKUP(C6541,Меню!A:E,5,0)</f>
        <v>250</v>
      </c>
    </row>
    <row r="6542" spans="1:6" ht="15.75" hidden="1" customHeight="1" x14ac:dyDescent="0.35">
      <c r="A6542" s="1">
        <v>6541</v>
      </c>
      <c r="B6542" s="1">
        <v>1295</v>
      </c>
      <c r="C6542" s="1">
        <v>1</v>
      </c>
      <c r="D6542" t="str">
        <f>VLOOKUP(B6542,Заказы!A:C,3,0)</f>
        <v>2024-01-11 20:17:00</v>
      </c>
      <c r="E6542" t="str">
        <f>VLOOKUP(C6542,Меню!A:E,4,0)</f>
        <v>Завтрак</v>
      </c>
      <c r="F6542">
        <f>VLOOKUP(C6542,Меню!A:E,5,0)</f>
        <v>200</v>
      </c>
    </row>
    <row r="6543" spans="1:6" ht="15.75" hidden="1" customHeight="1" x14ac:dyDescent="0.35">
      <c r="A6543" s="1">
        <v>6542</v>
      </c>
      <c r="B6543" s="1">
        <v>1295</v>
      </c>
      <c r="C6543" s="1">
        <v>17</v>
      </c>
      <c r="D6543" t="str">
        <f>VLOOKUP(B6543,Заказы!A:C,3,0)</f>
        <v>2024-01-11 20:17:00</v>
      </c>
      <c r="E6543" t="str">
        <f>VLOOKUP(C6543,Меню!A:E,4,0)</f>
        <v>Первое</v>
      </c>
      <c r="F6543">
        <f>VLOOKUP(C6543,Меню!A:E,5,0)</f>
        <v>250</v>
      </c>
    </row>
    <row r="6544" spans="1:6" ht="15.75" hidden="1" customHeight="1" x14ac:dyDescent="0.35">
      <c r="A6544" s="1">
        <v>6543</v>
      </c>
      <c r="B6544" s="1">
        <v>1295</v>
      </c>
      <c r="C6544" s="1">
        <v>28</v>
      </c>
      <c r="D6544" t="str">
        <f>VLOOKUP(B6544,Заказы!A:C,3,0)</f>
        <v>2024-01-11 20:17:00</v>
      </c>
      <c r="E6544" t="str">
        <f>VLOOKUP(C6544,Меню!A:E,4,0)</f>
        <v>Салат</v>
      </c>
      <c r="F6544">
        <f>VLOOKUP(C6544,Меню!A:E,5,0)</f>
        <v>250</v>
      </c>
    </row>
    <row r="6545" spans="1:6" ht="15.75" hidden="1" customHeight="1" x14ac:dyDescent="0.35">
      <c r="A6545" s="1">
        <v>6544</v>
      </c>
      <c r="B6545" s="1">
        <v>1295</v>
      </c>
      <c r="C6545" s="1">
        <v>44</v>
      </c>
      <c r="D6545" t="str">
        <f>VLOOKUP(B6545,Заказы!A:C,3,0)</f>
        <v>2024-01-11 20:17:00</v>
      </c>
      <c r="E6545" t="str">
        <f>VLOOKUP(C6545,Меню!A:E,4,0)</f>
        <v>Суши</v>
      </c>
      <c r="F6545">
        <f>VLOOKUP(C6545,Меню!A:E,5,0)</f>
        <v>250</v>
      </c>
    </row>
    <row r="6546" spans="1:6" ht="15.75" hidden="1" customHeight="1" x14ac:dyDescent="0.35">
      <c r="A6546" s="1">
        <v>6545</v>
      </c>
      <c r="B6546" s="1">
        <v>1295</v>
      </c>
      <c r="C6546" s="1">
        <v>45</v>
      </c>
      <c r="D6546" t="str">
        <f>VLOOKUP(B6546,Заказы!A:C,3,0)</f>
        <v>2024-01-11 20:17:00</v>
      </c>
      <c r="E6546" t="str">
        <f>VLOOKUP(C6546,Меню!A:E,4,0)</f>
        <v>Суши</v>
      </c>
      <c r="F6546">
        <f>VLOOKUP(C6546,Меню!A:E,5,0)</f>
        <v>200</v>
      </c>
    </row>
    <row r="6547" spans="1:6" ht="15.75" hidden="1" customHeight="1" x14ac:dyDescent="0.35">
      <c r="A6547" s="1">
        <v>6546</v>
      </c>
      <c r="B6547" s="1">
        <v>1295</v>
      </c>
      <c r="C6547" s="1">
        <v>22</v>
      </c>
      <c r="D6547" t="str">
        <f>VLOOKUP(B6547,Заказы!A:C,3,0)</f>
        <v>2024-01-11 20:17:00</v>
      </c>
      <c r="E6547" t="str">
        <f>VLOOKUP(C6547,Меню!A:E,4,0)</f>
        <v>Салат</v>
      </c>
      <c r="F6547">
        <f>VLOOKUP(C6547,Меню!A:E,5,0)</f>
        <v>250</v>
      </c>
    </row>
    <row r="6548" spans="1:6" ht="15.75" hidden="1" customHeight="1" x14ac:dyDescent="0.35">
      <c r="A6548" s="1">
        <v>6547</v>
      </c>
      <c r="B6548" s="1">
        <v>1295</v>
      </c>
      <c r="C6548" s="1">
        <v>11</v>
      </c>
      <c r="D6548" t="str">
        <f>VLOOKUP(B6548,Заказы!A:C,3,0)</f>
        <v>2024-01-11 20:17:00</v>
      </c>
      <c r="E6548" t="str">
        <f>VLOOKUP(C6548,Меню!A:E,4,0)</f>
        <v>Первое</v>
      </c>
      <c r="F6548">
        <f>VLOOKUP(C6548,Меню!A:E,5,0)</f>
        <v>300</v>
      </c>
    </row>
    <row r="6549" spans="1:6" ht="15.75" hidden="1" customHeight="1" x14ac:dyDescent="0.35">
      <c r="A6549" s="1">
        <v>6548</v>
      </c>
      <c r="B6549" s="1">
        <v>1295</v>
      </c>
      <c r="C6549" s="1">
        <v>49</v>
      </c>
      <c r="D6549" t="str">
        <f>VLOOKUP(B6549,Заказы!A:C,3,0)</f>
        <v>2024-01-11 20:17:00</v>
      </c>
      <c r="E6549" t="str">
        <f>VLOOKUP(C6549,Меню!A:E,4,0)</f>
        <v>Суши</v>
      </c>
      <c r="F6549">
        <f>VLOOKUP(C6549,Меню!A:E,5,0)</f>
        <v>200</v>
      </c>
    </row>
    <row r="6550" spans="1:6" ht="15.75" customHeight="1" x14ac:dyDescent="0.35">
      <c r="A6550" s="1">
        <v>6549</v>
      </c>
      <c r="B6550" s="1">
        <v>1296</v>
      </c>
      <c r="C6550" s="1">
        <v>38</v>
      </c>
      <c r="D6550" t="str">
        <f>VLOOKUP(B6550,Заказы!A:C,3,0)</f>
        <v>2024-01-11 21:31:00</v>
      </c>
      <c r="E6550" t="str">
        <f>VLOOKUP(C6550,Меню!A:E,4,0)</f>
        <v>Десерт</v>
      </c>
      <c r="F6550">
        <f>VLOOKUP(C6550,Меню!A:E,5,0)</f>
        <v>150</v>
      </c>
    </row>
    <row r="6551" spans="1:6" ht="15.75" hidden="1" customHeight="1" x14ac:dyDescent="0.35">
      <c r="A6551" s="1">
        <v>6550</v>
      </c>
      <c r="B6551" s="1">
        <v>1296</v>
      </c>
      <c r="C6551" s="1">
        <v>51</v>
      </c>
      <c r="D6551" t="str">
        <f>VLOOKUP(B6551,Заказы!A:C,3,0)</f>
        <v>2024-01-11 21:31:00</v>
      </c>
      <c r="E6551" t="str">
        <f>VLOOKUP(C6551,Меню!A:E,4,0)</f>
        <v>Суши</v>
      </c>
      <c r="F6551">
        <f>VLOOKUP(C6551,Меню!A:E,5,0)</f>
        <v>100</v>
      </c>
    </row>
    <row r="6552" spans="1:6" ht="15.75" customHeight="1" x14ac:dyDescent="0.35">
      <c r="A6552" s="1">
        <v>6551</v>
      </c>
      <c r="B6552" s="1">
        <v>1296</v>
      </c>
      <c r="C6552" s="1">
        <v>37</v>
      </c>
      <c r="D6552" t="str">
        <f>VLOOKUP(B6552,Заказы!A:C,3,0)</f>
        <v>2024-01-11 21:31:00</v>
      </c>
      <c r="E6552" t="str">
        <f>VLOOKUP(C6552,Меню!A:E,4,0)</f>
        <v>Десерт</v>
      </c>
      <c r="F6552">
        <f>VLOOKUP(C6552,Меню!A:E,5,0)</f>
        <v>100</v>
      </c>
    </row>
    <row r="6553" spans="1:6" ht="15.75" hidden="1" customHeight="1" x14ac:dyDescent="0.35">
      <c r="A6553" s="1">
        <v>6552</v>
      </c>
      <c r="B6553" s="1">
        <v>1296</v>
      </c>
      <c r="C6553" s="1">
        <v>11</v>
      </c>
      <c r="D6553" t="str">
        <f>VLOOKUP(B6553,Заказы!A:C,3,0)</f>
        <v>2024-01-11 21:31:00</v>
      </c>
      <c r="E6553" t="str">
        <f>VLOOKUP(C6553,Меню!A:E,4,0)</f>
        <v>Первое</v>
      </c>
      <c r="F6553">
        <f>VLOOKUP(C6553,Меню!A:E,5,0)</f>
        <v>300</v>
      </c>
    </row>
    <row r="6554" spans="1:6" ht="15.75" hidden="1" customHeight="1" x14ac:dyDescent="0.35">
      <c r="A6554" s="1">
        <v>6553</v>
      </c>
      <c r="B6554" s="1">
        <v>1297</v>
      </c>
      <c r="C6554" s="1">
        <v>53</v>
      </c>
      <c r="D6554" t="str">
        <f>VLOOKUP(B6554,Заказы!A:C,3,0)</f>
        <v>2024-01-12 17:10:00</v>
      </c>
      <c r="E6554" t="str">
        <f>VLOOKUP(C6554,Меню!A:E,4,0)</f>
        <v>Суши</v>
      </c>
      <c r="F6554">
        <f>VLOOKUP(C6554,Меню!A:E,5,0)</f>
        <v>100</v>
      </c>
    </row>
    <row r="6555" spans="1:6" ht="15.75" hidden="1" customHeight="1" x14ac:dyDescent="0.35">
      <c r="A6555" s="1">
        <v>6554</v>
      </c>
      <c r="B6555" s="1">
        <v>1297</v>
      </c>
      <c r="C6555" s="1">
        <v>43</v>
      </c>
      <c r="D6555" t="str">
        <f>VLOOKUP(B6555,Заказы!A:C,3,0)</f>
        <v>2024-01-12 17:10:00</v>
      </c>
      <c r="E6555" t="str">
        <f>VLOOKUP(C6555,Меню!A:E,4,0)</f>
        <v>Суши</v>
      </c>
      <c r="F6555">
        <f>VLOOKUP(C6555,Меню!A:E,5,0)</f>
        <v>250</v>
      </c>
    </row>
    <row r="6556" spans="1:6" ht="15.75" customHeight="1" x14ac:dyDescent="0.35">
      <c r="A6556" s="1">
        <v>6555</v>
      </c>
      <c r="B6556" s="1">
        <v>1297</v>
      </c>
      <c r="C6556" s="1">
        <v>35</v>
      </c>
      <c r="D6556" t="str">
        <f>VLOOKUP(B6556,Заказы!A:C,3,0)</f>
        <v>2024-01-12 17:10:00</v>
      </c>
      <c r="E6556" t="str">
        <f>VLOOKUP(C6556,Меню!A:E,4,0)</f>
        <v>Десерт</v>
      </c>
      <c r="F6556">
        <f>VLOOKUP(C6556,Меню!A:E,5,0)</f>
        <v>150</v>
      </c>
    </row>
    <row r="6557" spans="1:6" ht="15.75" hidden="1" customHeight="1" x14ac:dyDescent="0.35">
      <c r="A6557" s="1">
        <v>6556</v>
      </c>
      <c r="B6557" s="1">
        <v>1298</v>
      </c>
      <c r="C6557" s="1">
        <v>7</v>
      </c>
      <c r="D6557" t="str">
        <f>VLOOKUP(B6557,Заказы!A:C,3,0)</f>
        <v>2024-01-12 19:24:00</v>
      </c>
      <c r="E6557" t="str">
        <f>VLOOKUP(C6557,Меню!A:E,4,0)</f>
        <v>Завтрак</v>
      </c>
      <c r="F6557">
        <f>VLOOKUP(C6557,Меню!A:E,5,0)</f>
        <v>200</v>
      </c>
    </row>
    <row r="6558" spans="1:6" ht="15.75" customHeight="1" x14ac:dyDescent="0.35">
      <c r="A6558" s="1">
        <v>6557</v>
      </c>
      <c r="B6558" s="1">
        <v>1298</v>
      </c>
      <c r="C6558" s="1">
        <v>32</v>
      </c>
      <c r="D6558" t="str">
        <f>VLOOKUP(B6558,Заказы!A:C,3,0)</f>
        <v>2024-01-12 19:24:00</v>
      </c>
      <c r="E6558" t="str">
        <f>VLOOKUP(C6558,Меню!A:E,4,0)</f>
        <v>Десерт</v>
      </c>
      <c r="F6558">
        <f>VLOOKUP(C6558,Меню!A:E,5,0)</f>
        <v>150</v>
      </c>
    </row>
    <row r="6559" spans="1:6" ht="15.75" customHeight="1" x14ac:dyDescent="0.35">
      <c r="A6559" s="1">
        <v>6558</v>
      </c>
      <c r="B6559" s="1">
        <v>1298</v>
      </c>
      <c r="C6559" s="1">
        <v>38</v>
      </c>
      <c r="D6559" t="str">
        <f>VLOOKUP(B6559,Заказы!A:C,3,0)</f>
        <v>2024-01-12 19:24:00</v>
      </c>
      <c r="E6559" t="str">
        <f>VLOOKUP(C6559,Меню!A:E,4,0)</f>
        <v>Десерт</v>
      </c>
      <c r="F6559">
        <f>VLOOKUP(C6559,Меню!A:E,5,0)</f>
        <v>150</v>
      </c>
    </row>
    <row r="6560" spans="1:6" ht="15.75" hidden="1" customHeight="1" x14ac:dyDescent="0.35">
      <c r="A6560" s="1">
        <v>6559</v>
      </c>
      <c r="B6560" s="1">
        <v>1299</v>
      </c>
      <c r="C6560" s="1">
        <v>43</v>
      </c>
      <c r="D6560" t="str">
        <f>VLOOKUP(B6560,Заказы!A:C,3,0)</f>
        <v>2024-01-12 21:25:00</v>
      </c>
      <c r="E6560" t="str">
        <f>VLOOKUP(C6560,Меню!A:E,4,0)</f>
        <v>Суши</v>
      </c>
      <c r="F6560">
        <f>VLOOKUP(C6560,Меню!A:E,5,0)</f>
        <v>250</v>
      </c>
    </row>
    <row r="6561" spans="1:6" ht="15.75" hidden="1" customHeight="1" x14ac:dyDescent="0.35">
      <c r="A6561" s="1">
        <v>6560</v>
      </c>
      <c r="B6561" s="1">
        <v>1299</v>
      </c>
      <c r="C6561" s="1">
        <v>21</v>
      </c>
      <c r="D6561" t="str">
        <f>VLOOKUP(B6561,Заказы!A:C,3,0)</f>
        <v>2024-01-12 21:25:00</v>
      </c>
      <c r="E6561" t="str">
        <f>VLOOKUP(C6561,Меню!A:E,4,0)</f>
        <v>Салат</v>
      </c>
      <c r="F6561">
        <f>VLOOKUP(C6561,Меню!A:E,5,0)</f>
        <v>250</v>
      </c>
    </row>
    <row r="6562" spans="1:6" ht="15.75" hidden="1" customHeight="1" x14ac:dyDescent="0.35">
      <c r="A6562" s="1">
        <v>6561</v>
      </c>
      <c r="B6562" s="1">
        <v>1299</v>
      </c>
      <c r="C6562" s="1">
        <v>24</v>
      </c>
      <c r="D6562" t="str">
        <f>VLOOKUP(B6562,Заказы!A:C,3,0)</f>
        <v>2024-01-12 21:25:00</v>
      </c>
      <c r="E6562" t="str">
        <f>VLOOKUP(C6562,Меню!A:E,4,0)</f>
        <v>Салат</v>
      </c>
      <c r="F6562">
        <f>VLOOKUP(C6562,Меню!A:E,5,0)</f>
        <v>250</v>
      </c>
    </row>
    <row r="6563" spans="1:6" ht="15.75" hidden="1" customHeight="1" x14ac:dyDescent="0.35">
      <c r="A6563" s="1">
        <v>6562</v>
      </c>
      <c r="B6563" s="1">
        <v>1299</v>
      </c>
      <c r="C6563" s="1">
        <v>25</v>
      </c>
      <c r="D6563" t="str">
        <f>VLOOKUP(B6563,Заказы!A:C,3,0)</f>
        <v>2024-01-12 21:25:00</v>
      </c>
      <c r="E6563" t="str">
        <f>VLOOKUP(C6563,Меню!A:E,4,0)</f>
        <v>Салат</v>
      </c>
      <c r="F6563">
        <f>VLOOKUP(C6563,Меню!A:E,5,0)</f>
        <v>250</v>
      </c>
    </row>
    <row r="6564" spans="1:6" ht="15.75" hidden="1" customHeight="1" x14ac:dyDescent="0.35">
      <c r="A6564" s="1">
        <v>6563</v>
      </c>
      <c r="B6564" s="1">
        <v>1299</v>
      </c>
      <c r="C6564" s="1">
        <v>4</v>
      </c>
      <c r="D6564" t="str">
        <f>VLOOKUP(B6564,Заказы!A:C,3,0)</f>
        <v>2024-01-12 21:25:00</v>
      </c>
      <c r="E6564" t="str">
        <f>VLOOKUP(C6564,Меню!A:E,4,0)</f>
        <v>Завтрак</v>
      </c>
      <c r="F6564">
        <f>VLOOKUP(C6564,Меню!A:E,5,0)</f>
        <v>180</v>
      </c>
    </row>
    <row r="6565" spans="1:6" ht="15.75" customHeight="1" x14ac:dyDescent="0.35">
      <c r="A6565" s="1">
        <v>6564</v>
      </c>
      <c r="B6565" s="1">
        <v>1300</v>
      </c>
      <c r="C6565" s="1">
        <v>39</v>
      </c>
      <c r="D6565" t="str">
        <f>VLOOKUP(B6565,Заказы!A:C,3,0)</f>
        <v>2024-01-13 15:08:00</v>
      </c>
      <c r="E6565" t="str">
        <f>VLOOKUP(C6565,Меню!A:E,4,0)</f>
        <v>Десерт</v>
      </c>
      <c r="F6565">
        <f>VLOOKUP(C6565,Меню!A:E,5,0)</f>
        <v>150</v>
      </c>
    </row>
    <row r="6566" spans="1:6" ht="15.75" hidden="1" customHeight="1" x14ac:dyDescent="0.35">
      <c r="A6566" s="1">
        <v>6565</v>
      </c>
      <c r="B6566" s="1">
        <v>1301</v>
      </c>
      <c r="C6566" s="1">
        <v>57</v>
      </c>
      <c r="D6566" t="str">
        <f>VLOOKUP(B6566,Заказы!A:C,3,0)</f>
        <v>2024-01-13 15:11:00</v>
      </c>
      <c r="E6566" t="str">
        <f>VLOOKUP(C6566,Меню!A:E,4,0)</f>
        <v>Суши</v>
      </c>
      <c r="F6566">
        <f>VLOOKUP(C6566,Меню!A:E,5,0)</f>
        <v>200</v>
      </c>
    </row>
    <row r="6567" spans="1:6" ht="15.75" hidden="1" customHeight="1" x14ac:dyDescent="0.35">
      <c r="A6567" s="1">
        <v>6566</v>
      </c>
      <c r="B6567" s="1">
        <v>1301</v>
      </c>
      <c r="C6567" s="1">
        <v>44</v>
      </c>
      <c r="D6567" t="str">
        <f>VLOOKUP(B6567,Заказы!A:C,3,0)</f>
        <v>2024-01-13 15:11:00</v>
      </c>
      <c r="E6567" t="str">
        <f>VLOOKUP(C6567,Меню!A:E,4,0)</f>
        <v>Суши</v>
      </c>
      <c r="F6567">
        <f>VLOOKUP(C6567,Меню!A:E,5,0)</f>
        <v>250</v>
      </c>
    </row>
    <row r="6568" spans="1:6" ht="15.75" hidden="1" customHeight="1" x14ac:dyDescent="0.35">
      <c r="A6568" s="1">
        <v>6567</v>
      </c>
      <c r="B6568" s="1">
        <v>1301</v>
      </c>
      <c r="C6568" s="1">
        <v>30</v>
      </c>
      <c r="D6568" t="str">
        <f>VLOOKUP(B6568,Заказы!A:C,3,0)</f>
        <v>2024-01-13 15:11:00</v>
      </c>
      <c r="E6568" t="str">
        <f>VLOOKUP(C6568,Меню!A:E,4,0)</f>
        <v>Салат</v>
      </c>
      <c r="F6568">
        <f>VLOOKUP(C6568,Меню!A:E,5,0)</f>
        <v>250</v>
      </c>
    </row>
    <row r="6569" spans="1:6" ht="15.75" hidden="1" customHeight="1" x14ac:dyDescent="0.35">
      <c r="A6569" s="1">
        <v>6568</v>
      </c>
      <c r="B6569" s="1">
        <v>1302</v>
      </c>
      <c r="C6569" s="1">
        <v>18</v>
      </c>
      <c r="D6569" t="str">
        <f>VLOOKUP(B6569,Заказы!A:C,3,0)</f>
        <v>2024-01-13 16:43:00</v>
      </c>
      <c r="E6569" t="str">
        <f>VLOOKUP(C6569,Меню!A:E,4,0)</f>
        <v>Первое</v>
      </c>
      <c r="F6569">
        <f>VLOOKUP(C6569,Меню!A:E,5,0)</f>
        <v>300</v>
      </c>
    </row>
    <row r="6570" spans="1:6" ht="15.75" hidden="1" customHeight="1" x14ac:dyDescent="0.35">
      <c r="A6570" s="1">
        <v>6569</v>
      </c>
      <c r="B6570" s="1">
        <v>1302</v>
      </c>
      <c r="C6570" s="1">
        <v>30</v>
      </c>
      <c r="D6570" t="str">
        <f>VLOOKUP(B6570,Заказы!A:C,3,0)</f>
        <v>2024-01-13 16:43:00</v>
      </c>
      <c r="E6570" t="str">
        <f>VLOOKUP(C6570,Меню!A:E,4,0)</f>
        <v>Салат</v>
      </c>
      <c r="F6570">
        <f>VLOOKUP(C6570,Меню!A:E,5,0)</f>
        <v>250</v>
      </c>
    </row>
    <row r="6571" spans="1:6" ht="15.75" hidden="1" customHeight="1" x14ac:dyDescent="0.35">
      <c r="A6571" s="1">
        <v>6570</v>
      </c>
      <c r="B6571" s="1">
        <v>1302</v>
      </c>
      <c r="C6571" s="1">
        <v>25</v>
      </c>
      <c r="D6571" t="str">
        <f>VLOOKUP(B6571,Заказы!A:C,3,0)</f>
        <v>2024-01-13 16:43:00</v>
      </c>
      <c r="E6571" t="str">
        <f>VLOOKUP(C6571,Меню!A:E,4,0)</f>
        <v>Салат</v>
      </c>
      <c r="F6571">
        <f>VLOOKUP(C6571,Меню!A:E,5,0)</f>
        <v>250</v>
      </c>
    </row>
    <row r="6572" spans="1:6" ht="15.75" hidden="1" customHeight="1" x14ac:dyDescent="0.35">
      <c r="A6572" s="1">
        <v>6571</v>
      </c>
      <c r="B6572" s="1">
        <v>1302</v>
      </c>
      <c r="C6572" s="1">
        <v>10</v>
      </c>
      <c r="D6572" t="str">
        <f>VLOOKUP(B6572,Заказы!A:C,3,0)</f>
        <v>2024-01-13 16:43:00</v>
      </c>
      <c r="E6572" t="str">
        <f>VLOOKUP(C6572,Меню!A:E,4,0)</f>
        <v>Завтрак</v>
      </c>
      <c r="F6572">
        <f>VLOOKUP(C6572,Меню!A:E,5,0)</f>
        <v>200</v>
      </c>
    </row>
    <row r="6573" spans="1:6" ht="15.75" hidden="1" customHeight="1" x14ac:dyDescent="0.35">
      <c r="A6573" s="1">
        <v>6572</v>
      </c>
      <c r="B6573" s="1">
        <v>1302</v>
      </c>
      <c r="C6573" s="1">
        <v>58</v>
      </c>
      <c r="D6573" t="str">
        <f>VLOOKUP(B6573,Заказы!A:C,3,0)</f>
        <v>2024-01-13 16:43:00</v>
      </c>
      <c r="E6573" t="str">
        <f>VLOOKUP(C6573,Меню!A:E,4,0)</f>
        <v>Суши</v>
      </c>
      <c r="F6573">
        <f>VLOOKUP(C6573,Меню!A:E,5,0)</f>
        <v>200</v>
      </c>
    </row>
    <row r="6574" spans="1:6" ht="15.75" hidden="1" customHeight="1" x14ac:dyDescent="0.35">
      <c r="A6574" s="1">
        <v>6573</v>
      </c>
      <c r="B6574" s="1">
        <v>1303</v>
      </c>
      <c r="C6574" s="1">
        <v>59</v>
      </c>
      <c r="D6574" t="str">
        <f>VLOOKUP(B6574,Заказы!A:C,3,0)</f>
        <v>2024-01-13 17:29:00</v>
      </c>
      <c r="E6574" t="str">
        <f>VLOOKUP(C6574,Меню!A:E,4,0)</f>
        <v>Суши</v>
      </c>
      <c r="F6574">
        <f>VLOOKUP(C6574,Меню!A:E,5,0)</f>
        <v>300</v>
      </c>
    </row>
    <row r="6575" spans="1:6" ht="15.75" hidden="1" customHeight="1" x14ac:dyDescent="0.35">
      <c r="A6575" s="1">
        <v>6574</v>
      </c>
      <c r="B6575" s="1">
        <v>1303</v>
      </c>
      <c r="C6575" s="1">
        <v>2</v>
      </c>
      <c r="D6575" t="str">
        <f>VLOOKUP(B6575,Заказы!A:C,3,0)</f>
        <v>2024-01-13 17:29:00</v>
      </c>
      <c r="E6575" t="str">
        <f>VLOOKUP(C6575,Меню!A:E,4,0)</f>
        <v>Завтрак</v>
      </c>
      <c r="F6575">
        <f>VLOOKUP(C6575,Меню!A:E,5,0)</f>
        <v>250</v>
      </c>
    </row>
    <row r="6576" spans="1:6" ht="15.75" hidden="1" customHeight="1" x14ac:dyDescent="0.35">
      <c r="A6576" s="1">
        <v>6575</v>
      </c>
      <c r="B6576" s="1">
        <v>1303</v>
      </c>
      <c r="C6576" s="1">
        <v>46</v>
      </c>
      <c r="D6576" t="str">
        <f>VLOOKUP(B6576,Заказы!A:C,3,0)</f>
        <v>2024-01-13 17:29:00</v>
      </c>
      <c r="E6576" t="str">
        <f>VLOOKUP(C6576,Меню!A:E,4,0)</f>
        <v>Суши</v>
      </c>
      <c r="F6576">
        <f>VLOOKUP(C6576,Меню!A:E,5,0)</f>
        <v>200</v>
      </c>
    </row>
    <row r="6577" spans="1:6" ht="15.75" hidden="1" customHeight="1" x14ac:dyDescent="0.35">
      <c r="A6577" s="1">
        <v>6576</v>
      </c>
      <c r="B6577" s="1">
        <v>1304</v>
      </c>
      <c r="C6577" s="1">
        <v>51</v>
      </c>
      <c r="D6577" t="str">
        <f>VLOOKUP(B6577,Заказы!A:C,3,0)</f>
        <v>2024-01-13 19:34:00</v>
      </c>
      <c r="E6577" t="str">
        <f>VLOOKUP(C6577,Меню!A:E,4,0)</f>
        <v>Суши</v>
      </c>
      <c r="F6577">
        <f>VLOOKUP(C6577,Меню!A:E,5,0)</f>
        <v>100</v>
      </c>
    </row>
    <row r="6578" spans="1:6" ht="15.75" customHeight="1" x14ac:dyDescent="0.35">
      <c r="A6578" s="1">
        <v>6577</v>
      </c>
      <c r="B6578" s="1">
        <v>1304</v>
      </c>
      <c r="C6578" s="1">
        <v>33</v>
      </c>
      <c r="D6578" t="str">
        <f>VLOOKUP(B6578,Заказы!A:C,3,0)</f>
        <v>2024-01-13 19:34:00</v>
      </c>
      <c r="E6578" t="str">
        <f>VLOOKUP(C6578,Меню!A:E,4,0)</f>
        <v>Десерт</v>
      </c>
      <c r="F6578">
        <f>VLOOKUP(C6578,Меню!A:E,5,0)</f>
        <v>150</v>
      </c>
    </row>
    <row r="6579" spans="1:6" ht="15.75" customHeight="1" x14ac:dyDescent="0.35">
      <c r="A6579" s="1">
        <v>6578</v>
      </c>
      <c r="B6579" s="1">
        <v>1304</v>
      </c>
      <c r="C6579" s="1">
        <v>35</v>
      </c>
      <c r="D6579" t="str">
        <f>VLOOKUP(B6579,Заказы!A:C,3,0)</f>
        <v>2024-01-13 19:34:00</v>
      </c>
      <c r="E6579" t="str">
        <f>VLOOKUP(C6579,Меню!A:E,4,0)</f>
        <v>Десерт</v>
      </c>
      <c r="F6579">
        <f>VLOOKUP(C6579,Меню!A:E,5,0)</f>
        <v>150</v>
      </c>
    </row>
    <row r="6580" spans="1:6" ht="15.75" hidden="1" customHeight="1" x14ac:dyDescent="0.35">
      <c r="A6580" s="1">
        <v>6579</v>
      </c>
      <c r="B6580" s="1">
        <v>1304</v>
      </c>
      <c r="C6580" s="1">
        <v>51</v>
      </c>
      <c r="D6580" t="str">
        <f>VLOOKUP(B6580,Заказы!A:C,3,0)</f>
        <v>2024-01-13 19:34:00</v>
      </c>
      <c r="E6580" t="str">
        <f>VLOOKUP(C6580,Меню!A:E,4,0)</f>
        <v>Суши</v>
      </c>
      <c r="F6580">
        <f>VLOOKUP(C6580,Меню!A:E,5,0)</f>
        <v>100</v>
      </c>
    </row>
    <row r="6581" spans="1:6" ht="15.75" customHeight="1" x14ac:dyDescent="0.35">
      <c r="A6581" s="1">
        <v>6580</v>
      </c>
      <c r="B6581" s="1">
        <v>1304</v>
      </c>
      <c r="C6581" s="1">
        <v>32</v>
      </c>
      <c r="D6581" t="str">
        <f>VLOOKUP(B6581,Заказы!A:C,3,0)</f>
        <v>2024-01-13 19:34:00</v>
      </c>
      <c r="E6581" t="str">
        <f>VLOOKUP(C6581,Меню!A:E,4,0)</f>
        <v>Десерт</v>
      </c>
      <c r="F6581">
        <f>VLOOKUP(C6581,Меню!A:E,5,0)</f>
        <v>150</v>
      </c>
    </row>
    <row r="6582" spans="1:6" ht="15.75" hidden="1" customHeight="1" x14ac:dyDescent="0.35">
      <c r="A6582" s="1">
        <v>6581</v>
      </c>
      <c r="B6582" s="1">
        <v>1305</v>
      </c>
      <c r="C6582" s="1">
        <v>29</v>
      </c>
      <c r="D6582" t="str">
        <f>VLOOKUP(B6582,Заказы!A:C,3,0)</f>
        <v>2024-01-13 20:49:00</v>
      </c>
      <c r="E6582" t="str">
        <f>VLOOKUP(C6582,Меню!A:E,4,0)</f>
        <v>Салат</v>
      </c>
      <c r="F6582">
        <f>VLOOKUP(C6582,Меню!A:E,5,0)</f>
        <v>250</v>
      </c>
    </row>
    <row r="6583" spans="1:6" ht="15.75" hidden="1" customHeight="1" x14ac:dyDescent="0.35">
      <c r="A6583" s="1">
        <v>6582</v>
      </c>
      <c r="B6583" s="1">
        <v>1305</v>
      </c>
      <c r="C6583" s="1">
        <v>2</v>
      </c>
      <c r="D6583" t="str">
        <f>VLOOKUP(B6583,Заказы!A:C,3,0)</f>
        <v>2024-01-13 20:49:00</v>
      </c>
      <c r="E6583" t="str">
        <f>VLOOKUP(C6583,Меню!A:E,4,0)</f>
        <v>Завтрак</v>
      </c>
      <c r="F6583">
        <f>VLOOKUP(C6583,Меню!A:E,5,0)</f>
        <v>250</v>
      </c>
    </row>
    <row r="6584" spans="1:6" ht="15.75" hidden="1" customHeight="1" x14ac:dyDescent="0.35">
      <c r="A6584" s="1">
        <v>6583</v>
      </c>
      <c r="B6584" s="1">
        <v>1305</v>
      </c>
      <c r="C6584" s="1">
        <v>53</v>
      </c>
      <c r="D6584" t="str">
        <f>VLOOKUP(B6584,Заказы!A:C,3,0)</f>
        <v>2024-01-13 20:49:00</v>
      </c>
      <c r="E6584" t="str">
        <f>VLOOKUP(C6584,Меню!A:E,4,0)</f>
        <v>Суши</v>
      </c>
      <c r="F6584">
        <f>VLOOKUP(C6584,Меню!A:E,5,0)</f>
        <v>100</v>
      </c>
    </row>
    <row r="6585" spans="1:6" ht="15.75" hidden="1" customHeight="1" x14ac:dyDescent="0.35">
      <c r="A6585" s="1">
        <v>6584</v>
      </c>
      <c r="B6585" s="1">
        <v>1305</v>
      </c>
      <c r="C6585" s="1">
        <v>22</v>
      </c>
      <c r="D6585" t="str">
        <f>VLOOKUP(B6585,Заказы!A:C,3,0)</f>
        <v>2024-01-13 20:49:00</v>
      </c>
      <c r="E6585" t="str">
        <f>VLOOKUP(C6585,Меню!A:E,4,0)</f>
        <v>Салат</v>
      </c>
      <c r="F6585">
        <f>VLOOKUP(C6585,Меню!A:E,5,0)</f>
        <v>250</v>
      </c>
    </row>
    <row r="6586" spans="1:6" ht="15.75" hidden="1" customHeight="1" x14ac:dyDescent="0.35">
      <c r="A6586" s="1">
        <v>6585</v>
      </c>
      <c r="B6586" s="1">
        <v>1305</v>
      </c>
      <c r="C6586" s="1">
        <v>41</v>
      </c>
      <c r="D6586" t="str">
        <f>VLOOKUP(B6586,Заказы!A:C,3,0)</f>
        <v>2024-01-13 20:49:00</v>
      </c>
      <c r="E6586" t="str">
        <f>VLOOKUP(C6586,Меню!A:E,4,0)</f>
        <v>Суши</v>
      </c>
      <c r="F6586">
        <f>VLOOKUP(C6586,Меню!A:E,5,0)</f>
        <v>220</v>
      </c>
    </row>
    <row r="6587" spans="1:6" ht="15.75" hidden="1" customHeight="1" x14ac:dyDescent="0.35">
      <c r="A6587" s="1">
        <v>6586</v>
      </c>
      <c r="B6587" s="1">
        <v>1305</v>
      </c>
      <c r="C6587" s="1">
        <v>7</v>
      </c>
      <c r="D6587" t="str">
        <f>VLOOKUP(B6587,Заказы!A:C,3,0)</f>
        <v>2024-01-13 20:49:00</v>
      </c>
      <c r="E6587" t="str">
        <f>VLOOKUP(C6587,Меню!A:E,4,0)</f>
        <v>Завтрак</v>
      </c>
      <c r="F6587">
        <f>VLOOKUP(C6587,Меню!A:E,5,0)</f>
        <v>200</v>
      </c>
    </row>
    <row r="6588" spans="1:6" ht="15.75" hidden="1" customHeight="1" x14ac:dyDescent="0.35">
      <c r="A6588" s="1">
        <v>6587</v>
      </c>
      <c r="B6588" s="1">
        <v>1306</v>
      </c>
      <c r="C6588" s="1">
        <v>50</v>
      </c>
      <c r="D6588" t="str">
        <f>VLOOKUP(B6588,Заказы!A:C,3,0)</f>
        <v>2024-01-13 21:53:00</v>
      </c>
      <c r="E6588" t="str">
        <f>VLOOKUP(C6588,Меню!A:E,4,0)</f>
        <v>Суши</v>
      </c>
      <c r="F6588">
        <f>VLOOKUP(C6588,Меню!A:E,5,0)</f>
        <v>200</v>
      </c>
    </row>
    <row r="6589" spans="1:6" ht="15.75" hidden="1" customHeight="1" x14ac:dyDescent="0.35">
      <c r="A6589" s="1">
        <v>6588</v>
      </c>
      <c r="B6589" s="1">
        <v>1306</v>
      </c>
      <c r="C6589" s="1">
        <v>3</v>
      </c>
      <c r="D6589" t="str">
        <f>VLOOKUP(B6589,Заказы!A:C,3,0)</f>
        <v>2024-01-13 21:53:00</v>
      </c>
      <c r="E6589" t="str">
        <f>VLOOKUP(C6589,Меню!A:E,4,0)</f>
        <v>Завтрак</v>
      </c>
      <c r="F6589">
        <f>VLOOKUP(C6589,Меню!A:E,5,0)</f>
        <v>150</v>
      </c>
    </row>
    <row r="6590" spans="1:6" ht="15.75" hidden="1" customHeight="1" x14ac:dyDescent="0.35">
      <c r="A6590" s="1">
        <v>6589</v>
      </c>
      <c r="B6590" s="1">
        <v>1306</v>
      </c>
      <c r="C6590" s="1">
        <v>3</v>
      </c>
      <c r="D6590" t="str">
        <f>VLOOKUP(B6590,Заказы!A:C,3,0)</f>
        <v>2024-01-13 21:53:00</v>
      </c>
      <c r="E6590" t="str">
        <f>VLOOKUP(C6590,Меню!A:E,4,0)</f>
        <v>Завтрак</v>
      </c>
      <c r="F6590">
        <f>VLOOKUP(C6590,Меню!A:E,5,0)</f>
        <v>150</v>
      </c>
    </row>
    <row r="6591" spans="1:6" ht="15.75" hidden="1" customHeight="1" x14ac:dyDescent="0.35">
      <c r="A6591" s="1">
        <v>6590</v>
      </c>
      <c r="B6591" s="1">
        <v>1306</v>
      </c>
      <c r="C6591" s="1">
        <v>58</v>
      </c>
      <c r="D6591" t="str">
        <f>VLOOKUP(B6591,Заказы!A:C,3,0)</f>
        <v>2024-01-13 21:53:00</v>
      </c>
      <c r="E6591" t="str">
        <f>VLOOKUP(C6591,Меню!A:E,4,0)</f>
        <v>Суши</v>
      </c>
      <c r="F6591">
        <f>VLOOKUP(C6591,Меню!A:E,5,0)</f>
        <v>200</v>
      </c>
    </row>
    <row r="6592" spans="1:6" ht="15.75" customHeight="1" x14ac:dyDescent="0.35">
      <c r="A6592" s="1">
        <v>6591</v>
      </c>
      <c r="B6592" s="1">
        <v>1306</v>
      </c>
      <c r="C6592" s="1">
        <v>34</v>
      </c>
      <c r="D6592" t="str">
        <f>VLOOKUP(B6592,Заказы!A:C,3,0)</f>
        <v>2024-01-13 21:53:00</v>
      </c>
      <c r="E6592" t="str">
        <f>VLOOKUP(C6592,Меню!A:E,4,0)</f>
        <v>Десерт</v>
      </c>
      <c r="F6592">
        <f>VLOOKUP(C6592,Меню!A:E,5,0)</f>
        <v>150</v>
      </c>
    </row>
    <row r="6593" spans="1:6" ht="15.75" hidden="1" customHeight="1" x14ac:dyDescent="0.35">
      <c r="A6593" s="1">
        <v>6592</v>
      </c>
      <c r="B6593" s="1">
        <v>1306</v>
      </c>
      <c r="C6593" s="1">
        <v>53</v>
      </c>
      <c r="D6593" t="str">
        <f>VLOOKUP(B6593,Заказы!A:C,3,0)</f>
        <v>2024-01-13 21:53:00</v>
      </c>
      <c r="E6593" t="str">
        <f>VLOOKUP(C6593,Меню!A:E,4,0)</f>
        <v>Суши</v>
      </c>
      <c r="F6593">
        <f>VLOOKUP(C6593,Меню!A:E,5,0)</f>
        <v>100</v>
      </c>
    </row>
    <row r="6594" spans="1:6" ht="15.75" hidden="1" customHeight="1" x14ac:dyDescent="0.35">
      <c r="A6594" s="1">
        <v>6593</v>
      </c>
      <c r="B6594" s="1">
        <v>1307</v>
      </c>
      <c r="C6594" s="1">
        <v>2</v>
      </c>
      <c r="D6594" t="str">
        <f>VLOOKUP(B6594,Заказы!A:C,3,0)</f>
        <v>2024-01-14 15:51:00</v>
      </c>
      <c r="E6594" t="str">
        <f>VLOOKUP(C6594,Меню!A:E,4,0)</f>
        <v>Завтрак</v>
      </c>
      <c r="F6594">
        <f>VLOOKUP(C6594,Меню!A:E,5,0)</f>
        <v>250</v>
      </c>
    </row>
    <row r="6595" spans="1:6" ht="15.75" hidden="1" customHeight="1" x14ac:dyDescent="0.35">
      <c r="A6595" s="1">
        <v>6594</v>
      </c>
      <c r="B6595" s="1">
        <v>1307</v>
      </c>
      <c r="C6595" s="1">
        <v>14</v>
      </c>
      <c r="D6595" t="str">
        <f>VLOOKUP(B6595,Заказы!A:C,3,0)</f>
        <v>2024-01-14 15:51:00</v>
      </c>
      <c r="E6595" t="str">
        <f>VLOOKUP(C6595,Меню!A:E,4,0)</f>
        <v>Первое</v>
      </c>
      <c r="F6595">
        <f>VLOOKUP(C6595,Меню!A:E,5,0)</f>
        <v>350</v>
      </c>
    </row>
    <row r="6596" spans="1:6" ht="15.75" hidden="1" customHeight="1" x14ac:dyDescent="0.35">
      <c r="A6596" s="1">
        <v>6595</v>
      </c>
      <c r="B6596" s="1">
        <v>1307</v>
      </c>
      <c r="C6596" s="1">
        <v>52</v>
      </c>
      <c r="D6596" t="str">
        <f>VLOOKUP(B6596,Заказы!A:C,3,0)</f>
        <v>2024-01-14 15:51:00</v>
      </c>
      <c r="E6596" t="str">
        <f>VLOOKUP(C6596,Меню!A:E,4,0)</f>
        <v>Суши</v>
      </c>
      <c r="F6596">
        <f>VLOOKUP(C6596,Меню!A:E,5,0)</f>
        <v>100</v>
      </c>
    </row>
    <row r="6597" spans="1:6" ht="15.75" hidden="1" customHeight="1" x14ac:dyDescent="0.35">
      <c r="A6597" s="1">
        <v>6596</v>
      </c>
      <c r="B6597" s="1">
        <v>1307</v>
      </c>
      <c r="C6597" s="1">
        <v>42</v>
      </c>
      <c r="D6597" t="str">
        <f>VLOOKUP(B6597,Заказы!A:C,3,0)</f>
        <v>2024-01-14 15:51:00</v>
      </c>
      <c r="E6597" t="str">
        <f>VLOOKUP(C6597,Меню!A:E,4,0)</f>
        <v>Суши</v>
      </c>
      <c r="F6597">
        <f>VLOOKUP(C6597,Меню!A:E,5,0)</f>
        <v>250</v>
      </c>
    </row>
    <row r="6598" spans="1:6" ht="15.75" hidden="1" customHeight="1" x14ac:dyDescent="0.35">
      <c r="A6598" s="1">
        <v>6597</v>
      </c>
      <c r="B6598" s="1">
        <v>1307</v>
      </c>
      <c r="C6598" s="1">
        <v>3</v>
      </c>
      <c r="D6598" t="str">
        <f>VLOOKUP(B6598,Заказы!A:C,3,0)</f>
        <v>2024-01-14 15:51:00</v>
      </c>
      <c r="E6598" t="str">
        <f>VLOOKUP(C6598,Меню!A:E,4,0)</f>
        <v>Завтрак</v>
      </c>
      <c r="F6598">
        <f>VLOOKUP(C6598,Меню!A:E,5,0)</f>
        <v>150</v>
      </c>
    </row>
    <row r="6599" spans="1:6" ht="15.75" hidden="1" customHeight="1" x14ac:dyDescent="0.35">
      <c r="A6599" s="1">
        <v>6598</v>
      </c>
      <c r="B6599" s="1">
        <v>1307</v>
      </c>
      <c r="C6599" s="1">
        <v>52</v>
      </c>
      <c r="D6599" t="str">
        <f>VLOOKUP(B6599,Заказы!A:C,3,0)</f>
        <v>2024-01-14 15:51:00</v>
      </c>
      <c r="E6599" t="str">
        <f>VLOOKUP(C6599,Меню!A:E,4,0)</f>
        <v>Суши</v>
      </c>
      <c r="F6599">
        <f>VLOOKUP(C6599,Меню!A:E,5,0)</f>
        <v>100</v>
      </c>
    </row>
    <row r="6600" spans="1:6" ht="15.75" hidden="1" customHeight="1" x14ac:dyDescent="0.35">
      <c r="A6600" s="1">
        <v>6599</v>
      </c>
      <c r="B6600" s="1">
        <v>1308</v>
      </c>
      <c r="C6600" s="1">
        <v>16</v>
      </c>
      <c r="D6600" t="str">
        <f>VLOOKUP(B6600,Заказы!A:C,3,0)</f>
        <v>2024-01-14 18:39:00</v>
      </c>
      <c r="E6600" t="str">
        <f>VLOOKUP(C6600,Меню!A:E,4,0)</f>
        <v>Первое</v>
      </c>
      <c r="F6600">
        <f>VLOOKUP(C6600,Меню!A:E,5,0)</f>
        <v>250</v>
      </c>
    </row>
    <row r="6601" spans="1:6" ht="15.75" hidden="1" customHeight="1" x14ac:dyDescent="0.35">
      <c r="A6601" s="1">
        <v>6600</v>
      </c>
      <c r="B6601" s="1">
        <v>1309</v>
      </c>
      <c r="C6601" s="1">
        <v>59</v>
      </c>
      <c r="D6601" t="str">
        <f>VLOOKUP(B6601,Заказы!A:C,3,0)</f>
        <v>2024-01-14 19:32:00</v>
      </c>
      <c r="E6601" t="str">
        <f>VLOOKUP(C6601,Меню!A:E,4,0)</f>
        <v>Суши</v>
      </c>
      <c r="F6601">
        <f>VLOOKUP(C6601,Меню!A:E,5,0)</f>
        <v>300</v>
      </c>
    </row>
    <row r="6602" spans="1:6" ht="15.75" hidden="1" customHeight="1" x14ac:dyDescent="0.35">
      <c r="A6602" s="1">
        <v>6601</v>
      </c>
      <c r="B6602" s="1">
        <v>1309</v>
      </c>
      <c r="C6602" s="1">
        <v>49</v>
      </c>
      <c r="D6602" t="str">
        <f>VLOOKUP(B6602,Заказы!A:C,3,0)</f>
        <v>2024-01-14 19:32:00</v>
      </c>
      <c r="E6602" t="str">
        <f>VLOOKUP(C6602,Меню!A:E,4,0)</f>
        <v>Суши</v>
      </c>
      <c r="F6602">
        <f>VLOOKUP(C6602,Меню!A:E,5,0)</f>
        <v>200</v>
      </c>
    </row>
    <row r="6603" spans="1:6" ht="15.75" hidden="1" customHeight="1" x14ac:dyDescent="0.35">
      <c r="A6603" s="1">
        <v>6602</v>
      </c>
      <c r="B6603" s="1">
        <v>1309</v>
      </c>
      <c r="C6603" s="1">
        <v>55</v>
      </c>
      <c r="D6603" t="str">
        <f>VLOOKUP(B6603,Заказы!A:C,3,0)</f>
        <v>2024-01-14 19:32:00</v>
      </c>
      <c r="E6603" t="str">
        <f>VLOOKUP(C6603,Меню!A:E,4,0)</f>
        <v>Суши</v>
      </c>
      <c r="F6603">
        <f>VLOOKUP(C6603,Меню!A:E,5,0)</f>
        <v>100</v>
      </c>
    </row>
    <row r="6604" spans="1:6" ht="15.75" hidden="1" customHeight="1" x14ac:dyDescent="0.35">
      <c r="A6604" s="1">
        <v>6603</v>
      </c>
      <c r="B6604" s="1">
        <v>1309</v>
      </c>
      <c r="C6604" s="1">
        <v>1</v>
      </c>
      <c r="D6604" t="str">
        <f>VLOOKUP(B6604,Заказы!A:C,3,0)</f>
        <v>2024-01-14 19:32:00</v>
      </c>
      <c r="E6604" t="str">
        <f>VLOOKUP(C6604,Меню!A:E,4,0)</f>
        <v>Завтрак</v>
      </c>
      <c r="F6604">
        <f>VLOOKUP(C6604,Меню!A:E,5,0)</f>
        <v>200</v>
      </c>
    </row>
    <row r="6605" spans="1:6" ht="15.75" hidden="1" customHeight="1" x14ac:dyDescent="0.35">
      <c r="A6605" s="1">
        <v>6604</v>
      </c>
      <c r="B6605" s="1">
        <v>1309</v>
      </c>
      <c r="C6605" s="1">
        <v>1</v>
      </c>
      <c r="D6605" t="str">
        <f>VLOOKUP(B6605,Заказы!A:C,3,0)</f>
        <v>2024-01-14 19:32:00</v>
      </c>
      <c r="E6605" t="str">
        <f>VLOOKUP(C6605,Меню!A:E,4,0)</f>
        <v>Завтрак</v>
      </c>
      <c r="F6605">
        <f>VLOOKUP(C6605,Меню!A:E,5,0)</f>
        <v>200</v>
      </c>
    </row>
    <row r="6606" spans="1:6" ht="15.75" hidden="1" customHeight="1" x14ac:dyDescent="0.35">
      <c r="A6606" s="1">
        <v>6605</v>
      </c>
      <c r="B6606" s="1">
        <v>1309</v>
      </c>
      <c r="C6606" s="1">
        <v>29</v>
      </c>
      <c r="D6606" t="str">
        <f>VLOOKUP(B6606,Заказы!A:C,3,0)</f>
        <v>2024-01-14 19:32:00</v>
      </c>
      <c r="E6606" t="str">
        <f>VLOOKUP(C6606,Меню!A:E,4,0)</f>
        <v>Салат</v>
      </c>
      <c r="F6606">
        <f>VLOOKUP(C6606,Меню!A:E,5,0)</f>
        <v>250</v>
      </c>
    </row>
    <row r="6607" spans="1:6" ht="15.75" hidden="1" customHeight="1" x14ac:dyDescent="0.35">
      <c r="A6607" s="1">
        <v>6606</v>
      </c>
      <c r="B6607" s="1">
        <v>1310</v>
      </c>
      <c r="C6607" s="1">
        <v>7</v>
      </c>
      <c r="D6607" t="str">
        <f>VLOOKUP(B6607,Заказы!A:C,3,0)</f>
        <v>2024-01-14 22:46:00</v>
      </c>
      <c r="E6607" t="str">
        <f>VLOOKUP(C6607,Меню!A:E,4,0)</f>
        <v>Завтрак</v>
      </c>
      <c r="F6607">
        <f>VLOOKUP(C6607,Меню!A:E,5,0)</f>
        <v>200</v>
      </c>
    </row>
    <row r="6608" spans="1:6" ht="15.75" hidden="1" customHeight="1" x14ac:dyDescent="0.35">
      <c r="A6608" s="1">
        <v>6607</v>
      </c>
      <c r="B6608" s="1">
        <v>1310</v>
      </c>
      <c r="C6608" s="1">
        <v>14</v>
      </c>
      <c r="D6608" t="str">
        <f>VLOOKUP(B6608,Заказы!A:C,3,0)</f>
        <v>2024-01-14 22:46:00</v>
      </c>
      <c r="E6608" t="str">
        <f>VLOOKUP(C6608,Меню!A:E,4,0)</f>
        <v>Первое</v>
      </c>
      <c r="F6608">
        <f>VLOOKUP(C6608,Меню!A:E,5,0)</f>
        <v>350</v>
      </c>
    </row>
    <row r="6609" spans="1:6" ht="15.75" hidden="1" customHeight="1" x14ac:dyDescent="0.35">
      <c r="A6609" s="1">
        <v>6608</v>
      </c>
      <c r="B6609" s="1">
        <v>1310</v>
      </c>
      <c r="C6609" s="1">
        <v>10</v>
      </c>
      <c r="D6609" t="str">
        <f>VLOOKUP(B6609,Заказы!A:C,3,0)</f>
        <v>2024-01-14 22:46:00</v>
      </c>
      <c r="E6609" t="str">
        <f>VLOOKUP(C6609,Меню!A:E,4,0)</f>
        <v>Завтрак</v>
      </c>
      <c r="F6609">
        <f>VLOOKUP(C6609,Меню!A:E,5,0)</f>
        <v>200</v>
      </c>
    </row>
    <row r="6610" spans="1:6" ht="15.75" hidden="1" customHeight="1" x14ac:dyDescent="0.35">
      <c r="A6610" s="1">
        <v>6609</v>
      </c>
      <c r="B6610" s="1">
        <v>1310</v>
      </c>
      <c r="C6610" s="1">
        <v>5</v>
      </c>
      <c r="D6610" t="str">
        <f>VLOOKUP(B6610,Заказы!A:C,3,0)</f>
        <v>2024-01-14 22:46:00</v>
      </c>
      <c r="E6610" t="str">
        <f>VLOOKUP(C6610,Меню!A:E,4,0)</f>
        <v>Завтрак</v>
      </c>
      <c r="F6610">
        <f>VLOOKUP(C6610,Меню!A:E,5,0)</f>
        <v>220</v>
      </c>
    </row>
    <row r="6611" spans="1:6" ht="15.75" hidden="1" customHeight="1" x14ac:dyDescent="0.35">
      <c r="A6611" s="1">
        <v>6610</v>
      </c>
      <c r="B6611" s="1">
        <v>1310</v>
      </c>
      <c r="C6611" s="1">
        <v>41</v>
      </c>
      <c r="D6611" t="str">
        <f>VLOOKUP(B6611,Заказы!A:C,3,0)</f>
        <v>2024-01-14 22:46:00</v>
      </c>
      <c r="E6611" t="str">
        <f>VLOOKUP(C6611,Меню!A:E,4,0)</f>
        <v>Суши</v>
      </c>
      <c r="F6611">
        <f>VLOOKUP(C6611,Меню!A:E,5,0)</f>
        <v>220</v>
      </c>
    </row>
    <row r="6612" spans="1:6" ht="15.75" hidden="1" customHeight="1" x14ac:dyDescent="0.35">
      <c r="A6612" s="1">
        <v>6611</v>
      </c>
      <c r="B6612" s="1">
        <v>1310</v>
      </c>
      <c r="C6612" s="1">
        <v>16</v>
      </c>
      <c r="D6612" t="str">
        <f>VLOOKUP(B6612,Заказы!A:C,3,0)</f>
        <v>2024-01-14 22:46:00</v>
      </c>
      <c r="E6612" t="str">
        <f>VLOOKUP(C6612,Меню!A:E,4,0)</f>
        <v>Первое</v>
      </c>
      <c r="F6612">
        <f>VLOOKUP(C6612,Меню!A:E,5,0)</f>
        <v>250</v>
      </c>
    </row>
    <row r="6613" spans="1:6" ht="15.75" hidden="1" customHeight="1" x14ac:dyDescent="0.35">
      <c r="A6613" s="1">
        <v>6612</v>
      </c>
      <c r="B6613" s="1">
        <v>1310</v>
      </c>
      <c r="C6613" s="1">
        <v>15</v>
      </c>
      <c r="D6613" t="str">
        <f>VLOOKUP(B6613,Заказы!A:C,3,0)</f>
        <v>2024-01-14 22:46:00</v>
      </c>
      <c r="E6613" t="str">
        <f>VLOOKUP(C6613,Меню!A:E,4,0)</f>
        <v>Первое</v>
      </c>
      <c r="F6613">
        <f>VLOOKUP(C6613,Меню!A:E,5,0)</f>
        <v>250</v>
      </c>
    </row>
    <row r="6614" spans="1:6" ht="15.75" hidden="1" customHeight="1" x14ac:dyDescent="0.35">
      <c r="A6614" s="1">
        <v>6613</v>
      </c>
      <c r="B6614" s="1">
        <v>1310</v>
      </c>
      <c r="C6614" s="1">
        <v>53</v>
      </c>
      <c r="D6614" t="str">
        <f>VLOOKUP(B6614,Заказы!A:C,3,0)</f>
        <v>2024-01-14 22:46:00</v>
      </c>
      <c r="E6614" t="str">
        <f>VLOOKUP(C6614,Меню!A:E,4,0)</f>
        <v>Суши</v>
      </c>
      <c r="F6614">
        <f>VLOOKUP(C6614,Меню!A:E,5,0)</f>
        <v>100</v>
      </c>
    </row>
    <row r="6615" spans="1:6" ht="15.75" hidden="1" customHeight="1" x14ac:dyDescent="0.35">
      <c r="A6615" s="1">
        <v>6614</v>
      </c>
      <c r="B6615" s="1">
        <v>1311</v>
      </c>
      <c r="C6615" s="1">
        <v>59</v>
      </c>
      <c r="D6615" t="str">
        <f>VLOOKUP(B6615,Заказы!A:C,3,0)</f>
        <v>2024-01-15 15:07:00</v>
      </c>
      <c r="E6615" t="str">
        <f>VLOOKUP(C6615,Меню!A:E,4,0)</f>
        <v>Суши</v>
      </c>
      <c r="F6615">
        <f>VLOOKUP(C6615,Меню!A:E,5,0)</f>
        <v>300</v>
      </c>
    </row>
    <row r="6616" spans="1:6" ht="15.75" hidden="1" customHeight="1" x14ac:dyDescent="0.35">
      <c r="A6616" s="1">
        <v>6615</v>
      </c>
      <c r="B6616" s="1">
        <v>1311</v>
      </c>
      <c r="C6616" s="1">
        <v>4</v>
      </c>
      <c r="D6616" t="str">
        <f>VLOOKUP(B6616,Заказы!A:C,3,0)</f>
        <v>2024-01-15 15:07:00</v>
      </c>
      <c r="E6616" t="str">
        <f>VLOOKUP(C6616,Меню!A:E,4,0)</f>
        <v>Завтрак</v>
      </c>
      <c r="F6616">
        <f>VLOOKUP(C6616,Меню!A:E,5,0)</f>
        <v>180</v>
      </c>
    </row>
    <row r="6617" spans="1:6" ht="15.75" hidden="1" customHeight="1" x14ac:dyDescent="0.35">
      <c r="A6617" s="1">
        <v>6616</v>
      </c>
      <c r="B6617" s="1">
        <v>1311</v>
      </c>
      <c r="C6617" s="1">
        <v>20</v>
      </c>
      <c r="D6617" t="str">
        <f>VLOOKUP(B6617,Заказы!A:C,3,0)</f>
        <v>2024-01-15 15:07:00</v>
      </c>
      <c r="E6617" t="str">
        <f>VLOOKUP(C6617,Меню!A:E,4,0)</f>
        <v>Первое</v>
      </c>
      <c r="F6617">
        <f>VLOOKUP(C6617,Меню!A:E,5,0)</f>
        <v>250</v>
      </c>
    </row>
    <row r="6618" spans="1:6" ht="15.75" hidden="1" customHeight="1" x14ac:dyDescent="0.35">
      <c r="A6618" s="1">
        <v>6617</v>
      </c>
      <c r="B6618" s="1">
        <v>1311</v>
      </c>
      <c r="C6618" s="1">
        <v>6</v>
      </c>
      <c r="D6618" t="str">
        <f>VLOOKUP(B6618,Заказы!A:C,3,0)</f>
        <v>2024-01-15 15:07:00</v>
      </c>
      <c r="E6618" t="str">
        <f>VLOOKUP(C6618,Меню!A:E,4,0)</f>
        <v>Завтрак</v>
      </c>
      <c r="F6618">
        <f>VLOOKUP(C6618,Меню!A:E,5,0)</f>
        <v>300</v>
      </c>
    </row>
    <row r="6619" spans="1:6" ht="15.75" hidden="1" customHeight="1" x14ac:dyDescent="0.35">
      <c r="A6619" s="1">
        <v>6618</v>
      </c>
      <c r="B6619" s="1">
        <v>1311</v>
      </c>
      <c r="C6619" s="1">
        <v>48</v>
      </c>
      <c r="D6619" t="str">
        <f>VLOOKUP(B6619,Заказы!A:C,3,0)</f>
        <v>2024-01-15 15:07:00</v>
      </c>
      <c r="E6619" t="str">
        <f>VLOOKUP(C6619,Меню!A:E,4,0)</f>
        <v>Суши</v>
      </c>
      <c r="F6619">
        <f>VLOOKUP(C6619,Меню!A:E,5,0)</f>
        <v>200</v>
      </c>
    </row>
    <row r="6620" spans="1:6" ht="15.75" hidden="1" customHeight="1" x14ac:dyDescent="0.35">
      <c r="A6620" s="1">
        <v>6619</v>
      </c>
      <c r="B6620" s="1">
        <v>1312</v>
      </c>
      <c r="C6620" s="1">
        <v>28</v>
      </c>
      <c r="D6620" t="str">
        <f>VLOOKUP(B6620,Заказы!A:C,3,0)</f>
        <v>2024-01-15 15:19:00</v>
      </c>
      <c r="E6620" t="str">
        <f>VLOOKUP(C6620,Меню!A:E,4,0)</f>
        <v>Салат</v>
      </c>
      <c r="F6620">
        <f>VLOOKUP(C6620,Меню!A:E,5,0)</f>
        <v>250</v>
      </c>
    </row>
    <row r="6621" spans="1:6" ht="15.75" customHeight="1" x14ac:dyDescent="0.35">
      <c r="A6621" s="1">
        <v>6620</v>
      </c>
      <c r="B6621" s="1">
        <v>1312</v>
      </c>
      <c r="C6621" s="1">
        <v>39</v>
      </c>
      <c r="D6621" t="str">
        <f>VLOOKUP(B6621,Заказы!A:C,3,0)</f>
        <v>2024-01-15 15:19:00</v>
      </c>
      <c r="E6621" t="str">
        <f>VLOOKUP(C6621,Меню!A:E,4,0)</f>
        <v>Десерт</v>
      </c>
      <c r="F6621">
        <f>VLOOKUP(C6621,Меню!A:E,5,0)</f>
        <v>150</v>
      </c>
    </row>
    <row r="6622" spans="1:6" ht="15.75" hidden="1" customHeight="1" x14ac:dyDescent="0.35">
      <c r="A6622" s="1">
        <v>6621</v>
      </c>
      <c r="B6622" s="1">
        <v>1312</v>
      </c>
      <c r="C6622" s="1">
        <v>3</v>
      </c>
      <c r="D6622" t="str">
        <f>VLOOKUP(B6622,Заказы!A:C,3,0)</f>
        <v>2024-01-15 15:19:00</v>
      </c>
      <c r="E6622" t="str">
        <f>VLOOKUP(C6622,Меню!A:E,4,0)</f>
        <v>Завтрак</v>
      </c>
      <c r="F6622">
        <f>VLOOKUP(C6622,Меню!A:E,5,0)</f>
        <v>150</v>
      </c>
    </row>
    <row r="6623" spans="1:6" ht="15.75" hidden="1" customHeight="1" x14ac:dyDescent="0.35">
      <c r="A6623" s="1">
        <v>6622</v>
      </c>
      <c r="B6623" s="1">
        <v>1312</v>
      </c>
      <c r="C6623" s="1">
        <v>27</v>
      </c>
      <c r="D6623" t="str">
        <f>VLOOKUP(B6623,Заказы!A:C,3,0)</f>
        <v>2024-01-15 15:19:00</v>
      </c>
      <c r="E6623" t="str">
        <f>VLOOKUP(C6623,Меню!A:E,4,0)</f>
        <v>Салат</v>
      </c>
      <c r="F6623">
        <f>VLOOKUP(C6623,Меню!A:E,5,0)</f>
        <v>250</v>
      </c>
    </row>
    <row r="6624" spans="1:6" ht="15.75" hidden="1" customHeight="1" x14ac:dyDescent="0.35">
      <c r="A6624" s="1">
        <v>6623</v>
      </c>
      <c r="B6624" s="1">
        <v>1312</v>
      </c>
      <c r="C6624" s="1">
        <v>21</v>
      </c>
      <c r="D6624" t="str">
        <f>VLOOKUP(B6624,Заказы!A:C,3,0)</f>
        <v>2024-01-15 15:19:00</v>
      </c>
      <c r="E6624" t="str">
        <f>VLOOKUP(C6624,Меню!A:E,4,0)</f>
        <v>Салат</v>
      </c>
      <c r="F6624">
        <f>VLOOKUP(C6624,Меню!A:E,5,0)</f>
        <v>250</v>
      </c>
    </row>
    <row r="6625" spans="1:6" ht="15.75" hidden="1" customHeight="1" x14ac:dyDescent="0.35">
      <c r="A6625" s="1">
        <v>6624</v>
      </c>
      <c r="B6625" s="1">
        <v>1312</v>
      </c>
      <c r="C6625" s="1">
        <v>28</v>
      </c>
      <c r="D6625" t="str">
        <f>VLOOKUP(B6625,Заказы!A:C,3,0)</f>
        <v>2024-01-15 15:19:00</v>
      </c>
      <c r="E6625" t="str">
        <f>VLOOKUP(C6625,Меню!A:E,4,0)</f>
        <v>Салат</v>
      </c>
      <c r="F6625">
        <f>VLOOKUP(C6625,Меню!A:E,5,0)</f>
        <v>250</v>
      </c>
    </row>
    <row r="6626" spans="1:6" ht="15.75" hidden="1" customHeight="1" x14ac:dyDescent="0.35">
      <c r="A6626" s="1">
        <v>6625</v>
      </c>
      <c r="B6626" s="1">
        <v>1313</v>
      </c>
      <c r="C6626" s="1">
        <v>59</v>
      </c>
      <c r="D6626" t="str">
        <f>VLOOKUP(B6626,Заказы!A:C,3,0)</f>
        <v>2024-01-15 21:27:00</v>
      </c>
      <c r="E6626" t="str">
        <f>VLOOKUP(C6626,Меню!A:E,4,0)</f>
        <v>Суши</v>
      </c>
      <c r="F6626">
        <f>VLOOKUP(C6626,Меню!A:E,5,0)</f>
        <v>300</v>
      </c>
    </row>
    <row r="6627" spans="1:6" ht="15.75" hidden="1" customHeight="1" x14ac:dyDescent="0.35">
      <c r="A6627" s="1">
        <v>6626</v>
      </c>
      <c r="B6627" s="1">
        <v>1313</v>
      </c>
      <c r="C6627" s="1">
        <v>28</v>
      </c>
      <c r="D6627" t="str">
        <f>VLOOKUP(B6627,Заказы!A:C,3,0)</f>
        <v>2024-01-15 21:27:00</v>
      </c>
      <c r="E6627" t="str">
        <f>VLOOKUP(C6627,Меню!A:E,4,0)</f>
        <v>Салат</v>
      </c>
      <c r="F6627">
        <f>VLOOKUP(C6627,Меню!A:E,5,0)</f>
        <v>250</v>
      </c>
    </row>
    <row r="6628" spans="1:6" ht="15.75" hidden="1" customHeight="1" x14ac:dyDescent="0.35">
      <c r="A6628" s="1">
        <v>6627</v>
      </c>
      <c r="B6628" s="1">
        <v>1313</v>
      </c>
      <c r="C6628" s="1">
        <v>56</v>
      </c>
      <c r="D6628" t="str">
        <f>VLOOKUP(B6628,Заказы!A:C,3,0)</f>
        <v>2024-01-15 21:27:00</v>
      </c>
      <c r="E6628" t="str">
        <f>VLOOKUP(C6628,Меню!A:E,4,0)</f>
        <v>Суши</v>
      </c>
      <c r="F6628">
        <f>VLOOKUP(C6628,Меню!A:E,5,0)</f>
        <v>200</v>
      </c>
    </row>
    <row r="6629" spans="1:6" ht="15.75" customHeight="1" x14ac:dyDescent="0.35">
      <c r="A6629" s="1">
        <v>6628</v>
      </c>
      <c r="B6629" s="1">
        <v>1313</v>
      </c>
      <c r="C6629" s="1">
        <v>34</v>
      </c>
      <c r="D6629" t="str">
        <f>VLOOKUP(B6629,Заказы!A:C,3,0)</f>
        <v>2024-01-15 21:27:00</v>
      </c>
      <c r="E6629" t="str">
        <f>VLOOKUP(C6629,Меню!A:E,4,0)</f>
        <v>Десерт</v>
      </c>
      <c r="F6629">
        <f>VLOOKUP(C6629,Меню!A:E,5,0)</f>
        <v>150</v>
      </c>
    </row>
    <row r="6630" spans="1:6" ht="15.75" hidden="1" customHeight="1" x14ac:dyDescent="0.35">
      <c r="A6630" s="1">
        <v>6629</v>
      </c>
      <c r="B6630" s="1">
        <v>1313</v>
      </c>
      <c r="C6630" s="1">
        <v>19</v>
      </c>
      <c r="D6630" t="str">
        <f>VLOOKUP(B6630,Заказы!A:C,3,0)</f>
        <v>2024-01-15 21:27:00</v>
      </c>
      <c r="E6630" t="str">
        <f>VLOOKUP(C6630,Меню!A:E,4,0)</f>
        <v>Первое</v>
      </c>
      <c r="F6630">
        <f>VLOOKUP(C6630,Меню!A:E,5,0)</f>
        <v>300</v>
      </c>
    </row>
    <row r="6631" spans="1:6" ht="15.75" customHeight="1" x14ac:dyDescent="0.35">
      <c r="A6631" s="1">
        <v>6630</v>
      </c>
      <c r="B6631" s="1">
        <v>1314</v>
      </c>
      <c r="C6631" s="1">
        <v>39</v>
      </c>
      <c r="D6631" t="str">
        <f>VLOOKUP(B6631,Заказы!A:C,3,0)</f>
        <v>2024-01-16 16:00:00</v>
      </c>
      <c r="E6631" t="str">
        <f>VLOOKUP(C6631,Меню!A:E,4,0)</f>
        <v>Десерт</v>
      </c>
      <c r="F6631">
        <f>VLOOKUP(C6631,Меню!A:E,5,0)</f>
        <v>150</v>
      </c>
    </row>
    <row r="6632" spans="1:6" ht="15.75" customHeight="1" x14ac:dyDescent="0.35">
      <c r="A6632" s="1">
        <v>6631</v>
      </c>
      <c r="B6632" s="1">
        <v>1314</v>
      </c>
      <c r="C6632" s="1">
        <v>32</v>
      </c>
      <c r="D6632" t="str">
        <f>VLOOKUP(B6632,Заказы!A:C,3,0)</f>
        <v>2024-01-16 16:00:00</v>
      </c>
      <c r="E6632" t="str">
        <f>VLOOKUP(C6632,Меню!A:E,4,0)</f>
        <v>Десерт</v>
      </c>
      <c r="F6632">
        <f>VLOOKUP(C6632,Меню!A:E,5,0)</f>
        <v>150</v>
      </c>
    </row>
    <row r="6633" spans="1:6" ht="15.75" hidden="1" customHeight="1" x14ac:dyDescent="0.35">
      <c r="A6633" s="1">
        <v>6632</v>
      </c>
      <c r="B6633" s="1">
        <v>1314</v>
      </c>
      <c r="C6633" s="1">
        <v>55</v>
      </c>
      <c r="D6633" t="str">
        <f>VLOOKUP(B6633,Заказы!A:C,3,0)</f>
        <v>2024-01-16 16:00:00</v>
      </c>
      <c r="E6633" t="str">
        <f>VLOOKUP(C6633,Меню!A:E,4,0)</f>
        <v>Суши</v>
      </c>
      <c r="F6633">
        <f>VLOOKUP(C6633,Меню!A:E,5,0)</f>
        <v>100</v>
      </c>
    </row>
    <row r="6634" spans="1:6" ht="15.75" hidden="1" customHeight="1" x14ac:dyDescent="0.35">
      <c r="A6634" s="1">
        <v>6633</v>
      </c>
      <c r="B6634" s="1">
        <v>1314</v>
      </c>
      <c r="C6634" s="1">
        <v>10</v>
      </c>
      <c r="D6634" t="str">
        <f>VLOOKUP(B6634,Заказы!A:C,3,0)</f>
        <v>2024-01-16 16:00:00</v>
      </c>
      <c r="E6634" t="str">
        <f>VLOOKUP(C6634,Меню!A:E,4,0)</f>
        <v>Завтрак</v>
      </c>
      <c r="F6634">
        <f>VLOOKUP(C6634,Меню!A:E,5,0)</f>
        <v>200</v>
      </c>
    </row>
    <row r="6635" spans="1:6" ht="15.75" hidden="1" customHeight="1" x14ac:dyDescent="0.35">
      <c r="A6635" s="1">
        <v>6634</v>
      </c>
      <c r="B6635" s="1">
        <v>1314</v>
      </c>
      <c r="C6635" s="1">
        <v>23</v>
      </c>
      <c r="D6635" t="str">
        <f>VLOOKUP(B6635,Заказы!A:C,3,0)</f>
        <v>2024-01-16 16:00:00</v>
      </c>
      <c r="E6635" t="str">
        <f>VLOOKUP(C6635,Меню!A:E,4,0)</f>
        <v>Салат</v>
      </c>
      <c r="F6635">
        <f>VLOOKUP(C6635,Меню!A:E,5,0)</f>
        <v>250</v>
      </c>
    </row>
    <row r="6636" spans="1:6" ht="15.75" hidden="1" customHeight="1" x14ac:dyDescent="0.35">
      <c r="A6636" s="1">
        <v>6635</v>
      </c>
      <c r="B6636" s="1">
        <v>1314</v>
      </c>
      <c r="C6636" s="1">
        <v>59</v>
      </c>
      <c r="D6636" t="str">
        <f>VLOOKUP(B6636,Заказы!A:C,3,0)</f>
        <v>2024-01-16 16:00:00</v>
      </c>
      <c r="E6636" t="str">
        <f>VLOOKUP(C6636,Меню!A:E,4,0)</f>
        <v>Суши</v>
      </c>
      <c r="F6636">
        <f>VLOOKUP(C6636,Меню!A:E,5,0)</f>
        <v>300</v>
      </c>
    </row>
    <row r="6637" spans="1:6" ht="15.75" hidden="1" customHeight="1" x14ac:dyDescent="0.35">
      <c r="A6637" s="1">
        <v>6636</v>
      </c>
      <c r="B6637" s="1">
        <v>1314</v>
      </c>
      <c r="C6637" s="1">
        <v>21</v>
      </c>
      <c r="D6637" t="str">
        <f>VLOOKUP(B6637,Заказы!A:C,3,0)</f>
        <v>2024-01-16 16:00:00</v>
      </c>
      <c r="E6637" t="str">
        <f>VLOOKUP(C6637,Меню!A:E,4,0)</f>
        <v>Салат</v>
      </c>
      <c r="F6637">
        <f>VLOOKUP(C6637,Меню!A:E,5,0)</f>
        <v>250</v>
      </c>
    </row>
    <row r="6638" spans="1:6" ht="15.75" hidden="1" customHeight="1" x14ac:dyDescent="0.35">
      <c r="A6638" s="1">
        <v>6637</v>
      </c>
      <c r="B6638" s="1">
        <v>1315</v>
      </c>
      <c r="C6638" s="1">
        <v>52</v>
      </c>
      <c r="D6638" t="str">
        <f>VLOOKUP(B6638,Заказы!A:C,3,0)</f>
        <v>2024-01-16 16:29:00</v>
      </c>
      <c r="E6638" t="str">
        <f>VLOOKUP(C6638,Меню!A:E,4,0)</f>
        <v>Суши</v>
      </c>
      <c r="F6638">
        <f>VLOOKUP(C6638,Меню!A:E,5,0)</f>
        <v>100</v>
      </c>
    </row>
    <row r="6639" spans="1:6" ht="15.75" hidden="1" customHeight="1" x14ac:dyDescent="0.35">
      <c r="A6639" s="1">
        <v>6638</v>
      </c>
      <c r="B6639" s="1">
        <v>1315</v>
      </c>
      <c r="C6639" s="1">
        <v>8</v>
      </c>
      <c r="D6639" t="str">
        <f>VLOOKUP(B6639,Заказы!A:C,3,0)</f>
        <v>2024-01-16 16:29:00</v>
      </c>
      <c r="E6639" t="str">
        <f>VLOOKUP(C6639,Меню!A:E,4,0)</f>
        <v>Завтрак</v>
      </c>
      <c r="F6639">
        <f>VLOOKUP(C6639,Меню!A:E,5,0)</f>
        <v>180</v>
      </c>
    </row>
    <row r="6640" spans="1:6" ht="15.75" hidden="1" customHeight="1" x14ac:dyDescent="0.35">
      <c r="A6640" s="1">
        <v>6639</v>
      </c>
      <c r="B6640" s="1">
        <v>1315</v>
      </c>
      <c r="C6640" s="1">
        <v>47</v>
      </c>
      <c r="D6640" t="str">
        <f>VLOOKUP(B6640,Заказы!A:C,3,0)</f>
        <v>2024-01-16 16:29:00</v>
      </c>
      <c r="E6640" t="str">
        <f>VLOOKUP(C6640,Меню!A:E,4,0)</f>
        <v>Суши</v>
      </c>
      <c r="F6640">
        <f>VLOOKUP(C6640,Меню!A:E,5,0)</f>
        <v>200</v>
      </c>
    </row>
    <row r="6641" spans="1:6" ht="15.75" hidden="1" customHeight="1" x14ac:dyDescent="0.35">
      <c r="A6641" s="1">
        <v>6640</v>
      </c>
      <c r="B6641" s="1">
        <v>1315</v>
      </c>
      <c r="C6641" s="1">
        <v>18</v>
      </c>
      <c r="D6641" t="str">
        <f>VLOOKUP(B6641,Заказы!A:C,3,0)</f>
        <v>2024-01-16 16:29:00</v>
      </c>
      <c r="E6641" t="str">
        <f>VLOOKUP(C6641,Меню!A:E,4,0)</f>
        <v>Первое</v>
      </c>
      <c r="F6641">
        <f>VLOOKUP(C6641,Меню!A:E,5,0)</f>
        <v>300</v>
      </c>
    </row>
    <row r="6642" spans="1:6" ht="15.75" hidden="1" customHeight="1" x14ac:dyDescent="0.35">
      <c r="A6642" s="1">
        <v>6641</v>
      </c>
      <c r="B6642" s="1">
        <v>1315</v>
      </c>
      <c r="C6642" s="1">
        <v>59</v>
      </c>
      <c r="D6642" t="str">
        <f>VLOOKUP(B6642,Заказы!A:C,3,0)</f>
        <v>2024-01-16 16:29:00</v>
      </c>
      <c r="E6642" t="str">
        <f>VLOOKUP(C6642,Меню!A:E,4,0)</f>
        <v>Суши</v>
      </c>
      <c r="F6642">
        <f>VLOOKUP(C6642,Меню!A:E,5,0)</f>
        <v>300</v>
      </c>
    </row>
    <row r="6643" spans="1:6" ht="15.75" hidden="1" customHeight="1" x14ac:dyDescent="0.35">
      <c r="A6643" s="1">
        <v>6642</v>
      </c>
      <c r="B6643" s="1">
        <v>1316</v>
      </c>
      <c r="C6643" s="1">
        <v>8</v>
      </c>
      <c r="D6643" t="str">
        <f>VLOOKUP(B6643,Заказы!A:C,3,0)</f>
        <v>2024-01-16 17:13:00</v>
      </c>
      <c r="E6643" t="str">
        <f>VLOOKUP(C6643,Меню!A:E,4,0)</f>
        <v>Завтрак</v>
      </c>
      <c r="F6643">
        <f>VLOOKUP(C6643,Меню!A:E,5,0)</f>
        <v>180</v>
      </c>
    </row>
    <row r="6644" spans="1:6" ht="15.75" hidden="1" customHeight="1" x14ac:dyDescent="0.35">
      <c r="A6644" s="1">
        <v>6643</v>
      </c>
      <c r="B6644" s="1">
        <v>1316</v>
      </c>
      <c r="C6644" s="1">
        <v>57</v>
      </c>
      <c r="D6644" t="str">
        <f>VLOOKUP(B6644,Заказы!A:C,3,0)</f>
        <v>2024-01-16 17:13:00</v>
      </c>
      <c r="E6644" t="str">
        <f>VLOOKUP(C6644,Меню!A:E,4,0)</f>
        <v>Суши</v>
      </c>
      <c r="F6644">
        <f>VLOOKUP(C6644,Меню!A:E,5,0)</f>
        <v>200</v>
      </c>
    </row>
    <row r="6645" spans="1:6" ht="15.75" customHeight="1" x14ac:dyDescent="0.35">
      <c r="A6645" s="1">
        <v>6644</v>
      </c>
      <c r="B6645" s="1">
        <v>1316</v>
      </c>
      <c r="C6645" s="1">
        <v>35</v>
      </c>
      <c r="D6645" t="str">
        <f>VLOOKUP(B6645,Заказы!A:C,3,0)</f>
        <v>2024-01-16 17:13:00</v>
      </c>
      <c r="E6645" t="str">
        <f>VLOOKUP(C6645,Меню!A:E,4,0)</f>
        <v>Десерт</v>
      </c>
      <c r="F6645">
        <f>VLOOKUP(C6645,Меню!A:E,5,0)</f>
        <v>150</v>
      </c>
    </row>
    <row r="6646" spans="1:6" ht="15.75" hidden="1" customHeight="1" x14ac:dyDescent="0.35">
      <c r="A6646" s="1">
        <v>6645</v>
      </c>
      <c r="B6646" s="1">
        <v>1316</v>
      </c>
      <c r="C6646" s="1">
        <v>25</v>
      </c>
      <c r="D6646" t="str">
        <f>VLOOKUP(B6646,Заказы!A:C,3,0)</f>
        <v>2024-01-16 17:13:00</v>
      </c>
      <c r="E6646" t="str">
        <f>VLOOKUP(C6646,Меню!A:E,4,0)</f>
        <v>Салат</v>
      </c>
      <c r="F6646">
        <f>VLOOKUP(C6646,Меню!A:E,5,0)</f>
        <v>250</v>
      </c>
    </row>
    <row r="6647" spans="1:6" ht="15.75" hidden="1" customHeight="1" x14ac:dyDescent="0.35">
      <c r="A6647" s="1">
        <v>6646</v>
      </c>
      <c r="B6647" s="1">
        <v>1316</v>
      </c>
      <c r="C6647" s="1">
        <v>47</v>
      </c>
      <c r="D6647" t="str">
        <f>VLOOKUP(B6647,Заказы!A:C,3,0)</f>
        <v>2024-01-16 17:13:00</v>
      </c>
      <c r="E6647" t="str">
        <f>VLOOKUP(C6647,Меню!A:E,4,0)</f>
        <v>Суши</v>
      </c>
      <c r="F6647">
        <f>VLOOKUP(C6647,Меню!A:E,5,0)</f>
        <v>200</v>
      </c>
    </row>
    <row r="6648" spans="1:6" ht="15.75" hidden="1" customHeight="1" x14ac:dyDescent="0.35">
      <c r="A6648" s="1">
        <v>6647</v>
      </c>
      <c r="B6648" s="1">
        <v>1317</v>
      </c>
      <c r="C6648" s="1">
        <v>13</v>
      </c>
      <c r="D6648" t="str">
        <f>VLOOKUP(B6648,Заказы!A:C,3,0)</f>
        <v>2024-01-16 20:22:00</v>
      </c>
      <c r="E6648" t="str">
        <f>VLOOKUP(C6648,Меню!A:E,4,0)</f>
        <v>Первое</v>
      </c>
      <c r="F6648">
        <f>VLOOKUP(C6648,Меню!A:E,5,0)</f>
        <v>280</v>
      </c>
    </row>
    <row r="6649" spans="1:6" ht="15.75" customHeight="1" x14ac:dyDescent="0.35">
      <c r="A6649" s="1">
        <v>6648</v>
      </c>
      <c r="B6649" s="1">
        <v>1317</v>
      </c>
      <c r="C6649" s="1">
        <v>35</v>
      </c>
      <c r="D6649" t="str">
        <f>VLOOKUP(B6649,Заказы!A:C,3,0)</f>
        <v>2024-01-16 20:22:00</v>
      </c>
      <c r="E6649" t="str">
        <f>VLOOKUP(C6649,Меню!A:E,4,0)</f>
        <v>Десерт</v>
      </c>
      <c r="F6649">
        <f>VLOOKUP(C6649,Меню!A:E,5,0)</f>
        <v>150</v>
      </c>
    </row>
    <row r="6650" spans="1:6" ht="15.75" hidden="1" customHeight="1" x14ac:dyDescent="0.35">
      <c r="A6650" s="1">
        <v>6649</v>
      </c>
      <c r="B6650" s="1">
        <v>1317</v>
      </c>
      <c r="C6650" s="1">
        <v>55</v>
      </c>
      <c r="D6650" t="str">
        <f>VLOOKUP(B6650,Заказы!A:C,3,0)</f>
        <v>2024-01-16 20:22:00</v>
      </c>
      <c r="E6650" t="str">
        <f>VLOOKUP(C6650,Меню!A:E,4,0)</f>
        <v>Суши</v>
      </c>
      <c r="F6650">
        <f>VLOOKUP(C6650,Меню!A:E,5,0)</f>
        <v>100</v>
      </c>
    </row>
    <row r="6651" spans="1:6" ht="15.75" hidden="1" customHeight="1" x14ac:dyDescent="0.35">
      <c r="A6651" s="1">
        <v>6650</v>
      </c>
      <c r="B6651" s="1">
        <v>1317</v>
      </c>
      <c r="C6651" s="1">
        <v>21</v>
      </c>
      <c r="D6651" t="str">
        <f>VLOOKUP(B6651,Заказы!A:C,3,0)</f>
        <v>2024-01-16 20:22:00</v>
      </c>
      <c r="E6651" t="str">
        <f>VLOOKUP(C6651,Меню!A:E,4,0)</f>
        <v>Салат</v>
      </c>
      <c r="F6651">
        <f>VLOOKUP(C6651,Меню!A:E,5,0)</f>
        <v>250</v>
      </c>
    </row>
    <row r="6652" spans="1:6" ht="15.75" hidden="1" customHeight="1" x14ac:dyDescent="0.35">
      <c r="A6652" s="1">
        <v>6651</v>
      </c>
      <c r="B6652" s="1">
        <v>1317</v>
      </c>
      <c r="C6652" s="1">
        <v>7</v>
      </c>
      <c r="D6652" t="str">
        <f>VLOOKUP(B6652,Заказы!A:C,3,0)</f>
        <v>2024-01-16 20:22:00</v>
      </c>
      <c r="E6652" t="str">
        <f>VLOOKUP(C6652,Меню!A:E,4,0)</f>
        <v>Завтрак</v>
      </c>
      <c r="F6652">
        <f>VLOOKUP(C6652,Меню!A:E,5,0)</f>
        <v>200</v>
      </c>
    </row>
    <row r="6653" spans="1:6" ht="15.75" hidden="1" customHeight="1" x14ac:dyDescent="0.35">
      <c r="A6653" s="1">
        <v>6652</v>
      </c>
      <c r="B6653" s="1">
        <v>1317</v>
      </c>
      <c r="C6653" s="1">
        <v>20</v>
      </c>
      <c r="D6653" t="str">
        <f>VLOOKUP(B6653,Заказы!A:C,3,0)</f>
        <v>2024-01-16 20:22:00</v>
      </c>
      <c r="E6653" t="str">
        <f>VLOOKUP(C6653,Меню!A:E,4,0)</f>
        <v>Первое</v>
      </c>
      <c r="F6653">
        <f>VLOOKUP(C6653,Меню!A:E,5,0)</f>
        <v>250</v>
      </c>
    </row>
    <row r="6654" spans="1:6" ht="15.75" hidden="1" customHeight="1" x14ac:dyDescent="0.35">
      <c r="A6654" s="1">
        <v>6653</v>
      </c>
      <c r="B6654" s="1">
        <v>1318</v>
      </c>
      <c r="C6654" s="1">
        <v>51</v>
      </c>
      <c r="D6654" t="str">
        <f>VLOOKUP(B6654,Заказы!A:C,3,0)</f>
        <v>2024-01-16 21:59:00</v>
      </c>
      <c r="E6654" t="str">
        <f>VLOOKUP(C6654,Меню!A:E,4,0)</f>
        <v>Суши</v>
      </c>
      <c r="F6654">
        <f>VLOOKUP(C6654,Меню!A:E,5,0)</f>
        <v>100</v>
      </c>
    </row>
    <row r="6655" spans="1:6" ht="15.75" hidden="1" customHeight="1" x14ac:dyDescent="0.35">
      <c r="A6655" s="1">
        <v>6654</v>
      </c>
      <c r="B6655" s="1">
        <v>1318</v>
      </c>
      <c r="C6655" s="1">
        <v>41</v>
      </c>
      <c r="D6655" t="str">
        <f>VLOOKUP(B6655,Заказы!A:C,3,0)</f>
        <v>2024-01-16 21:59:00</v>
      </c>
      <c r="E6655" t="str">
        <f>VLOOKUP(C6655,Меню!A:E,4,0)</f>
        <v>Суши</v>
      </c>
      <c r="F6655">
        <f>VLOOKUP(C6655,Меню!A:E,5,0)</f>
        <v>220</v>
      </c>
    </row>
    <row r="6656" spans="1:6" ht="15.75" hidden="1" customHeight="1" x14ac:dyDescent="0.35">
      <c r="A6656" s="1">
        <v>6655</v>
      </c>
      <c r="B6656" s="1">
        <v>1318</v>
      </c>
      <c r="C6656" s="1">
        <v>50</v>
      </c>
      <c r="D6656" t="str">
        <f>VLOOKUP(B6656,Заказы!A:C,3,0)</f>
        <v>2024-01-16 21:59:00</v>
      </c>
      <c r="E6656" t="str">
        <f>VLOOKUP(C6656,Меню!A:E,4,0)</f>
        <v>Суши</v>
      </c>
      <c r="F6656">
        <f>VLOOKUP(C6656,Меню!A:E,5,0)</f>
        <v>200</v>
      </c>
    </row>
    <row r="6657" spans="1:6" ht="15.75" hidden="1" customHeight="1" x14ac:dyDescent="0.35">
      <c r="A6657" s="1">
        <v>6656</v>
      </c>
      <c r="B6657" s="1">
        <v>1318</v>
      </c>
      <c r="C6657" s="1">
        <v>26</v>
      </c>
      <c r="D6657" t="str">
        <f>VLOOKUP(B6657,Заказы!A:C,3,0)</f>
        <v>2024-01-16 21:59:00</v>
      </c>
      <c r="E6657" t="str">
        <f>VLOOKUP(C6657,Меню!A:E,4,0)</f>
        <v>Салат</v>
      </c>
      <c r="F6657">
        <f>VLOOKUP(C6657,Меню!A:E,5,0)</f>
        <v>250</v>
      </c>
    </row>
    <row r="6658" spans="1:6" ht="15.75" hidden="1" customHeight="1" x14ac:dyDescent="0.35">
      <c r="A6658" s="1">
        <v>6657</v>
      </c>
      <c r="B6658" s="1">
        <v>1318</v>
      </c>
      <c r="C6658" s="1">
        <v>50</v>
      </c>
      <c r="D6658" t="str">
        <f>VLOOKUP(B6658,Заказы!A:C,3,0)</f>
        <v>2024-01-16 21:59:00</v>
      </c>
      <c r="E6658" t="str">
        <f>VLOOKUP(C6658,Меню!A:E,4,0)</f>
        <v>Суши</v>
      </c>
      <c r="F6658">
        <f>VLOOKUP(C6658,Меню!A:E,5,0)</f>
        <v>200</v>
      </c>
    </row>
    <row r="6659" spans="1:6" ht="15.75" hidden="1" customHeight="1" x14ac:dyDescent="0.35">
      <c r="A6659" s="1">
        <v>6658</v>
      </c>
      <c r="B6659" s="1">
        <v>1318</v>
      </c>
      <c r="C6659" s="1">
        <v>8</v>
      </c>
      <c r="D6659" t="str">
        <f>VLOOKUP(B6659,Заказы!A:C,3,0)</f>
        <v>2024-01-16 21:59:00</v>
      </c>
      <c r="E6659" t="str">
        <f>VLOOKUP(C6659,Меню!A:E,4,0)</f>
        <v>Завтрак</v>
      </c>
      <c r="F6659">
        <f>VLOOKUP(C6659,Меню!A:E,5,0)</f>
        <v>180</v>
      </c>
    </row>
    <row r="6660" spans="1:6" ht="15.75" hidden="1" customHeight="1" x14ac:dyDescent="0.35">
      <c r="A6660" s="1">
        <v>6659</v>
      </c>
      <c r="B6660" s="1">
        <v>1319</v>
      </c>
      <c r="C6660" s="1">
        <v>18</v>
      </c>
      <c r="D6660" t="str">
        <f>VLOOKUP(B6660,Заказы!A:C,3,0)</f>
        <v>2024-01-16 22:05:00</v>
      </c>
      <c r="E6660" t="str">
        <f>VLOOKUP(C6660,Меню!A:E,4,0)</f>
        <v>Первое</v>
      </c>
      <c r="F6660">
        <f>VLOOKUP(C6660,Меню!A:E,5,0)</f>
        <v>300</v>
      </c>
    </row>
    <row r="6661" spans="1:6" ht="15.75" hidden="1" customHeight="1" x14ac:dyDescent="0.35">
      <c r="A6661" s="1">
        <v>6660</v>
      </c>
      <c r="B6661" s="1">
        <v>1320</v>
      </c>
      <c r="C6661" s="1">
        <v>59</v>
      </c>
      <c r="D6661" t="str">
        <f>VLOOKUP(B6661,Заказы!A:C,3,0)</f>
        <v>2024-01-17 18:05:00</v>
      </c>
      <c r="E6661" t="str">
        <f>VLOOKUP(C6661,Меню!A:E,4,0)</f>
        <v>Суши</v>
      </c>
      <c r="F6661">
        <f>VLOOKUP(C6661,Меню!A:E,5,0)</f>
        <v>300</v>
      </c>
    </row>
    <row r="6662" spans="1:6" ht="15.75" hidden="1" customHeight="1" x14ac:dyDescent="0.35">
      <c r="A6662" s="1">
        <v>6661</v>
      </c>
      <c r="B6662" s="1">
        <v>1320</v>
      </c>
      <c r="C6662" s="1">
        <v>50</v>
      </c>
      <c r="D6662" t="str">
        <f>VLOOKUP(B6662,Заказы!A:C,3,0)</f>
        <v>2024-01-17 18:05:00</v>
      </c>
      <c r="E6662" t="str">
        <f>VLOOKUP(C6662,Меню!A:E,4,0)</f>
        <v>Суши</v>
      </c>
      <c r="F6662">
        <f>VLOOKUP(C6662,Меню!A:E,5,0)</f>
        <v>200</v>
      </c>
    </row>
    <row r="6663" spans="1:6" ht="15.75" customHeight="1" x14ac:dyDescent="0.35">
      <c r="A6663" s="1">
        <v>6662</v>
      </c>
      <c r="B6663" s="1">
        <v>1320</v>
      </c>
      <c r="C6663" s="1">
        <v>37</v>
      </c>
      <c r="D6663" t="str">
        <f>VLOOKUP(B6663,Заказы!A:C,3,0)</f>
        <v>2024-01-17 18:05:00</v>
      </c>
      <c r="E6663" t="str">
        <f>VLOOKUP(C6663,Меню!A:E,4,0)</f>
        <v>Десерт</v>
      </c>
      <c r="F6663">
        <f>VLOOKUP(C6663,Меню!A:E,5,0)</f>
        <v>100</v>
      </c>
    </row>
    <row r="6664" spans="1:6" ht="15.75" hidden="1" customHeight="1" x14ac:dyDescent="0.35">
      <c r="A6664" s="1">
        <v>6663</v>
      </c>
      <c r="B6664" s="1">
        <v>1320</v>
      </c>
      <c r="C6664" s="1">
        <v>11</v>
      </c>
      <c r="D6664" t="str">
        <f>VLOOKUP(B6664,Заказы!A:C,3,0)</f>
        <v>2024-01-17 18:05:00</v>
      </c>
      <c r="E6664" t="str">
        <f>VLOOKUP(C6664,Меню!A:E,4,0)</f>
        <v>Первое</v>
      </c>
      <c r="F6664">
        <f>VLOOKUP(C6664,Меню!A:E,5,0)</f>
        <v>300</v>
      </c>
    </row>
    <row r="6665" spans="1:6" ht="15.75" hidden="1" customHeight="1" x14ac:dyDescent="0.35">
      <c r="A6665" s="1">
        <v>6664</v>
      </c>
      <c r="B6665" s="1">
        <v>1321</v>
      </c>
      <c r="C6665" s="1">
        <v>28</v>
      </c>
      <c r="D6665" t="str">
        <f>VLOOKUP(B6665,Заказы!A:C,3,0)</f>
        <v>2024-01-17 18:58:00</v>
      </c>
      <c r="E6665" t="str">
        <f>VLOOKUP(C6665,Меню!A:E,4,0)</f>
        <v>Салат</v>
      </c>
      <c r="F6665">
        <f>VLOOKUP(C6665,Меню!A:E,5,0)</f>
        <v>250</v>
      </c>
    </row>
    <row r="6666" spans="1:6" ht="15.75" hidden="1" customHeight="1" x14ac:dyDescent="0.35">
      <c r="A6666" s="1">
        <v>6665</v>
      </c>
      <c r="B6666" s="1">
        <v>1321</v>
      </c>
      <c r="C6666" s="1">
        <v>12</v>
      </c>
      <c r="D6666" t="str">
        <f>VLOOKUP(B6666,Заказы!A:C,3,0)</f>
        <v>2024-01-17 18:58:00</v>
      </c>
      <c r="E6666" t="str">
        <f>VLOOKUP(C6666,Меню!A:E,4,0)</f>
        <v>Первое</v>
      </c>
      <c r="F6666">
        <f>VLOOKUP(C6666,Меню!A:E,5,0)</f>
        <v>300</v>
      </c>
    </row>
    <row r="6667" spans="1:6" ht="15.75" hidden="1" customHeight="1" x14ac:dyDescent="0.35">
      <c r="A6667" s="1">
        <v>6666</v>
      </c>
      <c r="B6667" s="1">
        <v>1321</v>
      </c>
      <c r="C6667" s="1">
        <v>22</v>
      </c>
      <c r="D6667" t="str">
        <f>VLOOKUP(B6667,Заказы!A:C,3,0)</f>
        <v>2024-01-17 18:58:00</v>
      </c>
      <c r="E6667" t="str">
        <f>VLOOKUP(C6667,Меню!A:E,4,0)</f>
        <v>Салат</v>
      </c>
      <c r="F6667">
        <f>VLOOKUP(C6667,Меню!A:E,5,0)</f>
        <v>250</v>
      </c>
    </row>
    <row r="6668" spans="1:6" ht="15.75" hidden="1" customHeight="1" x14ac:dyDescent="0.35">
      <c r="A6668" s="1">
        <v>6667</v>
      </c>
      <c r="B6668" s="1">
        <v>1322</v>
      </c>
      <c r="C6668" s="1">
        <v>49</v>
      </c>
      <c r="D6668" t="str">
        <f>VLOOKUP(B6668,Заказы!A:C,3,0)</f>
        <v>2024-01-17 19:30:00</v>
      </c>
      <c r="E6668" t="str">
        <f>VLOOKUP(C6668,Меню!A:E,4,0)</f>
        <v>Суши</v>
      </c>
      <c r="F6668">
        <f>VLOOKUP(C6668,Меню!A:E,5,0)</f>
        <v>200</v>
      </c>
    </row>
    <row r="6669" spans="1:6" ht="15.75" hidden="1" customHeight="1" x14ac:dyDescent="0.35">
      <c r="A6669" s="1">
        <v>6668</v>
      </c>
      <c r="B6669" s="1">
        <v>1322</v>
      </c>
      <c r="C6669" s="1">
        <v>22</v>
      </c>
      <c r="D6669" t="str">
        <f>VLOOKUP(B6669,Заказы!A:C,3,0)</f>
        <v>2024-01-17 19:30:00</v>
      </c>
      <c r="E6669" t="str">
        <f>VLOOKUP(C6669,Меню!A:E,4,0)</f>
        <v>Салат</v>
      </c>
      <c r="F6669">
        <f>VLOOKUP(C6669,Меню!A:E,5,0)</f>
        <v>250</v>
      </c>
    </row>
    <row r="6670" spans="1:6" ht="15.75" hidden="1" customHeight="1" x14ac:dyDescent="0.35">
      <c r="A6670" s="1">
        <v>6669</v>
      </c>
      <c r="B6670" s="1">
        <v>1323</v>
      </c>
      <c r="C6670" s="1">
        <v>46</v>
      </c>
      <c r="D6670" t="str">
        <f>VLOOKUP(B6670,Заказы!A:C,3,0)</f>
        <v>2024-01-17 22:11:00</v>
      </c>
      <c r="E6670" t="str">
        <f>VLOOKUP(C6670,Меню!A:E,4,0)</f>
        <v>Суши</v>
      </c>
      <c r="F6670">
        <f>VLOOKUP(C6670,Меню!A:E,5,0)</f>
        <v>200</v>
      </c>
    </row>
    <row r="6671" spans="1:6" ht="15.75" hidden="1" customHeight="1" x14ac:dyDescent="0.35">
      <c r="A6671" s="1">
        <v>6670</v>
      </c>
      <c r="B6671" s="1">
        <v>1323</v>
      </c>
      <c r="C6671" s="1">
        <v>20</v>
      </c>
      <c r="D6671" t="str">
        <f>VLOOKUP(B6671,Заказы!A:C,3,0)</f>
        <v>2024-01-17 22:11:00</v>
      </c>
      <c r="E6671" t="str">
        <f>VLOOKUP(C6671,Меню!A:E,4,0)</f>
        <v>Первое</v>
      </c>
      <c r="F6671">
        <f>VLOOKUP(C6671,Меню!A:E,5,0)</f>
        <v>250</v>
      </c>
    </row>
    <row r="6672" spans="1:6" ht="15.75" hidden="1" customHeight="1" x14ac:dyDescent="0.35">
      <c r="A6672" s="1">
        <v>6671</v>
      </c>
      <c r="B6672" s="1">
        <v>1323</v>
      </c>
      <c r="C6672" s="1">
        <v>19</v>
      </c>
      <c r="D6672" t="str">
        <f>VLOOKUP(B6672,Заказы!A:C,3,0)</f>
        <v>2024-01-17 22:11:00</v>
      </c>
      <c r="E6672" t="str">
        <f>VLOOKUP(C6672,Меню!A:E,4,0)</f>
        <v>Первое</v>
      </c>
      <c r="F6672">
        <f>VLOOKUP(C6672,Меню!A:E,5,0)</f>
        <v>300</v>
      </c>
    </row>
    <row r="6673" spans="1:6" ht="15.75" hidden="1" customHeight="1" x14ac:dyDescent="0.35">
      <c r="A6673" s="1">
        <v>6672</v>
      </c>
      <c r="B6673" s="1">
        <v>1323</v>
      </c>
      <c r="C6673" s="1">
        <v>45</v>
      </c>
      <c r="D6673" t="str">
        <f>VLOOKUP(B6673,Заказы!A:C,3,0)</f>
        <v>2024-01-17 22:11:00</v>
      </c>
      <c r="E6673" t="str">
        <f>VLOOKUP(C6673,Меню!A:E,4,0)</f>
        <v>Суши</v>
      </c>
      <c r="F6673">
        <f>VLOOKUP(C6673,Меню!A:E,5,0)</f>
        <v>200</v>
      </c>
    </row>
    <row r="6674" spans="1:6" ht="15.75" hidden="1" customHeight="1" x14ac:dyDescent="0.35">
      <c r="A6674" s="1">
        <v>6673</v>
      </c>
      <c r="B6674" s="1">
        <v>1323</v>
      </c>
      <c r="C6674" s="1">
        <v>4</v>
      </c>
      <c r="D6674" t="str">
        <f>VLOOKUP(B6674,Заказы!A:C,3,0)</f>
        <v>2024-01-17 22:11:00</v>
      </c>
      <c r="E6674" t="str">
        <f>VLOOKUP(C6674,Меню!A:E,4,0)</f>
        <v>Завтрак</v>
      </c>
      <c r="F6674">
        <f>VLOOKUP(C6674,Меню!A:E,5,0)</f>
        <v>180</v>
      </c>
    </row>
    <row r="6675" spans="1:6" ht="15.75" hidden="1" customHeight="1" x14ac:dyDescent="0.35">
      <c r="A6675" s="1">
        <v>6674</v>
      </c>
      <c r="B6675" s="1">
        <v>1323</v>
      </c>
      <c r="C6675" s="1">
        <v>21</v>
      </c>
      <c r="D6675" t="str">
        <f>VLOOKUP(B6675,Заказы!A:C,3,0)</f>
        <v>2024-01-17 22:11:00</v>
      </c>
      <c r="E6675" t="str">
        <f>VLOOKUP(C6675,Меню!A:E,4,0)</f>
        <v>Салат</v>
      </c>
      <c r="F6675">
        <f>VLOOKUP(C6675,Меню!A:E,5,0)</f>
        <v>250</v>
      </c>
    </row>
    <row r="6676" spans="1:6" ht="15.75" hidden="1" customHeight="1" x14ac:dyDescent="0.35">
      <c r="A6676" s="1">
        <v>6675</v>
      </c>
      <c r="B6676" s="1">
        <v>1324</v>
      </c>
      <c r="C6676" s="1">
        <v>6</v>
      </c>
      <c r="D6676" t="str">
        <f>VLOOKUP(B6676,Заказы!A:C,3,0)</f>
        <v>2024-01-18 17:06:00</v>
      </c>
      <c r="E6676" t="str">
        <f>VLOOKUP(C6676,Меню!A:E,4,0)</f>
        <v>Завтрак</v>
      </c>
      <c r="F6676">
        <f>VLOOKUP(C6676,Меню!A:E,5,0)</f>
        <v>300</v>
      </c>
    </row>
    <row r="6677" spans="1:6" ht="15.75" customHeight="1" x14ac:dyDescent="0.35">
      <c r="A6677" s="1">
        <v>6676</v>
      </c>
      <c r="B6677" s="1">
        <v>1324</v>
      </c>
      <c r="C6677" s="1">
        <v>31</v>
      </c>
      <c r="D6677" t="str">
        <f>VLOOKUP(B6677,Заказы!A:C,3,0)</f>
        <v>2024-01-18 17:06:00</v>
      </c>
      <c r="E6677" t="str">
        <f>VLOOKUP(C6677,Меню!A:E,4,0)</f>
        <v>Десерт</v>
      </c>
      <c r="F6677">
        <f>VLOOKUP(C6677,Меню!A:E,5,0)</f>
        <v>150</v>
      </c>
    </row>
    <row r="6678" spans="1:6" ht="15.75" hidden="1" customHeight="1" x14ac:dyDescent="0.35">
      <c r="A6678" s="1">
        <v>6677</v>
      </c>
      <c r="B6678" s="1">
        <v>1324</v>
      </c>
      <c r="C6678" s="1">
        <v>17</v>
      </c>
      <c r="D6678" t="str">
        <f>VLOOKUP(B6678,Заказы!A:C,3,0)</f>
        <v>2024-01-18 17:06:00</v>
      </c>
      <c r="E6678" t="str">
        <f>VLOOKUP(C6678,Меню!A:E,4,0)</f>
        <v>Первое</v>
      </c>
      <c r="F6678">
        <f>VLOOKUP(C6678,Меню!A:E,5,0)</f>
        <v>250</v>
      </c>
    </row>
    <row r="6679" spans="1:6" ht="15.75" hidden="1" customHeight="1" x14ac:dyDescent="0.35">
      <c r="A6679" s="1">
        <v>6678</v>
      </c>
      <c r="B6679" s="1">
        <v>1324</v>
      </c>
      <c r="C6679" s="1">
        <v>54</v>
      </c>
      <c r="D6679" t="str">
        <f>VLOOKUP(B6679,Заказы!A:C,3,0)</f>
        <v>2024-01-18 17:06:00</v>
      </c>
      <c r="E6679" t="str">
        <f>VLOOKUP(C6679,Меню!A:E,4,0)</f>
        <v>Суши</v>
      </c>
      <c r="F6679">
        <f>VLOOKUP(C6679,Меню!A:E,5,0)</f>
        <v>100</v>
      </c>
    </row>
    <row r="6680" spans="1:6" ht="15.75" hidden="1" customHeight="1" x14ac:dyDescent="0.35">
      <c r="A6680" s="1">
        <v>6679</v>
      </c>
      <c r="B6680" s="1">
        <v>1324</v>
      </c>
      <c r="C6680" s="1">
        <v>20</v>
      </c>
      <c r="D6680" t="str">
        <f>VLOOKUP(B6680,Заказы!A:C,3,0)</f>
        <v>2024-01-18 17:06:00</v>
      </c>
      <c r="E6680" t="str">
        <f>VLOOKUP(C6680,Меню!A:E,4,0)</f>
        <v>Первое</v>
      </c>
      <c r="F6680">
        <f>VLOOKUP(C6680,Меню!A:E,5,0)</f>
        <v>250</v>
      </c>
    </row>
    <row r="6681" spans="1:6" ht="15.75" hidden="1" customHeight="1" x14ac:dyDescent="0.35">
      <c r="A6681" s="1">
        <v>6680</v>
      </c>
      <c r="B6681" s="1">
        <v>1325</v>
      </c>
      <c r="C6681" s="1">
        <v>41</v>
      </c>
      <c r="D6681" t="str">
        <f>VLOOKUP(B6681,Заказы!A:C,3,0)</f>
        <v>2024-01-18 18:16:00</v>
      </c>
      <c r="E6681" t="str">
        <f>VLOOKUP(C6681,Меню!A:E,4,0)</f>
        <v>Суши</v>
      </c>
      <c r="F6681">
        <f>VLOOKUP(C6681,Меню!A:E,5,0)</f>
        <v>220</v>
      </c>
    </row>
    <row r="6682" spans="1:6" ht="15.75" hidden="1" customHeight="1" x14ac:dyDescent="0.35">
      <c r="A6682" s="1">
        <v>6681</v>
      </c>
      <c r="B6682" s="1">
        <v>1325</v>
      </c>
      <c r="C6682" s="1">
        <v>12</v>
      </c>
      <c r="D6682" t="str">
        <f>VLOOKUP(B6682,Заказы!A:C,3,0)</f>
        <v>2024-01-18 18:16:00</v>
      </c>
      <c r="E6682" t="str">
        <f>VLOOKUP(C6682,Меню!A:E,4,0)</f>
        <v>Первое</v>
      </c>
      <c r="F6682">
        <f>VLOOKUP(C6682,Меню!A:E,5,0)</f>
        <v>300</v>
      </c>
    </row>
    <row r="6683" spans="1:6" ht="15.75" hidden="1" customHeight="1" x14ac:dyDescent="0.35">
      <c r="A6683" s="1">
        <v>6682</v>
      </c>
      <c r="B6683" s="1">
        <v>1325</v>
      </c>
      <c r="C6683" s="1">
        <v>16</v>
      </c>
      <c r="D6683" t="str">
        <f>VLOOKUP(B6683,Заказы!A:C,3,0)</f>
        <v>2024-01-18 18:16:00</v>
      </c>
      <c r="E6683" t="str">
        <f>VLOOKUP(C6683,Меню!A:E,4,0)</f>
        <v>Первое</v>
      </c>
      <c r="F6683">
        <f>VLOOKUP(C6683,Меню!A:E,5,0)</f>
        <v>250</v>
      </c>
    </row>
    <row r="6684" spans="1:6" ht="15.75" hidden="1" customHeight="1" x14ac:dyDescent="0.35">
      <c r="A6684" s="1">
        <v>6683</v>
      </c>
      <c r="B6684" s="1">
        <v>1326</v>
      </c>
      <c r="C6684" s="1">
        <v>30</v>
      </c>
      <c r="D6684" t="str">
        <f>VLOOKUP(B6684,Заказы!A:C,3,0)</f>
        <v>2024-01-18 20:57:00</v>
      </c>
      <c r="E6684" t="str">
        <f>VLOOKUP(C6684,Меню!A:E,4,0)</f>
        <v>Салат</v>
      </c>
      <c r="F6684">
        <f>VLOOKUP(C6684,Меню!A:E,5,0)</f>
        <v>250</v>
      </c>
    </row>
    <row r="6685" spans="1:6" ht="15.75" customHeight="1" x14ac:dyDescent="0.35">
      <c r="A6685" s="1">
        <v>6684</v>
      </c>
      <c r="B6685" s="1">
        <v>1326</v>
      </c>
      <c r="C6685" s="1">
        <v>40</v>
      </c>
      <c r="D6685" t="str">
        <f>VLOOKUP(B6685,Заказы!A:C,3,0)</f>
        <v>2024-01-18 20:57:00</v>
      </c>
      <c r="E6685" t="str">
        <f>VLOOKUP(C6685,Меню!A:E,4,0)</f>
        <v>Десерт</v>
      </c>
      <c r="F6685">
        <f>VLOOKUP(C6685,Меню!A:E,5,0)</f>
        <v>150</v>
      </c>
    </row>
    <row r="6686" spans="1:6" ht="15.75" hidden="1" customHeight="1" x14ac:dyDescent="0.35">
      <c r="A6686" s="1">
        <v>6685</v>
      </c>
      <c r="B6686" s="1">
        <v>1326</v>
      </c>
      <c r="C6686" s="1">
        <v>21</v>
      </c>
      <c r="D6686" t="str">
        <f>VLOOKUP(B6686,Заказы!A:C,3,0)</f>
        <v>2024-01-18 20:57:00</v>
      </c>
      <c r="E6686" t="str">
        <f>VLOOKUP(C6686,Меню!A:E,4,0)</f>
        <v>Салат</v>
      </c>
      <c r="F6686">
        <f>VLOOKUP(C6686,Меню!A:E,5,0)</f>
        <v>250</v>
      </c>
    </row>
    <row r="6687" spans="1:6" ht="15.75" hidden="1" customHeight="1" x14ac:dyDescent="0.35">
      <c r="A6687" s="1">
        <v>6686</v>
      </c>
      <c r="B6687" s="1">
        <v>1327</v>
      </c>
      <c r="C6687" s="1">
        <v>28</v>
      </c>
      <c r="D6687" t="str">
        <f>VLOOKUP(B6687,Заказы!A:C,3,0)</f>
        <v>2024-01-18 21:23:00</v>
      </c>
      <c r="E6687" t="str">
        <f>VLOOKUP(C6687,Меню!A:E,4,0)</f>
        <v>Салат</v>
      </c>
      <c r="F6687">
        <f>VLOOKUP(C6687,Меню!A:E,5,0)</f>
        <v>250</v>
      </c>
    </row>
    <row r="6688" spans="1:6" ht="15.75" hidden="1" customHeight="1" x14ac:dyDescent="0.35">
      <c r="A6688" s="1">
        <v>6687</v>
      </c>
      <c r="B6688" s="1">
        <v>1327</v>
      </c>
      <c r="C6688" s="1">
        <v>24</v>
      </c>
      <c r="D6688" t="str">
        <f>VLOOKUP(B6688,Заказы!A:C,3,0)</f>
        <v>2024-01-18 21:23:00</v>
      </c>
      <c r="E6688" t="str">
        <f>VLOOKUP(C6688,Меню!A:E,4,0)</f>
        <v>Салат</v>
      </c>
      <c r="F6688">
        <f>VLOOKUP(C6688,Меню!A:E,5,0)</f>
        <v>250</v>
      </c>
    </row>
    <row r="6689" spans="1:6" ht="15.75" hidden="1" customHeight="1" x14ac:dyDescent="0.35">
      <c r="A6689" s="1">
        <v>6688</v>
      </c>
      <c r="B6689" s="1">
        <v>1327</v>
      </c>
      <c r="C6689" s="1">
        <v>58</v>
      </c>
      <c r="D6689" t="str">
        <f>VLOOKUP(B6689,Заказы!A:C,3,0)</f>
        <v>2024-01-18 21:23:00</v>
      </c>
      <c r="E6689" t="str">
        <f>VLOOKUP(C6689,Меню!A:E,4,0)</f>
        <v>Суши</v>
      </c>
      <c r="F6689">
        <f>VLOOKUP(C6689,Меню!A:E,5,0)</f>
        <v>200</v>
      </c>
    </row>
    <row r="6690" spans="1:6" ht="15.75" hidden="1" customHeight="1" x14ac:dyDescent="0.35">
      <c r="A6690" s="1">
        <v>6689</v>
      </c>
      <c r="B6690" s="1">
        <v>1327</v>
      </c>
      <c r="C6690" s="1">
        <v>30</v>
      </c>
      <c r="D6690" t="str">
        <f>VLOOKUP(B6690,Заказы!A:C,3,0)</f>
        <v>2024-01-18 21:23:00</v>
      </c>
      <c r="E6690" t="str">
        <f>VLOOKUP(C6690,Меню!A:E,4,0)</f>
        <v>Салат</v>
      </c>
      <c r="F6690">
        <f>VLOOKUP(C6690,Меню!A:E,5,0)</f>
        <v>250</v>
      </c>
    </row>
    <row r="6691" spans="1:6" ht="15.75" hidden="1" customHeight="1" x14ac:dyDescent="0.35">
      <c r="A6691" s="1">
        <v>6690</v>
      </c>
      <c r="B6691" s="1">
        <v>1327</v>
      </c>
      <c r="C6691" s="1">
        <v>27</v>
      </c>
      <c r="D6691" t="str">
        <f>VLOOKUP(B6691,Заказы!A:C,3,0)</f>
        <v>2024-01-18 21:23:00</v>
      </c>
      <c r="E6691" t="str">
        <f>VLOOKUP(C6691,Меню!A:E,4,0)</f>
        <v>Салат</v>
      </c>
      <c r="F6691">
        <f>VLOOKUP(C6691,Меню!A:E,5,0)</f>
        <v>250</v>
      </c>
    </row>
    <row r="6692" spans="1:6" ht="15.75" hidden="1" customHeight="1" x14ac:dyDescent="0.35">
      <c r="A6692" s="1">
        <v>6691</v>
      </c>
      <c r="B6692" s="1">
        <v>1327</v>
      </c>
      <c r="C6692" s="1">
        <v>48</v>
      </c>
      <c r="D6692" t="str">
        <f>VLOOKUP(B6692,Заказы!A:C,3,0)</f>
        <v>2024-01-18 21:23:00</v>
      </c>
      <c r="E6692" t="str">
        <f>VLOOKUP(C6692,Меню!A:E,4,0)</f>
        <v>Суши</v>
      </c>
      <c r="F6692">
        <f>VLOOKUP(C6692,Меню!A:E,5,0)</f>
        <v>200</v>
      </c>
    </row>
    <row r="6693" spans="1:6" ht="15.75" hidden="1" customHeight="1" x14ac:dyDescent="0.35">
      <c r="A6693" s="1">
        <v>6692</v>
      </c>
      <c r="B6693" s="1">
        <v>1327</v>
      </c>
      <c r="C6693" s="1">
        <v>26</v>
      </c>
      <c r="D6693" t="str">
        <f>VLOOKUP(B6693,Заказы!A:C,3,0)</f>
        <v>2024-01-18 21:23:00</v>
      </c>
      <c r="E6693" t="str">
        <f>VLOOKUP(C6693,Меню!A:E,4,0)</f>
        <v>Салат</v>
      </c>
      <c r="F6693">
        <f>VLOOKUP(C6693,Меню!A:E,5,0)</f>
        <v>250</v>
      </c>
    </row>
    <row r="6694" spans="1:6" ht="15.75" customHeight="1" x14ac:dyDescent="0.35">
      <c r="A6694" s="1">
        <v>6693</v>
      </c>
      <c r="B6694" s="1">
        <v>1327</v>
      </c>
      <c r="C6694" s="1">
        <v>34</v>
      </c>
      <c r="D6694" t="str">
        <f>VLOOKUP(B6694,Заказы!A:C,3,0)</f>
        <v>2024-01-18 21:23:00</v>
      </c>
      <c r="E6694" t="str">
        <f>VLOOKUP(C6694,Меню!A:E,4,0)</f>
        <v>Десерт</v>
      </c>
      <c r="F6694">
        <f>VLOOKUP(C6694,Меню!A:E,5,0)</f>
        <v>150</v>
      </c>
    </row>
    <row r="6695" spans="1:6" ht="15.75" hidden="1" customHeight="1" x14ac:dyDescent="0.35">
      <c r="A6695" s="1">
        <v>6694</v>
      </c>
      <c r="B6695" s="1">
        <v>1328</v>
      </c>
      <c r="C6695" s="1">
        <v>17</v>
      </c>
      <c r="D6695" t="str">
        <f>VLOOKUP(B6695,Заказы!A:C,3,0)</f>
        <v>2024-01-19 15:53:00</v>
      </c>
      <c r="E6695" t="str">
        <f>VLOOKUP(C6695,Меню!A:E,4,0)</f>
        <v>Первое</v>
      </c>
      <c r="F6695">
        <f>VLOOKUP(C6695,Меню!A:E,5,0)</f>
        <v>250</v>
      </c>
    </row>
    <row r="6696" spans="1:6" ht="15.75" hidden="1" customHeight="1" x14ac:dyDescent="0.35">
      <c r="A6696" s="1">
        <v>6695</v>
      </c>
      <c r="B6696" s="1">
        <v>1328</v>
      </c>
      <c r="C6696" s="1">
        <v>53</v>
      </c>
      <c r="D6696" t="str">
        <f>VLOOKUP(B6696,Заказы!A:C,3,0)</f>
        <v>2024-01-19 15:53:00</v>
      </c>
      <c r="E6696" t="str">
        <f>VLOOKUP(C6696,Меню!A:E,4,0)</f>
        <v>Суши</v>
      </c>
      <c r="F6696">
        <f>VLOOKUP(C6696,Меню!A:E,5,0)</f>
        <v>100</v>
      </c>
    </row>
    <row r="6697" spans="1:6" ht="15.75" hidden="1" customHeight="1" x14ac:dyDescent="0.35">
      <c r="A6697" s="1">
        <v>6696</v>
      </c>
      <c r="B6697" s="1">
        <v>1328</v>
      </c>
      <c r="C6697" s="1">
        <v>51</v>
      </c>
      <c r="D6697" t="str">
        <f>VLOOKUP(B6697,Заказы!A:C,3,0)</f>
        <v>2024-01-19 15:53:00</v>
      </c>
      <c r="E6697" t="str">
        <f>VLOOKUP(C6697,Меню!A:E,4,0)</f>
        <v>Суши</v>
      </c>
      <c r="F6697">
        <f>VLOOKUP(C6697,Меню!A:E,5,0)</f>
        <v>100</v>
      </c>
    </row>
    <row r="6698" spans="1:6" ht="15.75" hidden="1" customHeight="1" x14ac:dyDescent="0.35">
      <c r="A6698" s="1">
        <v>6697</v>
      </c>
      <c r="B6698" s="1">
        <v>1328</v>
      </c>
      <c r="C6698" s="1">
        <v>2</v>
      </c>
      <c r="D6698" t="str">
        <f>VLOOKUP(B6698,Заказы!A:C,3,0)</f>
        <v>2024-01-19 15:53:00</v>
      </c>
      <c r="E6698" t="str">
        <f>VLOOKUP(C6698,Меню!A:E,4,0)</f>
        <v>Завтрак</v>
      </c>
      <c r="F6698">
        <f>VLOOKUP(C6698,Меню!A:E,5,0)</f>
        <v>250</v>
      </c>
    </row>
    <row r="6699" spans="1:6" ht="15.75" hidden="1" customHeight="1" x14ac:dyDescent="0.35">
      <c r="A6699" s="1">
        <v>6698</v>
      </c>
      <c r="B6699" s="1">
        <v>1328</v>
      </c>
      <c r="C6699" s="1">
        <v>45</v>
      </c>
      <c r="D6699" t="str">
        <f>VLOOKUP(B6699,Заказы!A:C,3,0)</f>
        <v>2024-01-19 15:53:00</v>
      </c>
      <c r="E6699" t="str">
        <f>VLOOKUP(C6699,Меню!A:E,4,0)</f>
        <v>Суши</v>
      </c>
      <c r="F6699">
        <f>VLOOKUP(C6699,Меню!A:E,5,0)</f>
        <v>200</v>
      </c>
    </row>
    <row r="6700" spans="1:6" ht="15.75" hidden="1" customHeight="1" x14ac:dyDescent="0.35">
      <c r="A6700" s="1">
        <v>6699</v>
      </c>
      <c r="B6700" s="1">
        <v>1328</v>
      </c>
      <c r="C6700" s="1">
        <v>44</v>
      </c>
      <c r="D6700" t="str">
        <f>VLOOKUP(B6700,Заказы!A:C,3,0)</f>
        <v>2024-01-19 15:53:00</v>
      </c>
      <c r="E6700" t="str">
        <f>VLOOKUP(C6700,Меню!A:E,4,0)</f>
        <v>Суши</v>
      </c>
      <c r="F6700">
        <f>VLOOKUP(C6700,Меню!A:E,5,0)</f>
        <v>250</v>
      </c>
    </row>
    <row r="6701" spans="1:6" ht="15.75" hidden="1" customHeight="1" x14ac:dyDescent="0.35">
      <c r="A6701" s="1">
        <v>6700</v>
      </c>
      <c r="B6701" s="1">
        <v>1329</v>
      </c>
      <c r="C6701" s="1">
        <v>46</v>
      </c>
      <c r="D6701" t="str">
        <f>VLOOKUP(B6701,Заказы!A:C,3,0)</f>
        <v>2024-01-19 19:26:00</v>
      </c>
      <c r="E6701" t="str">
        <f>VLOOKUP(C6701,Меню!A:E,4,0)</f>
        <v>Суши</v>
      </c>
      <c r="F6701">
        <f>VLOOKUP(C6701,Меню!A:E,5,0)</f>
        <v>200</v>
      </c>
    </row>
    <row r="6702" spans="1:6" ht="15.75" hidden="1" customHeight="1" x14ac:dyDescent="0.35">
      <c r="A6702" s="1">
        <v>6701</v>
      </c>
      <c r="B6702" s="1">
        <v>1329</v>
      </c>
      <c r="C6702" s="1">
        <v>19</v>
      </c>
      <c r="D6702" t="str">
        <f>VLOOKUP(B6702,Заказы!A:C,3,0)</f>
        <v>2024-01-19 19:26:00</v>
      </c>
      <c r="E6702" t="str">
        <f>VLOOKUP(C6702,Меню!A:E,4,0)</f>
        <v>Первое</v>
      </c>
      <c r="F6702">
        <f>VLOOKUP(C6702,Меню!A:E,5,0)</f>
        <v>300</v>
      </c>
    </row>
    <row r="6703" spans="1:6" ht="15.75" hidden="1" customHeight="1" x14ac:dyDescent="0.35">
      <c r="A6703" s="1">
        <v>6702</v>
      </c>
      <c r="B6703" s="1">
        <v>1329</v>
      </c>
      <c r="C6703" s="1">
        <v>47</v>
      </c>
      <c r="D6703" t="str">
        <f>VLOOKUP(B6703,Заказы!A:C,3,0)</f>
        <v>2024-01-19 19:26:00</v>
      </c>
      <c r="E6703" t="str">
        <f>VLOOKUP(C6703,Меню!A:E,4,0)</f>
        <v>Суши</v>
      </c>
      <c r="F6703">
        <f>VLOOKUP(C6703,Меню!A:E,5,0)</f>
        <v>200</v>
      </c>
    </row>
    <row r="6704" spans="1:6" ht="15.75" hidden="1" customHeight="1" x14ac:dyDescent="0.35">
      <c r="A6704" s="1">
        <v>6703</v>
      </c>
      <c r="B6704" s="1">
        <v>1330</v>
      </c>
      <c r="C6704" s="1">
        <v>20</v>
      </c>
      <c r="D6704" t="str">
        <f>VLOOKUP(B6704,Заказы!A:C,3,0)</f>
        <v>2024-01-19 20:29:00</v>
      </c>
      <c r="E6704" t="str">
        <f>VLOOKUP(C6704,Меню!A:E,4,0)</f>
        <v>Первое</v>
      </c>
      <c r="F6704">
        <f>VLOOKUP(C6704,Меню!A:E,5,0)</f>
        <v>250</v>
      </c>
    </row>
    <row r="6705" spans="1:6" ht="15.75" hidden="1" customHeight="1" x14ac:dyDescent="0.35">
      <c r="A6705" s="1">
        <v>6704</v>
      </c>
      <c r="B6705" s="1">
        <v>1330</v>
      </c>
      <c r="C6705" s="1">
        <v>59</v>
      </c>
      <c r="D6705" t="str">
        <f>VLOOKUP(B6705,Заказы!A:C,3,0)</f>
        <v>2024-01-19 20:29:00</v>
      </c>
      <c r="E6705" t="str">
        <f>VLOOKUP(C6705,Меню!A:E,4,0)</f>
        <v>Суши</v>
      </c>
      <c r="F6705">
        <f>VLOOKUP(C6705,Меню!A:E,5,0)</f>
        <v>300</v>
      </c>
    </row>
    <row r="6706" spans="1:6" ht="15.75" customHeight="1" x14ac:dyDescent="0.35">
      <c r="A6706" s="1">
        <v>6705</v>
      </c>
      <c r="B6706" s="1">
        <v>1330</v>
      </c>
      <c r="C6706" s="1">
        <v>33</v>
      </c>
      <c r="D6706" t="str">
        <f>VLOOKUP(B6706,Заказы!A:C,3,0)</f>
        <v>2024-01-19 20:29:00</v>
      </c>
      <c r="E6706" t="str">
        <f>VLOOKUP(C6706,Меню!A:E,4,0)</f>
        <v>Десерт</v>
      </c>
      <c r="F6706">
        <f>VLOOKUP(C6706,Меню!A:E,5,0)</f>
        <v>150</v>
      </c>
    </row>
    <row r="6707" spans="1:6" ht="15.75" hidden="1" customHeight="1" x14ac:dyDescent="0.35">
      <c r="A6707" s="1">
        <v>6706</v>
      </c>
      <c r="B6707" s="1">
        <v>1330</v>
      </c>
      <c r="C6707" s="1">
        <v>29</v>
      </c>
      <c r="D6707" t="str">
        <f>VLOOKUP(B6707,Заказы!A:C,3,0)</f>
        <v>2024-01-19 20:29:00</v>
      </c>
      <c r="E6707" t="str">
        <f>VLOOKUP(C6707,Меню!A:E,4,0)</f>
        <v>Салат</v>
      </c>
      <c r="F6707">
        <f>VLOOKUP(C6707,Меню!A:E,5,0)</f>
        <v>250</v>
      </c>
    </row>
    <row r="6708" spans="1:6" ht="15.75" hidden="1" customHeight="1" x14ac:dyDescent="0.35">
      <c r="A6708" s="1">
        <v>6707</v>
      </c>
      <c r="B6708" s="1">
        <v>1330</v>
      </c>
      <c r="C6708" s="1">
        <v>48</v>
      </c>
      <c r="D6708" t="str">
        <f>VLOOKUP(B6708,Заказы!A:C,3,0)</f>
        <v>2024-01-19 20:29:00</v>
      </c>
      <c r="E6708" t="str">
        <f>VLOOKUP(C6708,Меню!A:E,4,0)</f>
        <v>Суши</v>
      </c>
      <c r="F6708">
        <f>VLOOKUP(C6708,Меню!A:E,5,0)</f>
        <v>200</v>
      </c>
    </row>
    <row r="6709" spans="1:6" ht="15.75" hidden="1" customHeight="1" x14ac:dyDescent="0.35">
      <c r="A6709" s="1">
        <v>6708</v>
      </c>
      <c r="B6709" s="1">
        <v>1330</v>
      </c>
      <c r="C6709" s="1">
        <v>41</v>
      </c>
      <c r="D6709" t="str">
        <f>VLOOKUP(B6709,Заказы!A:C,3,0)</f>
        <v>2024-01-19 20:29:00</v>
      </c>
      <c r="E6709" t="str">
        <f>VLOOKUP(C6709,Меню!A:E,4,0)</f>
        <v>Суши</v>
      </c>
      <c r="F6709">
        <f>VLOOKUP(C6709,Меню!A:E,5,0)</f>
        <v>220</v>
      </c>
    </row>
    <row r="6710" spans="1:6" ht="15.75" hidden="1" customHeight="1" x14ac:dyDescent="0.35">
      <c r="A6710" s="1">
        <v>6709</v>
      </c>
      <c r="B6710" s="1">
        <v>1331</v>
      </c>
      <c r="C6710" s="1">
        <v>27</v>
      </c>
      <c r="D6710" t="str">
        <f>VLOOKUP(B6710,Заказы!A:C,3,0)</f>
        <v>2024-01-19 21:52:00</v>
      </c>
      <c r="E6710" t="str">
        <f>VLOOKUP(C6710,Меню!A:E,4,0)</f>
        <v>Салат</v>
      </c>
      <c r="F6710">
        <f>VLOOKUP(C6710,Меню!A:E,5,0)</f>
        <v>250</v>
      </c>
    </row>
    <row r="6711" spans="1:6" ht="15.75" hidden="1" customHeight="1" x14ac:dyDescent="0.35">
      <c r="A6711" s="1">
        <v>6710</v>
      </c>
      <c r="B6711" s="1">
        <v>1331</v>
      </c>
      <c r="C6711" s="1">
        <v>21</v>
      </c>
      <c r="D6711" t="str">
        <f>VLOOKUP(B6711,Заказы!A:C,3,0)</f>
        <v>2024-01-19 21:52:00</v>
      </c>
      <c r="E6711" t="str">
        <f>VLOOKUP(C6711,Меню!A:E,4,0)</f>
        <v>Салат</v>
      </c>
      <c r="F6711">
        <f>VLOOKUP(C6711,Меню!A:E,5,0)</f>
        <v>250</v>
      </c>
    </row>
    <row r="6712" spans="1:6" ht="15.75" hidden="1" customHeight="1" x14ac:dyDescent="0.35">
      <c r="A6712" s="1">
        <v>6711</v>
      </c>
      <c r="B6712" s="1">
        <v>1332</v>
      </c>
      <c r="C6712" s="1">
        <v>54</v>
      </c>
      <c r="D6712" t="str">
        <f>VLOOKUP(B6712,Заказы!A:C,3,0)</f>
        <v>2024-01-20 16:31:00</v>
      </c>
      <c r="E6712" t="str">
        <f>VLOOKUP(C6712,Меню!A:E,4,0)</f>
        <v>Суши</v>
      </c>
      <c r="F6712">
        <f>VLOOKUP(C6712,Меню!A:E,5,0)</f>
        <v>100</v>
      </c>
    </row>
    <row r="6713" spans="1:6" ht="15.75" customHeight="1" x14ac:dyDescent="0.35">
      <c r="A6713" s="1">
        <v>6712</v>
      </c>
      <c r="B6713" s="1">
        <v>1333</v>
      </c>
      <c r="C6713" s="1">
        <v>31</v>
      </c>
      <c r="D6713" t="str">
        <f>VLOOKUP(B6713,Заказы!A:C,3,0)</f>
        <v>2024-01-20 17:03:00</v>
      </c>
      <c r="E6713" t="str">
        <f>VLOOKUP(C6713,Меню!A:E,4,0)</f>
        <v>Десерт</v>
      </c>
      <c r="F6713">
        <f>VLOOKUP(C6713,Меню!A:E,5,0)</f>
        <v>150</v>
      </c>
    </row>
    <row r="6714" spans="1:6" ht="15.75" hidden="1" customHeight="1" x14ac:dyDescent="0.35">
      <c r="A6714" s="1">
        <v>6713</v>
      </c>
      <c r="B6714" s="1">
        <v>1333</v>
      </c>
      <c r="C6714" s="1">
        <v>12</v>
      </c>
      <c r="D6714" t="str">
        <f>VLOOKUP(B6714,Заказы!A:C,3,0)</f>
        <v>2024-01-20 17:03:00</v>
      </c>
      <c r="E6714" t="str">
        <f>VLOOKUP(C6714,Меню!A:E,4,0)</f>
        <v>Первое</v>
      </c>
      <c r="F6714">
        <f>VLOOKUP(C6714,Меню!A:E,5,0)</f>
        <v>300</v>
      </c>
    </row>
    <row r="6715" spans="1:6" ht="15.75" hidden="1" customHeight="1" x14ac:dyDescent="0.35">
      <c r="A6715" s="1">
        <v>6714</v>
      </c>
      <c r="B6715" s="1">
        <v>1333</v>
      </c>
      <c r="C6715" s="1">
        <v>59</v>
      </c>
      <c r="D6715" t="str">
        <f>VLOOKUP(B6715,Заказы!A:C,3,0)</f>
        <v>2024-01-20 17:03:00</v>
      </c>
      <c r="E6715" t="str">
        <f>VLOOKUP(C6715,Меню!A:E,4,0)</f>
        <v>Суши</v>
      </c>
      <c r="F6715">
        <f>VLOOKUP(C6715,Меню!A:E,5,0)</f>
        <v>300</v>
      </c>
    </row>
    <row r="6716" spans="1:6" ht="15.75" hidden="1" customHeight="1" x14ac:dyDescent="0.35">
      <c r="A6716" s="1">
        <v>6715</v>
      </c>
      <c r="B6716" s="1">
        <v>1333</v>
      </c>
      <c r="C6716" s="1">
        <v>1</v>
      </c>
      <c r="D6716" t="str">
        <f>VLOOKUP(B6716,Заказы!A:C,3,0)</f>
        <v>2024-01-20 17:03:00</v>
      </c>
      <c r="E6716" t="str">
        <f>VLOOKUP(C6716,Меню!A:E,4,0)</f>
        <v>Завтрак</v>
      </c>
      <c r="F6716">
        <f>VLOOKUP(C6716,Меню!A:E,5,0)</f>
        <v>200</v>
      </c>
    </row>
    <row r="6717" spans="1:6" ht="15.75" hidden="1" customHeight="1" x14ac:dyDescent="0.35">
      <c r="A6717" s="1">
        <v>6716</v>
      </c>
      <c r="B6717" s="1">
        <v>1334</v>
      </c>
      <c r="C6717" s="1">
        <v>18</v>
      </c>
      <c r="D6717" t="str">
        <f>VLOOKUP(B6717,Заказы!A:C,3,0)</f>
        <v>2024-01-20 17:24:00</v>
      </c>
      <c r="E6717" t="str">
        <f>VLOOKUP(C6717,Меню!A:E,4,0)</f>
        <v>Первое</v>
      </c>
      <c r="F6717">
        <f>VLOOKUP(C6717,Меню!A:E,5,0)</f>
        <v>300</v>
      </c>
    </row>
    <row r="6718" spans="1:6" ht="15.75" hidden="1" customHeight="1" x14ac:dyDescent="0.35">
      <c r="A6718" s="1">
        <v>6717</v>
      </c>
      <c r="B6718" s="1">
        <v>1334</v>
      </c>
      <c r="C6718" s="1">
        <v>60</v>
      </c>
      <c r="D6718" t="str">
        <f>VLOOKUP(B6718,Заказы!A:C,3,0)</f>
        <v>2024-01-20 17:24:00</v>
      </c>
      <c r="E6718" t="str">
        <f>VLOOKUP(C6718,Меню!A:E,4,0)</f>
        <v>Суши</v>
      </c>
      <c r="F6718">
        <f>VLOOKUP(C6718,Меню!A:E,5,0)</f>
        <v>250</v>
      </c>
    </row>
    <row r="6719" spans="1:6" ht="15.75" customHeight="1" x14ac:dyDescent="0.35">
      <c r="A6719" s="1">
        <v>6718</v>
      </c>
      <c r="B6719" s="1">
        <v>1334</v>
      </c>
      <c r="C6719" s="1">
        <v>39</v>
      </c>
      <c r="D6719" t="str">
        <f>VLOOKUP(B6719,Заказы!A:C,3,0)</f>
        <v>2024-01-20 17:24:00</v>
      </c>
      <c r="E6719" t="str">
        <f>VLOOKUP(C6719,Меню!A:E,4,0)</f>
        <v>Десерт</v>
      </c>
      <c r="F6719">
        <f>VLOOKUP(C6719,Меню!A:E,5,0)</f>
        <v>150</v>
      </c>
    </row>
    <row r="6720" spans="1:6" ht="15.75" hidden="1" customHeight="1" x14ac:dyDescent="0.35">
      <c r="A6720" s="1">
        <v>6719</v>
      </c>
      <c r="B6720" s="1">
        <v>1334</v>
      </c>
      <c r="C6720" s="1">
        <v>25</v>
      </c>
      <c r="D6720" t="str">
        <f>VLOOKUP(B6720,Заказы!A:C,3,0)</f>
        <v>2024-01-20 17:24:00</v>
      </c>
      <c r="E6720" t="str">
        <f>VLOOKUP(C6720,Меню!A:E,4,0)</f>
        <v>Салат</v>
      </c>
      <c r="F6720">
        <f>VLOOKUP(C6720,Меню!A:E,5,0)</f>
        <v>250</v>
      </c>
    </row>
    <row r="6721" spans="1:6" ht="15.75" hidden="1" customHeight="1" x14ac:dyDescent="0.35">
      <c r="A6721" s="1">
        <v>6720</v>
      </c>
      <c r="B6721" s="1">
        <v>1334</v>
      </c>
      <c r="C6721" s="1">
        <v>22</v>
      </c>
      <c r="D6721" t="str">
        <f>VLOOKUP(B6721,Заказы!A:C,3,0)</f>
        <v>2024-01-20 17:24:00</v>
      </c>
      <c r="E6721" t="str">
        <f>VLOOKUP(C6721,Меню!A:E,4,0)</f>
        <v>Салат</v>
      </c>
      <c r="F6721">
        <f>VLOOKUP(C6721,Меню!A:E,5,0)</f>
        <v>250</v>
      </c>
    </row>
    <row r="6722" spans="1:6" ht="15.75" customHeight="1" x14ac:dyDescent="0.35">
      <c r="A6722" s="1">
        <v>6721</v>
      </c>
      <c r="B6722" s="1">
        <v>1334</v>
      </c>
      <c r="C6722" s="1">
        <v>34</v>
      </c>
      <c r="D6722" t="str">
        <f>VLOOKUP(B6722,Заказы!A:C,3,0)</f>
        <v>2024-01-20 17:24:00</v>
      </c>
      <c r="E6722" t="str">
        <f>VLOOKUP(C6722,Меню!A:E,4,0)</f>
        <v>Десерт</v>
      </c>
      <c r="F6722">
        <f>VLOOKUP(C6722,Меню!A:E,5,0)</f>
        <v>150</v>
      </c>
    </row>
    <row r="6723" spans="1:6" ht="15.75" hidden="1" customHeight="1" x14ac:dyDescent="0.35">
      <c r="A6723" s="1">
        <v>6722</v>
      </c>
      <c r="B6723" s="1">
        <v>1334</v>
      </c>
      <c r="C6723" s="1">
        <v>8</v>
      </c>
      <c r="D6723" t="str">
        <f>VLOOKUP(B6723,Заказы!A:C,3,0)</f>
        <v>2024-01-20 17:24:00</v>
      </c>
      <c r="E6723" t="str">
        <f>VLOOKUP(C6723,Меню!A:E,4,0)</f>
        <v>Завтрак</v>
      </c>
      <c r="F6723">
        <f>VLOOKUP(C6723,Меню!A:E,5,0)</f>
        <v>180</v>
      </c>
    </row>
    <row r="6724" spans="1:6" ht="15.75" hidden="1" customHeight="1" x14ac:dyDescent="0.35">
      <c r="A6724" s="1">
        <v>6723</v>
      </c>
      <c r="B6724" s="1">
        <v>1335</v>
      </c>
      <c r="C6724" s="1">
        <v>49</v>
      </c>
      <c r="D6724" t="str">
        <f>VLOOKUP(B6724,Заказы!A:C,3,0)</f>
        <v>2024-01-20 18:18:00</v>
      </c>
      <c r="E6724" t="str">
        <f>VLOOKUP(C6724,Меню!A:E,4,0)</f>
        <v>Суши</v>
      </c>
      <c r="F6724">
        <f>VLOOKUP(C6724,Меню!A:E,5,0)</f>
        <v>200</v>
      </c>
    </row>
    <row r="6725" spans="1:6" ht="15.75" hidden="1" customHeight="1" x14ac:dyDescent="0.35">
      <c r="A6725" s="1">
        <v>6724</v>
      </c>
      <c r="B6725" s="1">
        <v>1335</v>
      </c>
      <c r="C6725" s="1">
        <v>7</v>
      </c>
      <c r="D6725" t="str">
        <f>VLOOKUP(B6725,Заказы!A:C,3,0)</f>
        <v>2024-01-20 18:18:00</v>
      </c>
      <c r="E6725" t="str">
        <f>VLOOKUP(C6725,Меню!A:E,4,0)</f>
        <v>Завтрак</v>
      </c>
      <c r="F6725">
        <f>VLOOKUP(C6725,Меню!A:E,5,0)</f>
        <v>200</v>
      </c>
    </row>
    <row r="6726" spans="1:6" ht="15.75" hidden="1" customHeight="1" x14ac:dyDescent="0.35">
      <c r="A6726" s="1">
        <v>6725</v>
      </c>
      <c r="B6726" s="1">
        <v>1335</v>
      </c>
      <c r="C6726" s="1">
        <v>13</v>
      </c>
      <c r="D6726" t="str">
        <f>VLOOKUP(B6726,Заказы!A:C,3,0)</f>
        <v>2024-01-20 18:18:00</v>
      </c>
      <c r="E6726" t="str">
        <f>VLOOKUP(C6726,Меню!A:E,4,0)</f>
        <v>Первое</v>
      </c>
      <c r="F6726">
        <f>VLOOKUP(C6726,Меню!A:E,5,0)</f>
        <v>280</v>
      </c>
    </row>
    <row r="6727" spans="1:6" ht="15.75" hidden="1" customHeight="1" x14ac:dyDescent="0.35">
      <c r="A6727" s="1">
        <v>6726</v>
      </c>
      <c r="B6727" s="1">
        <v>1335</v>
      </c>
      <c r="C6727" s="1">
        <v>8</v>
      </c>
      <c r="D6727" t="str">
        <f>VLOOKUP(B6727,Заказы!A:C,3,0)</f>
        <v>2024-01-20 18:18:00</v>
      </c>
      <c r="E6727" t="str">
        <f>VLOOKUP(C6727,Меню!A:E,4,0)</f>
        <v>Завтрак</v>
      </c>
      <c r="F6727">
        <f>VLOOKUP(C6727,Меню!A:E,5,0)</f>
        <v>180</v>
      </c>
    </row>
    <row r="6728" spans="1:6" ht="15.75" hidden="1" customHeight="1" x14ac:dyDescent="0.35">
      <c r="A6728" s="1">
        <v>6727</v>
      </c>
      <c r="B6728" s="1">
        <v>1335</v>
      </c>
      <c r="C6728" s="1">
        <v>1</v>
      </c>
      <c r="D6728" t="str">
        <f>VLOOKUP(B6728,Заказы!A:C,3,0)</f>
        <v>2024-01-20 18:18:00</v>
      </c>
      <c r="E6728" t="str">
        <f>VLOOKUP(C6728,Меню!A:E,4,0)</f>
        <v>Завтрак</v>
      </c>
      <c r="F6728">
        <f>VLOOKUP(C6728,Меню!A:E,5,0)</f>
        <v>200</v>
      </c>
    </row>
    <row r="6729" spans="1:6" ht="15.75" customHeight="1" x14ac:dyDescent="0.35">
      <c r="A6729" s="1">
        <v>6728</v>
      </c>
      <c r="B6729" s="1">
        <v>1335</v>
      </c>
      <c r="C6729" s="1">
        <v>40</v>
      </c>
      <c r="D6729" t="str">
        <f>VLOOKUP(B6729,Заказы!A:C,3,0)</f>
        <v>2024-01-20 18:18:00</v>
      </c>
      <c r="E6729" t="str">
        <f>VLOOKUP(C6729,Меню!A:E,4,0)</f>
        <v>Десерт</v>
      </c>
      <c r="F6729">
        <f>VLOOKUP(C6729,Меню!A:E,5,0)</f>
        <v>150</v>
      </c>
    </row>
    <row r="6730" spans="1:6" ht="15.75" hidden="1" customHeight="1" x14ac:dyDescent="0.35">
      <c r="A6730" s="1">
        <v>6729</v>
      </c>
      <c r="B6730" s="1">
        <v>1336</v>
      </c>
      <c r="C6730" s="1">
        <v>46</v>
      </c>
      <c r="D6730" t="str">
        <f>VLOOKUP(B6730,Заказы!A:C,3,0)</f>
        <v>2024-01-20 21:20:00</v>
      </c>
      <c r="E6730" t="str">
        <f>VLOOKUP(C6730,Меню!A:E,4,0)</f>
        <v>Суши</v>
      </c>
      <c r="F6730">
        <f>VLOOKUP(C6730,Меню!A:E,5,0)</f>
        <v>200</v>
      </c>
    </row>
    <row r="6731" spans="1:6" ht="15.75" hidden="1" customHeight="1" x14ac:dyDescent="0.35">
      <c r="A6731" s="1">
        <v>6730</v>
      </c>
      <c r="B6731" s="1">
        <v>1337</v>
      </c>
      <c r="C6731" s="1">
        <v>59</v>
      </c>
      <c r="D6731" t="str">
        <f>VLOOKUP(B6731,Заказы!A:C,3,0)</f>
        <v>2024-01-21 17:53:00</v>
      </c>
      <c r="E6731" t="str">
        <f>VLOOKUP(C6731,Меню!A:E,4,0)</f>
        <v>Суши</v>
      </c>
      <c r="F6731">
        <f>VLOOKUP(C6731,Меню!A:E,5,0)</f>
        <v>300</v>
      </c>
    </row>
    <row r="6732" spans="1:6" ht="15.75" hidden="1" customHeight="1" x14ac:dyDescent="0.35">
      <c r="A6732" s="1">
        <v>6731</v>
      </c>
      <c r="B6732" s="1">
        <v>1337</v>
      </c>
      <c r="C6732" s="1">
        <v>49</v>
      </c>
      <c r="D6732" t="str">
        <f>VLOOKUP(B6732,Заказы!A:C,3,0)</f>
        <v>2024-01-21 17:53:00</v>
      </c>
      <c r="E6732" t="str">
        <f>VLOOKUP(C6732,Меню!A:E,4,0)</f>
        <v>Суши</v>
      </c>
      <c r="F6732">
        <f>VLOOKUP(C6732,Меню!A:E,5,0)</f>
        <v>200</v>
      </c>
    </row>
    <row r="6733" spans="1:6" ht="15.75" hidden="1" customHeight="1" x14ac:dyDescent="0.35">
      <c r="A6733" s="1">
        <v>6732</v>
      </c>
      <c r="B6733" s="1">
        <v>1337</v>
      </c>
      <c r="C6733" s="1">
        <v>29</v>
      </c>
      <c r="D6733" t="str">
        <f>VLOOKUP(B6733,Заказы!A:C,3,0)</f>
        <v>2024-01-21 17:53:00</v>
      </c>
      <c r="E6733" t="str">
        <f>VLOOKUP(C6733,Меню!A:E,4,0)</f>
        <v>Салат</v>
      </c>
      <c r="F6733">
        <f>VLOOKUP(C6733,Меню!A:E,5,0)</f>
        <v>250</v>
      </c>
    </row>
    <row r="6734" spans="1:6" ht="15.75" hidden="1" customHeight="1" x14ac:dyDescent="0.35">
      <c r="A6734" s="1">
        <v>6733</v>
      </c>
      <c r="B6734" s="1">
        <v>1338</v>
      </c>
      <c r="C6734" s="1">
        <v>4</v>
      </c>
      <c r="D6734" t="str">
        <f>VLOOKUP(B6734,Заказы!A:C,3,0)</f>
        <v>2024-01-21 18:26:00</v>
      </c>
      <c r="E6734" t="str">
        <f>VLOOKUP(C6734,Меню!A:E,4,0)</f>
        <v>Завтрак</v>
      </c>
      <c r="F6734">
        <f>VLOOKUP(C6734,Меню!A:E,5,0)</f>
        <v>180</v>
      </c>
    </row>
    <row r="6735" spans="1:6" ht="15.75" customHeight="1" x14ac:dyDescent="0.35">
      <c r="A6735" s="1">
        <v>6734</v>
      </c>
      <c r="B6735" s="1">
        <v>1338</v>
      </c>
      <c r="C6735" s="1">
        <v>36</v>
      </c>
      <c r="D6735" t="str">
        <f>VLOOKUP(B6735,Заказы!A:C,3,0)</f>
        <v>2024-01-21 18:26:00</v>
      </c>
      <c r="E6735" t="str">
        <f>VLOOKUP(C6735,Меню!A:E,4,0)</f>
        <v>Десерт</v>
      </c>
      <c r="F6735">
        <f>VLOOKUP(C6735,Меню!A:E,5,0)</f>
        <v>150</v>
      </c>
    </row>
    <row r="6736" spans="1:6" ht="15.75" hidden="1" customHeight="1" x14ac:dyDescent="0.35">
      <c r="A6736" s="1">
        <v>6735</v>
      </c>
      <c r="B6736" s="1">
        <v>1339</v>
      </c>
      <c r="C6736" s="1">
        <v>29</v>
      </c>
      <c r="D6736" t="str">
        <f>VLOOKUP(B6736,Заказы!A:C,3,0)</f>
        <v>2024-01-21 19:42:00</v>
      </c>
      <c r="E6736" t="str">
        <f>VLOOKUP(C6736,Меню!A:E,4,0)</f>
        <v>Салат</v>
      </c>
      <c r="F6736">
        <f>VLOOKUP(C6736,Меню!A:E,5,0)</f>
        <v>250</v>
      </c>
    </row>
    <row r="6737" spans="1:6" ht="15.75" customHeight="1" x14ac:dyDescent="0.35">
      <c r="A6737" s="1">
        <v>6736</v>
      </c>
      <c r="B6737" s="1">
        <v>1339</v>
      </c>
      <c r="C6737" s="1">
        <v>39</v>
      </c>
      <c r="D6737" t="str">
        <f>VLOOKUP(B6737,Заказы!A:C,3,0)</f>
        <v>2024-01-21 19:42:00</v>
      </c>
      <c r="E6737" t="str">
        <f>VLOOKUP(C6737,Меню!A:E,4,0)</f>
        <v>Десерт</v>
      </c>
      <c r="F6737">
        <f>VLOOKUP(C6737,Меню!A:E,5,0)</f>
        <v>150</v>
      </c>
    </row>
    <row r="6738" spans="1:6" ht="15.75" hidden="1" customHeight="1" x14ac:dyDescent="0.35">
      <c r="A6738" s="1">
        <v>6737</v>
      </c>
      <c r="B6738" s="1">
        <v>1339</v>
      </c>
      <c r="C6738" s="1">
        <v>46</v>
      </c>
      <c r="D6738" t="str">
        <f>VLOOKUP(B6738,Заказы!A:C,3,0)</f>
        <v>2024-01-21 19:42:00</v>
      </c>
      <c r="E6738" t="str">
        <f>VLOOKUP(C6738,Меню!A:E,4,0)</f>
        <v>Суши</v>
      </c>
      <c r="F6738">
        <f>VLOOKUP(C6738,Меню!A:E,5,0)</f>
        <v>200</v>
      </c>
    </row>
    <row r="6739" spans="1:6" ht="15.75" hidden="1" customHeight="1" x14ac:dyDescent="0.35">
      <c r="A6739" s="1">
        <v>6738</v>
      </c>
      <c r="B6739" s="1">
        <v>1339</v>
      </c>
      <c r="C6739" s="1">
        <v>23</v>
      </c>
      <c r="D6739" t="str">
        <f>VLOOKUP(B6739,Заказы!A:C,3,0)</f>
        <v>2024-01-21 19:42:00</v>
      </c>
      <c r="E6739" t="str">
        <f>VLOOKUP(C6739,Меню!A:E,4,0)</f>
        <v>Салат</v>
      </c>
      <c r="F6739">
        <f>VLOOKUP(C6739,Меню!A:E,5,0)</f>
        <v>250</v>
      </c>
    </row>
    <row r="6740" spans="1:6" ht="15.75" hidden="1" customHeight="1" x14ac:dyDescent="0.35">
      <c r="A6740" s="1">
        <v>6739</v>
      </c>
      <c r="B6740" s="1">
        <v>1340</v>
      </c>
      <c r="C6740" s="1">
        <v>43</v>
      </c>
      <c r="D6740" t="str">
        <f>VLOOKUP(B6740,Заказы!A:C,3,0)</f>
        <v>2024-01-21 21:45:00</v>
      </c>
      <c r="E6740" t="str">
        <f>VLOOKUP(C6740,Меню!A:E,4,0)</f>
        <v>Суши</v>
      </c>
      <c r="F6740">
        <f>VLOOKUP(C6740,Меню!A:E,5,0)</f>
        <v>250</v>
      </c>
    </row>
    <row r="6741" spans="1:6" ht="15.75" hidden="1" customHeight="1" x14ac:dyDescent="0.35">
      <c r="A6741" s="1">
        <v>6740</v>
      </c>
      <c r="B6741" s="1">
        <v>1340</v>
      </c>
      <c r="C6741" s="1">
        <v>50</v>
      </c>
      <c r="D6741" t="str">
        <f>VLOOKUP(B6741,Заказы!A:C,3,0)</f>
        <v>2024-01-21 21:45:00</v>
      </c>
      <c r="E6741" t="str">
        <f>VLOOKUP(C6741,Меню!A:E,4,0)</f>
        <v>Суши</v>
      </c>
      <c r="F6741">
        <f>VLOOKUP(C6741,Меню!A:E,5,0)</f>
        <v>200</v>
      </c>
    </row>
    <row r="6742" spans="1:6" ht="15.75" hidden="1" customHeight="1" x14ac:dyDescent="0.35">
      <c r="A6742" s="1">
        <v>6741</v>
      </c>
      <c r="B6742" s="1">
        <v>1340</v>
      </c>
      <c r="C6742" s="1">
        <v>43</v>
      </c>
      <c r="D6742" t="str">
        <f>VLOOKUP(B6742,Заказы!A:C,3,0)</f>
        <v>2024-01-21 21:45:00</v>
      </c>
      <c r="E6742" t="str">
        <f>VLOOKUP(C6742,Меню!A:E,4,0)</f>
        <v>Суши</v>
      </c>
      <c r="F6742">
        <f>VLOOKUP(C6742,Меню!A:E,5,0)</f>
        <v>250</v>
      </c>
    </row>
    <row r="6743" spans="1:6" ht="15.75" hidden="1" customHeight="1" x14ac:dyDescent="0.35">
      <c r="A6743" s="1">
        <v>6742</v>
      </c>
      <c r="B6743" s="1">
        <v>1340</v>
      </c>
      <c r="C6743" s="1">
        <v>60</v>
      </c>
      <c r="D6743" t="str">
        <f>VLOOKUP(B6743,Заказы!A:C,3,0)</f>
        <v>2024-01-21 21:45:00</v>
      </c>
      <c r="E6743" t="str">
        <f>VLOOKUP(C6743,Меню!A:E,4,0)</f>
        <v>Суши</v>
      </c>
      <c r="F6743">
        <f>VLOOKUP(C6743,Меню!A:E,5,0)</f>
        <v>250</v>
      </c>
    </row>
    <row r="6744" spans="1:6" ht="15.75" customHeight="1" x14ac:dyDescent="0.35">
      <c r="A6744" s="1">
        <v>6743</v>
      </c>
      <c r="B6744" s="1">
        <v>1340</v>
      </c>
      <c r="C6744" s="1">
        <v>37</v>
      </c>
      <c r="D6744" t="str">
        <f>VLOOKUP(B6744,Заказы!A:C,3,0)</f>
        <v>2024-01-21 21:45:00</v>
      </c>
      <c r="E6744" t="str">
        <f>VLOOKUP(C6744,Меню!A:E,4,0)</f>
        <v>Десерт</v>
      </c>
      <c r="F6744">
        <f>VLOOKUP(C6744,Меню!A:E,5,0)</f>
        <v>100</v>
      </c>
    </row>
    <row r="6745" spans="1:6" ht="15.75" customHeight="1" x14ac:dyDescent="0.35">
      <c r="A6745" s="1">
        <v>6744</v>
      </c>
      <c r="B6745" s="1">
        <v>1340</v>
      </c>
      <c r="C6745" s="1">
        <v>31</v>
      </c>
      <c r="D6745" t="str">
        <f>VLOOKUP(B6745,Заказы!A:C,3,0)</f>
        <v>2024-01-21 21:45:00</v>
      </c>
      <c r="E6745" t="str">
        <f>VLOOKUP(C6745,Меню!A:E,4,0)</f>
        <v>Десерт</v>
      </c>
      <c r="F6745">
        <f>VLOOKUP(C6745,Меню!A:E,5,0)</f>
        <v>150</v>
      </c>
    </row>
    <row r="6746" spans="1:6" ht="15.75" hidden="1" customHeight="1" x14ac:dyDescent="0.35">
      <c r="A6746" s="1">
        <v>6745</v>
      </c>
      <c r="B6746" s="1">
        <v>1341</v>
      </c>
      <c r="C6746" s="1">
        <v>10</v>
      </c>
      <c r="D6746" t="str">
        <f>VLOOKUP(B6746,Заказы!A:C,3,0)</f>
        <v>2024-01-22 15:14:00</v>
      </c>
      <c r="E6746" t="str">
        <f>VLOOKUP(C6746,Меню!A:E,4,0)</f>
        <v>Завтрак</v>
      </c>
      <c r="F6746">
        <f>VLOOKUP(C6746,Меню!A:E,5,0)</f>
        <v>200</v>
      </c>
    </row>
    <row r="6747" spans="1:6" ht="15.75" hidden="1" customHeight="1" x14ac:dyDescent="0.35">
      <c r="A6747" s="1">
        <v>6746</v>
      </c>
      <c r="B6747" s="1">
        <v>1341</v>
      </c>
      <c r="C6747" s="1">
        <v>13</v>
      </c>
      <c r="D6747" t="str">
        <f>VLOOKUP(B6747,Заказы!A:C,3,0)</f>
        <v>2024-01-22 15:14:00</v>
      </c>
      <c r="E6747" t="str">
        <f>VLOOKUP(C6747,Меню!A:E,4,0)</f>
        <v>Первое</v>
      </c>
      <c r="F6747">
        <f>VLOOKUP(C6747,Меню!A:E,5,0)</f>
        <v>280</v>
      </c>
    </row>
    <row r="6748" spans="1:6" ht="15.75" hidden="1" customHeight="1" x14ac:dyDescent="0.35">
      <c r="A6748" s="1">
        <v>6747</v>
      </c>
      <c r="B6748" s="1">
        <v>1341</v>
      </c>
      <c r="C6748" s="1">
        <v>10</v>
      </c>
      <c r="D6748" t="str">
        <f>VLOOKUP(B6748,Заказы!A:C,3,0)</f>
        <v>2024-01-22 15:14:00</v>
      </c>
      <c r="E6748" t="str">
        <f>VLOOKUP(C6748,Меню!A:E,4,0)</f>
        <v>Завтрак</v>
      </c>
      <c r="F6748">
        <f>VLOOKUP(C6748,Меню!A:E,5,0)</f>
        <v>200</v>
      </c>
    </row>
    <row r="6749" spans="1:6" ht="15.75" hidden="1" customHeight="1" x14ac:dyDescent="0.35">
      <c r="A6749" s="1">
        <v>6748</v>
      </c>
      <c r="B6749" s="1">
        <v>1341</v>
      </c>
      <c r="C6749" s="1">
        <v>19</v>
      </c>
      <c r="D6749" t="str">
        <f>VLOOKUP(B6749,Заказы!A:C,3,0)</f>
        <v>2024-01-22 15:14:00</v>
      </c>
      <c r="E6749" t="str">
        <f>VLOOKUP(C6749,Меню!A:E,4,0)</f>
        <v>Первое</v>
      </c>
      <c r="F6749">
        <f>VLOOKUP(C6749,Меню!A:E,5,0)</f>
        <v>300</v>
      </c>
    </row>
    <row r="6750" spans="1:6" ht="15.75" hidden="1" customHeight="1" x14ac:dyDescent="0.35">
      <c r="A6750" s="1">
        <v>6749</v>
      </c>
      <c r="B6750" s="1">
        <v>1341</v>
      </c>
      <c r="C6750" s="1">
        <v>22</v>
      </c>
      <c r="D6750" t="str">
        <f>VLOOKUP(B6750,Заказы!A:C,3,0)</f>
        <v>2024-01-22 15:14:00</v>
      </c>
      <c r="E6750" t="str">
        <f>VLOOKUP(C6750,Меню!A:E,4,0)</f>
        <v>Салат</v>
      </c>
      <c r="F6750">
        <f>VLOOKUP(C6750,Меню!A:E,5,0)</f>
        <v>250</v>
      </c>
    </row>
    <row r="6751" spans="1:6" ht="15.75" hidden="1" customHeight="1" x14ac:dyDescent="0.35">
      <c r="A6751" s="1">
        <v>6750</v>
      </c>
      <c r="B6751" s="1">
        <v>1342</v>
      </c>
      <c r="C6751" s="1">
        <v>21</v>
      </c>
      <c r="D6751" t="str">
        <f>VLOOKUP(B6751,Заказы!A:C,3,0)</f>
        <v>2024-01-22 16:30:00</v>
      </c>
      <c r="E6751" t="str">
        <f>VLOOKUP(C6751,Меню!A:E,4,0)</f>
        <v>Салат</v>
      </c>
      <c r="F6751">
        <f>VLOOKUP(C6751,Меню!A:E,5,0)</f>
        <v>250</v>
      </c>
    </row>
    <row r="6752" spans="1:6" ht="15.75" customHeight="1" x14ac:dyDescent="0.35">
      <c r="A6752" s="1">
        <v>6751</v>
      </c>
      <c r="B6752" s="1">
        <v>1342</v>
      </c>
      <c r="C6752" s="1">
        <v>33</v>
      </c>
      <c r="D6752" t="str">
        <f>VLOOKUP(B6752,Заказы!A:C,3,0)</f>
        <v>2024-01-22 16:30:00</v>
      </c>
      <c r="E6752" t="str">
        <f>VLOOKUP(C6752,Меню!A:E,4,0)</f>
        <v>Десерт</v>
      </c>
      <c r="F6752">
        <f>VLOOKUP(C6752,Меню!A:E,5,0)</f>
        <v>150</v>
      </c>
    </row>
    <row r="6753" spans="1:6" ht="15.75" customHeight="1" x14ac:dyDescent="0.35">
      <c r="A6753" s="1">
        <v>6752</v>
      </c>
      <c r="B6753" s="1">
        <v>1342</v>
      </c>
      <c r="C6753" s="1">
        <v>34</v>
      </c>
      <c r="D6753" t="str">
        <f>VLOOKUP(B6753,Заказы!A:C,3,0)</f>
        <v>2024-01-22 16:30:00</v>
      </c>
      <c r="E6753" t="str">
        <f>VLOOKUP(C6753,Меню!A:E,4,0)</f>
        <v>Десерт</v>
      </c>
      <c r="F6753">
        <f>VLOOKUP(C6753,Меню!A:E,5,0)</f>
        <v>150</v>
      </c>
    </row>
    <row r="6754" spans="1:6" ht="15.75" hidden="1" customHeight="1" x14ac:dyDescent="0.35">
      <c r="A6754" s="1">
        <v>6753</v>
      </c>
      <c r="B6754" s="1">
        <v>1342</v>
      </c>
      <c r="C6754" s="1">
        <v>8</v>
      </c>
      <c r="D6754" t="str">
        <f>VLOOKUP(B6754,Заказы!A:C,3,0)</f>
        <v>2024-01-22 16:30:00</v>
      </c>
      <c r="E6754" t="str">
        <f>VLOOKUP(C6754,Меню!A:E,4,0)</f>
        <v>Завтрак</v>
      </c>
      <c r="F6754">
        <f>VLOOKUP(C6754,Меню!A:E,5,0)</f>
        <v>180</v>
      </c>
    </row>
    <row r="6755" spans="1:6" ht="15.75" hidden="1" customHeight="1" x14ac:dyDescent="0.35">
      <c r="A6755" s="1">
        <v>6754</v>
      </c>
      <c r="B6755" s="1">
        <v>1342</v>
      </c>
      <c r="C6755" s="1">
        <v>23</v>
      </c>
      <c r="D6755" t="str">
        <f>VLOOKUP(B6755,Заказы!A:C,3,0)</f>
        <v>2024-01-22 16:30:00</v>
      </c>
      <c r="E6755" t="str">
        <f>VLOOKUP(C6755,Меню!A:E,4,0)</f>
        <v>Салат</v>
      </c>
      <c r="F6755">
        <f>VLOOKUP(C6755,Меню!A:E,5,0)</f>
        <v>250</v>
      </c>
    </row>
    <row r="6756" spans="1:6" ht="15.75" hidden="1" customHeight="1" x14ac:dyDescent="0.35">
      <c r="A6756" s="1">
        <v>6755</v>
      </c>
      <c r="B6756" s="1">
        <v>1343</v>
      </c>
      <c r="C6756" s="1">
        <v>51</v>
      </c>
      <c r="D6756" t="str">
        <f>VLOOKUP(B6756,Заказы!A:C,3,0)</f>
        <v>2024-01-22 19:36:00</v>
      </c>
      <c r="E6756" t="str">
        <f>VLOOKUP(C6756,Меню!A:E,4,0)</f>
        <v>Суши</v>
      </c>
      <c r="F6756">
        <f>VLOOKUP(C6756,Меню!A:E,5,0)</f>
        <v>100</v>
      </c>
    </row>
    <row r="6757" spans="1:6" ht="15.75" hidden="1" customHeight="1" x14ac:dyDescent="0.35">
      <c r="A6757" s="1">
        <v>6756</v>
      </c>
      <c r="B6757" s="1">
        <v>1343</v>
      </c>
      <c r="C6757" s="1">
        <v>56</v>
      </c>
      <c r="D6757" t="str">
        <f>VLOOKUP(B6757,Заказы!A:C,3,0)</f>
        <v>2024-01-22 19:36:00</v>
      </c>
      <c r="E6757" t="str">
        <f>VLOOKUP(C6757,Меню!A:E,4,0)</f>
        <v>Суши</v>
      </c>
      <c r="F6757">
        <f>VLOOKUP(C6757,Меню!A:E,5,0)</f>
        <v>200</v>
      </c>
    </row>
    <row r="6758" spans="1:6" ht="15.75" hidden="1" customHeight="1" x14ac:dyDescent="0.35">
      <c r="A6758" s="1">
        <v>6757</v>
      </c>
      <c r="B6758" s="1">
        <v>1343</v>
      </c>
      <c r="C6758" s="1">
        <v>47</v>
      </c>
      <c r="D6758" t="str">
        <f>VLOOKUP(B6758,Заказы!A:C,3,0)</f>
        <v>2024-01-22 19:36:00</v>
      </c>
      <c r="E6758" t="str">
        <f>VLOOKUP(C6758,Меню!A:E,4,0)</f>
        <v>Суши</v>
      </c>
      <c r="F6758">
        <f>VLOOKUP(C6758,Меню!A:E,5,0)</f>
        <v>200</v>
      </c>
    </row>
    <row r="6759" spans="1:6" ht="15.75" hidden="1" customHeight="1" x14ac:dyDescent="0.35">
      <c r="A6759" s="1">
        <v>6758</v>
      </c>
      <c r="B6759" s="1">
        <v>1343</v>
      </c>
      <c r="C6759" s="1">
        <v>30</v>
      </c>
      <c r="D6759" t="str">
        <f>VLOOKUP(B6759,Заказы!A:C,3,0)</f>
        <v>2024-01-22 19:36:00</v>
      </c>
      <c r="E6759" t="str">
        <f>VLOOKUP(C6759,Меню!A:E,4,0)</f>
        <v>Салат</v>
      </c>
      <c r="F6759">
        <f>VLOOKUP(C6759,Меню!A:E,5,0)</f>
        <v>250</v>
      </c>
    </row>
    <row r="6760" spans="1:6" ht="15.75" hidden="1" customHeight="1" x14ac:dyDescent="0.35">
      <c r="A6760" s="1">
        <v>6759</v>
      </c>
      <c r="B6760" s="1">
        <v>1343</v>
      </c>
      <c r="C6760" s="1">
        <v>11</v>
      </c>
      <c r="D6760" t="str">
        <f>VLOOKUP(B6760,Заказы!A:C,3,0)</f>
        <v>2024-01-22 19:36:00</v>
      </c>
      <c r="E6760" t="str">
        <f>VLOOKUP(C6760,Меню!A:E,4,0)</f>
        <v>Первое</v>
      </c>
      <c r="F6760">
        <f>VLOOKUP(C6760,Меню!A:E,5,0)</f>
        <v>300</v>
      </c>
    </row>
    <row r="6761" spans="1:6" ht="15.75" hidden="1" customHeight="1" x14ac:dyDescent="0.35">
      <c r="A6761" s="1">
        <v>6760</v>
      </c>
      <c r="B6761" s="1">
        <v>1344</v>
      </c>
      <c r="C6761" s="1">
        <v>25</v>
      </c>
      <c r="D6761" t="str">
        <f>VLOOKUP(B6761,Заказы!A:C,3,0)</f>
        <v>2024-01-22 21:46:00</v>
      </c>
      <c r="E6761" t="str">
        <f>VLOOKUP(C6761,Меню!A:E,4,0)</f>
        <v>Салат</v>
      </c>
      <c r="F6761">
        <f>VLOOKUP(C6761,Меню!A:E,5,0)</f>
        <v>250</v>
      </c>
    </row>
    <row r="6762" spans="1:6" ht="15.75" customHeight="1" x14ac:dyDescent="0.35">
      <c r="A6762" s="1">
        <v>6761</v>
      </c>
      <c r="B6762" s="1">
        <v>1344</v>
      </c>
      <c r="C6762" s="1">
        <v>32</v>
      </c>
      <c r="D6762" t="str">
        <f>VLOOKUP(B6762,Заказы!A:C,3,0)</f>
        <v>2024-01-22 21:46:00</v>
      </c>
      <c r="E6762" t="str">
        <f>VLOOKUP(C6762,Меню!A:E,4,0)</f>
        <v>Десерт</v>
      </c>
      <c r="F6762">
        <f>VLOOKUP(C6762,Меню!A:E,5,0)</f>
        <v>150</v>
      </c>
    </row>
    <row r="6763" spans="1:6" ht="15.75" customHeight="1" x14ac:dyDescent="0.35">
      <c r="A6763" s="1">
        <v>6762</v>
      </c>
      <c r="B6763" s="1">
        <v>1344</v>
      </c>
      <c r="C6763" s="1">
        <v>35</v>
      </c>
      <c r="D6763" t="str">
        <f>VLOOKUP(B6763,Заказы!A:C,3,0)</f>
        <v>2024-01-22 21:46:00</v>
      </c>
      <c r="E6763" t="str">
        <f>VLOOKUP(C6763,Меню!A:E,4,0)</f>
        <v>Десерт</v>
      </c>
      <c r="F6763">
        <f>VLOOKUP(C6763,Меню!A:E,5,0)</f>
        <v>150</v>
      </c>
    </row>
    <row r="6764" spans="1:6" ht="15.75" hidden="1" customHeight="1" x14ac:dyDescent="0.35">
      <c r="A6764" s="1">
        <v>6763</v>
      </c>
      <c r="B6764" s="1">
        <v>1344</v>
      </c>
      <c r="C6764" s="1">
        <v>41</v>
      </c>
      <c r="D6764" t="str">
        <f>VLOOKUP(B6764,Заказы!A:C,3,0)</f>
        <v>2024-01-22 21:46:00</v>
      </c>
      <c r="E6764" t="str">
        <f>VLOOKUP(C6764,Меню!A:E,4,0)</f>
        <v>Суши</v>
      </c>
      <c r="F6764">
        <f>VLOOKUP(C6764,Меню!A:E,5,0)</f>
        <v>220</v>
      </c>
    </row>
    <row r="6765" spans="1:6" ht="15.75" hidden="1" customHeight="1" x14ac:dyDescent="0.35">
      <c r="A6765" s="1">
        <v>6764</v>
      </c>
      <c r="B6765" s="1">
        <v>1344</v>
      </c>
      <c r="C6765" s="1">
        <v>15</v>
      </c>
      <c r="D6765" t="str">
        <f>VLOOKUP(B6765,Заказы!A:C,3,0)</f>
        <v>2024-01-22 21:46:00</v>
      </c>
      <c r="E6765" t="str">
        <f>VLOOKUP(C6765,Меню!A:E,4,0)</f>
        <v>Первое</v>
      </c>
      <c r="F6765">
        <f>VLOOKUP(C6765,Меню!A:E,5,0)</f>
        <v>250</v>
      </c>
    </row>
    <row r="6766" spans="1:6" ht="15.75" hidden="1" customHeight="1" x14ac:dyDescent="0.35">
      <c r="A6766" s="1">
        <v>6765</v>
      </c>
      <c r="B6766" s="1">
        <v>1345</v>
      </c>
      <c r="C6766" s="1">
        <v>50</v>
      </c>
      <c r="D6766" t="str">
        <f>VLOOKUP(B6766,Заказы!A:C,3,0)</f>
        <v>2024-01-23 15:25:00</v>
      </c>
      <c r="E6766" t="str">
        <f>VLOOKUP(C6766,Меню!A:E,4,0)</f>
        <v>Суши</v>
      </c>
      <c r="F6766">
        <f>VLOOKUP(C6766,Меню!A:E,5,0)</f>
        <v>200</v>
      </c>
    </row>
    <row r="6767" spans="1:6" ht="15.75" hidden="1" customHeight="1" x14ac:dyDescent="0.35">
      <c r="A6767" s="1">
        <v>6766</v>
      </c>
      <c r="B6767" s="1">
        <v>1345</v>
      </c>
      <c r="C6767" s="1">
        <v>21</v>
      </c>
      <c r="D6767" t="str">
        <f>VLOOKUP(B6767,Заказы!A:C,3,0)</f>
        <v>2024-01-23 15:25:00</v>
      </c>
      <c r="E6767" t="str">
        <f>VLOOKUP(C6767,Меню!A:E,4,0)</f>
        <v>Салат</v>
      </c>
      <c r="F6767">
        <f>VLOOKUP(C6767,Меню!A:E,5,0)</f>
        <v>250</v>
      </c>
    </row>
    <row r="6768" spans="1:6" ht="15.75" hidden="1" customHeight="1" x14ac:dyDescent="0.35">
      <c r="A6768" s="1">
        <v>6767</v>
      </c>
      <c r="B6768" s="1">
        <v>1346</v>
      </c>
      <c r="C6768" s="1">
        <v>60</v>
      </c>
      <c r="D6768" t="str">
        <f>VLOOKUP(B6768,Заказы!A:C,3,0)</f>
        <v>2024-01-23 15:45:00</v>
      </c>
      <c r="E6768" t="str">
        <f>VLOOKUP(C6768,Меню!A:E,4,0)</f>
        <v>Суши</v>
      </c>
      <c r="F6768">
        <f>VLOOKUP(C6768,Меню!A:E,5,0)</f>
        <v>250</v>
      </c>
    </row>
    <row r="6769" spans="1:6" ht="15.75" hidden="1" customHeight="1" x14ac:dyDescent="0.35">
      <c r="A6769" s="1">
        <v>6768</v>
      </c>
      <c r="B6769" s="1">
        <v>1346</v>
      </c>
      <c r="C6769" s="1">
        <v>12</v>
      </c>
      <c r="D6769" t="str">
        <f>VLOOKUP(B6769,Заказы!A:C,3,0)</f>
        <v>2024-01-23 15:45:00</v>
      </c>
      <c r="E6769" t="str">
        <f>VLOOKUP(C6769,Меню!A:E,4,0)</f>
        <v>Первое</v>
      </c>
      <c r="F6769">
        <f>VLOOKUP(C6769,Меню!A:E,5,0)</f>
        <v>300</v>
      </c>
    </row>
    <row r="6770" spans="1:6" ht="15.75" hidden="1" customHeight="1" x14ac:dyDescent="0.35">
      <c r="A6770" s="1">
        <v>6769</v>
      </c>
      <c r="B6770" s="1">
        <v>1346</v>
      </c>
      <c r="C6770" s="1">
        <v>13</v>
      </c>
      <c r="D6770" t="str">
        <f>VLOOKUP(B6770,Заказы!A:C,3,0)</f>
        <v>2024-01-23 15:45:00</v>
      </c>
      <c r="E6770" t="str">
        <f>VLOOKUP(C6770,Меню!A:E,4,0)</f>
        <v>Первое</v>
      </c>
      <c r="F6770">
        <f>VLOOKUP(C6770,Меню!A:E,5,0)</f>
        <v>280</v>
      </c>
    </row>
    <row r="6771" spans="1:6" ht="15.75" hidden="1" customHeight="1" x14ac:dyDescent="0.35">
      <c r="A6771" s="1">
        <v>6770</v>
      </c>
      <c r="B6771" s="1">
        <v>1346</v>
      </c>
      <c r="C6771" s="1">
        <v>20</v>
      </c>
      <c r="D6771" t="str">
        <f>VLOOKUP(B6771,Заказы!A:C,3,0)</f>
        <v>2024-01-23 15:45:00</v>
      </c>
      <c r="E6771" t="str">
        <f>VLOOKUP(C6771,Меню!A:E,4,0)</f>
        <v>Первое</v>
      </c>
      <c r="F6771">
        <f>VLOOKUP(C6771,Меню!A:E,5,0)</f>
        <v>250</v>
      </c>
    </row>
    <row r="6772" spans="1:6" ht="15.75" hidden="1" customHeight="1" x14ac:dyDescent="0.35">
      <c r="A6772" s="1">
        <v>6771</v>
      </c>
      <c r="B6772" s="1">
        <v>1346</v>
      </c>
      <c r="C6772" s="1">
        <v>52</v>
      </c>
      <c r="D6772" t="str">
        <f>VLOOKUP(B6772,Заказы!A:C,3,0)</f>
        <v>2024-01-23 15:45:00</v>
      </c>
      <c r="E6772" t="str">
        <f>VLOOKUP(C6772,Меню!A:E,4,0)</f>
        <v>Суши</v>
      </c>
      <c r="F6772">
        <f>VLOOKUP(C6772,Меню!A:E,5,0)</f>
        <v>100</v>
      </c>
    </row>
    <row r="6773" spans="1:6" ht="15.75" customHeight="1" x14ac:dyDescent="0.35">
      <c r="A6773" s="1">
        <v>6772</v>
      </c>
      <c r="B6773" s="1">
        <v>1346</v>
      </c>
      <c r="C6773" s="1">
        <v>35</v>
      </c>
      <c r="D6773" t="str">
        <f>VLOOKUP(B6773,Заказы!A:C,3,0)</f>
        <v>2024-01-23 15:45:00</v>
      </c>
      <c r="E6773" t="str">
        <f>VLOOKUP(C6773,Меню!A:E,4,0)</f>
        <v>Десерт</v>
      </c>
      <c r="F6773">
        <f>VLOOKUP(C6773,Меню!A:E,5,0)</f>
        <v>150</v>
      </c>
    </row>
    <row r="6774" spans="1:6" ht="15.75" hidden="1" customHeight="1" x14ac:dyDescent="0.35">
      <c r="A6774" s="1">
        <v>6773</v>
      </c>
      <c r="B6774" s="1">
        <v>1346</v>
      </c>
      <c r="C6774" s="1">
        <v>55</v>
      </c>
      <c r="D6774" t="str">
        <f>VLOOKUP(B6774,Заказы!A:C,3,0)</f>
        <v>2024-01-23 15:45:00</v>
      </c>
      <c r="E6774" t="str">
        <f>VLOOKUP(C6774,Меню!A:E,4,0)</f>
        <v>Суши</v>
      </c>
      <c r="F6774">
        <f>VLOOKUP(C6774,Меню!A:E,5,0)</f>
        <v>100</v>
      </c>
    </row>
    <row r="6775" spans="1:6" ht="15.75" hidden="1" customHeight="1" x14ac:dyDescent="0.35">
      <c r="A6775" s="1">
        <v>6774</v>
      </c>
      <c r="B6775" s="1">
        <v>1347</v>
      </c>
      <c r="C6775" s="1">
        <v>2</v>
      </c>
      <c r="D6775" t="str">
        <f>VLOOKUP(B6775,Заказы!A:C,3,0)</f>
        <v>2024-01-23 16:04:00</v>
      </c>
      <c r="E6775" t="str">
        <f>VLOOKUP(C6775,Меню!A:E,4,0)</f>
        <v>Завтрак</v>
      </c>
      <c r="F6775">
        <f>VLOOKUP(C6775,Меню!A:E,5,0)</f>
        <v>250</v>
      </c>
    </row>
    <row r="6776" spans="1:6" ht="15.75" hidden="1" customHeight="1" x14ac:dyDescent="0.35">
      <c r="A6776" s="1">
        <v>6775</v>
      </c>
      <c r="B6776" s="1">
        <v>1347</v>
      </c>
      <c r="C6776" s="1">
        <v>51</v>
      </c>
      <c r="D6776" t="str">
        <f>VLOOKUP(B6776,Заказы!A:C,3,0)</f>
        <v>2024-01-23 16:04:00</v>
      </c>
      <c r="E6776" t="str">
        <f>VLOOKUP(C6776,Меню!A:E,4,0)</f>
        <v>Суши</v>
      </c>
      <c r="F6776">
        <f>VLOOKUP(C6776,Меню!A:E,5,0)</f>
        <v>100</v>
      </c>
    </row>
    <row r="6777" spans="1:6" ht="15.75" hidden="1" customHeight="1" x14ac:dyDescent="0.35">
      <c r="A6777" s="1">
        <v>6776</v>
      </c>
      <c r="B6777" s="1">
        <v>1347</v>
      </c>
      <c r="C6777" s="1">
        <v>58</v>
      </c>
      <c r="D6777" t="str">
        <f>VLOOKUP(B6777,Заказы!A:C,3,0)</f>
        <v>2024-01-23 16:04:00</v>
      </c>
      <c r="E6777" t="str">
        <f>VLOOKUP(C6777,Меню!A:E,4,0)</f>
        <v>Суши</v>
      </c>
      <c r="F6777">
        <f>VLOOKUP(C6777,Меню!A:E,5,0)</f>
        <v>200</v>
      </c>
    </row>
    <row r="6778" spans="1:6" ht="15.75" hidden="1" customHeight="1" x14ac:dyDescent="0.35">
      <c r="A6778" s="1">
        <v>6777</v>
      </c>
      <c r="B6778" s="1">
        <v>1348</v>
      </c>
      <c r="C6778" s="1">
        <v>18</v>
      </c>
      <c r="D6778" t="str">
        <f>VLOOKUP(B6778,Заказы!A:C,3,0)</f>
        <v>2024-01-23 17:58:00</v>
      </c>
      <c r="E6778" t="str">
        <f>VLOOKUP(C6778,Меню!A:E,4,0)</f>
        <v>Первое</v>
      </c>
      <c r="F6778">
        <f>VLOOKUP(C6778,Меню!A:E,5,0)</f>
        <v>300</v>
      </c>
    </row>
    <row r="6779" spans="1:6" ht="15.75" hidden="1" customHeight="1" x14ac:dyDescent="0.35">
      <c r="A6779" s="1">
        <v>6778</v>
      </c>
      <c r="B6779" s="1">
        <v>1348</v>
      </c>
      <c r="C6779" s="1">
        <v>7</v>
      </c>
      <c r="D6779" t="str">
        <f>VLOOKUP(B6779,Заказы!A:C,3,0)</f>
        <v>2024-01-23 17:58:00</v>
      </c>
      <c r="E6779" t="str">
        <f>VLOOKUP(C6779,Меню!A:E,4,0)</f>
        <v>Завтрак</v>
      </c>
      <c r="F6779">
        <f>VLOOKUP(C6779,Меню!A:E,5,0)</f>
        <v>200</v>
      </c>
    </row>
    <row r="6780" spans="1:6" ht="15.75" hidden="1" customHeight="1" x14ac:dyDescent="0.35">
      <c r="A6780" s="1">
        <v>6779</v>
      </c>
      <c r="B6780" s="1">
        <v>1348</v>
      </c>
      <c r="C6780" s="1">
        <v>13</v>
      </c>
      <c r="D6780" t="str">
        <f>VLOOKUP(B6780,Заказы!A:C,3,0)</f>
        <v>2024-01-23 17:58:00</v>
      </c>
      <c r="E6780" t="str">
        <f>VLOOKUP(C6780,Меню!A:E,4,0)</f>
        <v>Первое</v>
      </c>
      <c r="F6780">
        <f>VLOOKUP(C6780,Меню!A:E,5,0)</f>
        <v>280</v>
      </c>
    </row>
    <row r="6781" spans="1:6" ht="15.75" hidden="1" customHeight="1" x14ac:dyDescent="0.35">
      <c r="A6781" s="1">
        <v>6780</v>
      </c>
      <c r="B6781" s="1">
        <v>1348</v>
      </c>
      <c r="C6781" s="1">
        <v>15</v>
      </c>
      <c r="D6781" t="str">
        <f>VLOOKUP(B6781,Заказы!A:C,3,0)</f>
        <v>2024-01-23 17:58:00</v>
      </c>
      <c r="E6781" t="str">
        <f>VLOOKUP(C6781,Меню!A:E,4,0)</f>
        <v>Первое</v>
      </c>
      <c r="F6781">
        <f>VLOOKUP(C6781,Меню!A:E,5,0)</f>
        <v>250</v>
      </c>
    </row>
    <row r="6782" spans="1:6" ht="15.75" hidden="1" customHeight="1" x14ac:dyDescent="0.35">
      <c r="A6782" s="1">
        <v>6781</v>
      </c>
      <c r="B6782" s="1">
        <v>1348</v>
      </c>
      <c r="C6782" s="1">
        <v>24</v>
      </c>
      <c r="D6782" t="str">
        <f>VLOOKUP(B6782,Заказы!A:C,3,0)</f>
        <v>2024-01-23 17:58:00</v>
      </c>
      <c r="E6782" t="str">
        <f>VLOOKUP(C6782,Меню!A:E,4,0)</f>
        <v>Салат</v>
      </c>
      <c r="F6782">
        <f>VLOOKUP(C6782,Меню!A:E,5,0)</f>
        <v>250</v>
      </c>
    </row>
    <row r="6783" spans="1:6" ht="15.75" hidden="1" customHeight="1" x14ac:dyDescent="0.35">
      <c r="A6783" s="1">
        <v>6782</v>
      </c>
      <c r="B6783" s="1">
        <v>1348</v>
      </c>
      <c r="C6783" s="1">
        <v>4</v>
      </c>
      <c r="D6783" t="str">
        <f>VLOOKUP(B6783,Заказы!A:C,3,0)</f>
        <v>2024-01-23 17:58:00</v>
      </c>
      <c r="E6783" t="str">
        <f>VLOOKUP(C6783,Меню!A:E,4,0)</f>
        <v>Завтрак</v>
      </c>
      <c r="F6783">
        <f>VLOOKUP(C6783,Меню!A:E,5,0)</f>
        <v>180</v>
      </c>
    </row>
    <row r="6784" spans="1:6" ht="15.75" customHeight="1" x14ac:dyDescent="0.35">
      <c r="A6784" s="1">
        <v>6783</v>
      </c>
      <c r="B6784" s="1">
        <v>1349</v>
      </c>
      <c r="C6784" s="1">
        <v>31</v>
      </c>
      <c r="D6784" t="str">
        <f>VLOOKUP(B6784,Заказы!A:C,3,0)</f>
        <v>2024-01-24 15:18:00</v>
      </c>
      <c r="E6784" t="str">
        <f>VLOOKUP(C6784,Меню!A:E,4,0)</f>
        <v>Десерт</v>
      </c>
      <c r="F6784">
        <f>VLOOKUP(C6784,Меню!A:E,5,0)</f>
        <v>150</v>
      </c>
    </row>
    <row r="6785" spans="1:6" ht="15.75" hidden="1" customHeight="1" x14ac:dyDescent="0.35">
      <c r="A6785" s="1">
        <v>6784</v>
      </c>
      <c r="B6785" s="1">
        <v>1349</v>
      </c>
      <c r="C6785" s="1">
        <v>56</v>
      </c>
      <c r="D6785" t="str">
        <f>VLOOKUP(B6785,Заказы!A:C,3,0)</f>
        <v>2024-01-24 15:18:00</v>
      </c>
      <c r="E6785" t="str">
        <f>VLOOKUP(C6785,Меню!A:E,4,0)</f>
        <v>Суши</v>
      </c>
      <c r="F6785">
        <f>VLOOKUP(C6785,Меню!A:E,5,0)</f>
        <v>200</v>
      </c>
    </row>
    <row r="6786" spans="1:6" ht="15.75" customHeight="1" x14ac:dyDescent="0.35">
      <c r="A6786" s="1">
        <v>6785</v>
      </c>
      <c r="B6786" s="1">
        <v>1349</v>
      </c>
      <c r="C6786" s="1">
        <v>38</v>
      </c>
      <c r="D6786" t="str">
        <f>VLOOKUP(B6786,Заказы!A:C,3,0)</f>
        <v>2024-01-24 15:18:00</v>
      </c>
      <c r="E6786" t="str">
        <f>VLOOKUP(C6786,Меню!A:E,4,0)</f>
        <v>Десерт</v>
      </c>
      <c r="F6786">
        <f>VLOOKUP(C6786,Меню!A:E,5,0)</f>
        <v>150</v>
      </c>
    </row>
    <row r="6787" spans="1:6" ht="15.75" hidden="1" customHeight="1" x14ac:dyDescent="0.35">
      <c r="A6787" s="1">
        <v>6786</v>
      </c>
      <c r="B6787" s="1">
        <v>1349</v>
      </c>
      <c r="C6787" s="1">
        <v>15</v>
      </c>
      <c r="D6787" t="str">
        <f>VLOOKUP(B6787,Заказы!A:C,3,0)</f>
        <v>2024-01-24 15:18:00</v>
      </c>
      <c r="E6787" t="str">
        <f>VLOOKUP(C6787,Меню!A:E,4,0)</f>
        <v>Первое</v>
      </c>
      <c r="F6787">
        <f>VLOOKUP(C6787,Меню!A:E,5,0)</f>
        <v>250</v>
      </c>
    </row>
    <row r="6788" spans="1:6" ht="15.75" hidden="1" customHeight="1" x14ac:dyDescent="0.35">
      <c r="A6788" s="1">
        <v>6787</v>
      </c>
      <c r="B6788" s="1">
        <v>1349</v>
      </c>
      <c r="C6788" s="1">
        <v>29</v>
      </c>
      <c r="D6788" t="str">
        <f>VLOOKUP(B6788,Заказы!A:C,3,0)</f>
        <v>2024-01-24 15:18:00</v>
      </c>
      <c r="E6788" t="str">
        <f>VLOOKUP(C6788,Меню!A:E,4,0)</f>
        <v>Салат</v>
      </c>
      <c r="F6788">
        <f>VLOOKUP(C6788,Меню!A:E,5,0)</f>
        <v>250</v>
      </c>
    </row>
    <row r="6789" spans="1:6" ht="15.75" customHeight="1" x14ac:dyDescent="0.35">
      <c r="A6789" s="1">
        <v>6788</v>
      </c>
      <c r="B6789" s="1">
        <v>1349</v>
      </c>
      <c r="C6789" s="1">
        <v>32</v>
      </c>
      <c r="D6789" t="str">
        <f>VLOOKUP(B6789,Заказы!A:C,3,0)</f>
        <v>2024-01-24 15:18:00</v>
      </c>
      <c r="E6789" t="str">
        <f>VLOOKUP(C6789,Меню!A:E,4,0)</f>
        <v>Десерт</v>
      </c>
      <c r="F6789">
        <f>VLOOKUP(C6789,Меню!A:E,5,0)</f>
        <v>150</v>
      </c>
    </row>
    <row r="6790" spans="1:6" ht="15.75" hidden="1" customHeight="1" x14ac:dyDescent="0.35">
      <c r="A6790" s="1">
        <v>6789</v>
      </c>
      <c r="B6790" s="1">
        <v>1350</v>
      </c>
      <c r="C6790" s="1">
        <v>1</v>
      </c>
      <c r="D6790" t="str">
        <f>VLOOKUP(B6790,Заказы!A:C,3,0)</f>
        <v>2024-01-24 17:11:00</v>
      </c>
      <c r="E6790" t="str">
        <f>VLOOKUP(C6790,Меню!A:E,4,0)</f>
        <v>Завтрак</v>
      </c>
      <c r="F6790">
        <f>VLOOKUP(C6790,Меню!A:E,5,0)</f>
        <v>200</v>
      </c>
    </row>
    <row r="6791" spans="1:6" ht="15.75" hidden="1" customHeight="1" x14ac:dyDescent="0.35">
      <c r="A6791" s="1">
        <v>6790</v>
      </c>
      <c r="B6791" s="1">
        <v>1350</v>
      </c>
      <c r="C6791" s="1">
        <v>29</v>
      </c>
      <c r="D6791" t="str">
        <f>VLOOKUP(B6791,Заказы!A:C,3,0)</f>
        <v>2024-01-24 17:11:00</v>
      </c>
      <c r="E6791" t="str">
        <f>VLOOKUP(C6791,Меню!A:E,4,0)</f>
        <v>Салат</v>
      </c>
      <c r="F6791">
        <f>VLOOKUP(C6791,Меню!A:E,5,0)</f>
        <v>250</v>
      </c>
    </row>
    <row r="6792" spans="1:6" ht="15.75" hidden="1" customHeight="1" x14ac:dyDescent="0.35">
      <c r="A6792" s="1">
        <v>6791</v>
      </c>
      <c r="B6792" s="1">
        <v>1350</v>
      </c>
      <c r="C6792" s="1">
        <v>42</v>
      </c>
      <c r="D6792" t="str">
        <f>VLOOKUP(B6792,Заказы!A:C,3,0)</f>
        <v>2024-01-24 17:11:00</v>
      </c>
      <c r="E6792" t="str">
        <f>VLOOKUP(C6792,Меню!A:E,4,0)</f>
        <v>Суши</v>
      </c>
      <c r="F6792">
        <f>VLOOKUP(C6792,Меню!A:E,5,0)</f>
        <v>250</v>
      </c>
    </row>
    <row r="6793" spans="1:6" ht="15.75" hidden="1" customHeight="1" x14ac:dyDescent="0.35">
      <c r="A6793" s="1">
        <v>6792</v>
      </c>
      <c r="B6793" s="1">
        <v>1350</v>
      </c>
      <c r="C6793" s="1">
        <v>19</v>
      </c>
      <c r="D6793" t="str">
        <f>VLOOKUP(B6793,Заказы!A:C,3,0)</f>
        <v>2024-01-24 17:11:00</v>
      </c>
      <c r="E6793" t="str">
        <f>VLOOKUP(C6793,Меню!A:E,4,0)</f>
        <v>Первое</v>
      </c>
      <c r="F6793">
        <f>VLOOKUP(C6793,Меню!A:E,5,0)</f>
        <v>300</v>
      </c>
    </row>
    <row r="6794" spans="1:6" ht="15.75" hidden="1" customHeight="1" x14ac:dyDescent="0.35">
      <c r="A6794" s="1">
        <v>6793</v>
      </c>
      <c r="B6794" s="1">
        <v>1350</v>
      </c>
      <c r="C6794" s="1">
        <v>52</v>
      </c>
      <c r="D6794" t="str">
        <f>VLOOKUP(B6794,Заказы!A:C,3,0)</f>
        <v>2024-01-24 17:11:00</v>
      </c>
      <c r="E6794" t="str">
        <f>VLOOKUP(C6794,Меню!A:E,4,0)</f>
        <v>Суши</v>
      </c>
      <c r="F6794">
        <f>VLOOKUP(C6794,Меню!A:E,5,0)</f>
        <v>100</v>
      </c>
    </row>
    <row r="6795" spans="1:6" ht="15.75" hidden="1" customHeight="1" x14ac:dyDescent="0.35">
      <c r="A6795" s="1">
        <v>6794</v>
      </c>
      <c r="B6795" s="1">
        <v>1351</v>
      </c>
      <c r="C6795" s="1">
        <v>60</v>
      </c>
      <c r="D6795" t="str">
        <f>VLOOKUP(B6795,Заказы!A:C,3,0)</f>
        <v>2024-01-24 19:50:00</v>
      </c>
      <c r="E6795" t="str">
        <f>VLOOKUP(C6795,Меню!A:E,4,0)</f>
        <v>Суши</v>
      </c>
      <c r="F6795">
        <f>VLOOKUP(C6795,Меню!A:E,5,0)</f>
        <v>250</v>
      </c>
    </row>
    <row r="6796" spans="1:6" ht="15.75" customHeight="1" x14ac:dyDescent="0.35">
      <c r="A6796" s="1">
        <v>6795</v>
      </c>
      <c r="B6796" s="1">
        <v>1351</v>
      </c>
      <c r="C6796" s="1">
        <v>31</v>
      </c>
      <c r="D6796" t="str">
        <f>VLOOKUP(B6796,Заказы!A:C,3,0)</f>
        <v>2024-01-24 19:50:00</v>
      </c>
      <c r="E6796" t="str">
        <f>VLOOKUP(C6796,Меню!A:E,4,0)</f>
        <v>Десерт</v>
      </c>
      <c r="F6796">
        <f>VLOOKUP(C6796,Меню!A:E,5,0)</f>
        <v>150</v>
      </c>
    </row>
    <row r="6797" spans="1:6" ht="15.75" hidden="1" customHeight="1" x14ac:dyDescent="0.35">
      <c r="A6797" s="1">
        <v>6796</v>
      </c>
      <c r="B6797" s="1">
        <v>1351</v>
      </c>
      <c r="C6797" s="1">
        <v>3</v>
      </c>
      <c r="D6797" t="str">
        <f>VLOOKUP(B6797,Заказы!A:C,3,0)</f>
        <v>2024-01-24 19:50:00</v>
      </c>
      <c r="E6797" t="str">
        <f>VLOOKUP(C6797,Меню!A:E,4,0)</f>
        <v>Завтрак</v>
      </c>
      <c r="F6797">
        <f>VLOOKUP(C6797,Меню!A:E,5,0)</f>
        <v>150</v>
      </c>
    </row>
    <row r="6798" spans="1:6" ht="15.75" customHeight="1" x14ac:dyDescent="0.35">
      <c r="A6798" s="1">
        <v>6797</v>
      </c>
      <c r="B6798" s="1">
        <v>1351</v>
      </c>
      <c r="C6798" s="1">
        <v>38</v>
      </c>
      <c r="D6798" t="str">
        <f>VLOOKUP(B6798,Заказы!A:C,3,0)</f>
        <v>2024-01-24 19:50:00</v>
      </c>
      <c r="E6798" t="str">
        <f>VLOOKUP(C6798,Меню!A:E,4,0)</f>
        <v>Десерт</v>
      </c>
      <c r="F6798">
        <f>VLOOKUP(C6798,Меню!A:E,5,0)</f>
        <v>150</v>
      </c>
    </row>
    <row r="6799" spans="1:6" ht="15.75" hidden="1" customHeight="1" x14ac:dyDescent="0.35">
      <c r="A6799" s="1">
        <v>6798</v>
      </c>
      <c r="B6799" s="1">
        <v>1352</v>
      </c>
      <c r="C6799" s="1">
        <v>23</v>
      </c>
      <c r="D6799" t="str">
        <f>VLOOKUP(B6799,Заказы!A:C,3,0)</f>
        <v>2024-01-24 21:22:00</v>
      </c>
      <c r="E6799" t="str">
        <f>VLOOKUP(C6799,Меню!A:E,4,0)</f>
        <v>Салат</v>
      </c>
      <c r="F6799">
        <f>VLOOKUP(C6799,Меню!A:E,5,0)</f>
        <v>250</v>
      </c>
    </row>
    <row r="6800" spans="1:6" ht="15.75" hidden="1" customHeight="1" x14ac:dyDescent="0.35">
      <c r="A6800" s="1">
        <v>6799</v>
      </c>
      <c r="B6800" s="1">
        <v>1352</v>
      </c>
      <c r="C6800" s="1">
        <v>13</v>
      </c>
      <c r="D6800" t="str">
        <f>VLOOKUP(B6800,Заказы!A:C,3,0)</f>
        <v>2024-01-24 21:22:00</v>
      </c>
      <c r="E6800" t="str">
        <f>VLOOKUP(C6800,Меню!A:E,4,0)</f>
        <v>Первое</v>
      </c>
      <c r="F6800">
        <f>VLOOKUP(C6800,Меню!A:E,5,0)</f>
        <v>280</v>
      </c>
    </row>
    <row r="6801" spans="1:6" ht="15.75" hidden="1" customHeight="1" x14ac:dyDescent="0.35">
      <c r="A6801" s="1">
        <v>6800</v>
      </c>
      <c r="B6801" s="1">
        <v>1352</v>
      </c>
      <c r="C6801" s="1">
        <v>10</v>
      </c>
      <c r="D6801" t="str">
        <f>VLOOKUP(B6801,Заказы!A:C,3,0)</f>
        <v>2024-01-24 21:22:00</v>
      </c>
      <c r="E6801" t="str">
        <f>VLOOKUP(C6801,Меню!A:E,4,0)</f>
        <v>Завтрак</v>
      </c>
      <c r="F6801">
        <f>VLOOKUP(C6801,Меню!A:E,5,0)</f>
        <v>200</v>
      </c>
    </row>
    <row r="6802" spans="1:6" ht="15.75" customHeight="1" x14ac:dyDescent="0.35">
      <c r="A6802" s="1">
        <v>6801</v>
      </c>
      <c r="B6802" s="1">
        <v>1352</v>
      </c>
      <c r="C6802" s="1">
        <v>38</v>
      </c>
      <c r="D6802" t="str">
        <f>VLOOKUP(B6802,Заказы!A:C,3,0)</f>
        <v>2024-01-24 21:22:00</v>
      </c>
      <c r="E6802" t="str">
        <f>VLOOKUP(C6802,Меню!A:E,4,0)</f>
        <v>Десерт</v>
      </c>
      <c r="F6802">
        <f>VLOOKUP(C6802,Меню!A:E,5,0)</f>
        <v>150</v>
      </c>
    </row>
    <row r="6803" spans="1:6" ht="15.75" hidden="1" customHeight="1" x14ac:dyDescent="0.35">
      <c r="A6803" s="1">
        <v>6802</v>
      </c>
      <c r="B6803" s="1">
        <v>1352</v>
      </c>
      <c r="C6803" s="1">
        <v>26</v>
      </c>
      <c r="D6803" t="str">
        <f>VLOOKUP(B6803,Заказы!A:C,3,0)</f>
        <v>2024-01-24 21:22:00</v>
      </c>
      <c r="E6803" t="str">
        <f>VLOOKUP(C6803,Меню!A:E,4,0)</f>
        <v>Салат</v>
      </c>
      <c r="F6803">
        <f>VLOOKUP(C6803,Меню!A:E,5,0)</f>
        <v>250</v>
      </c>
    </row>
    <row r="6804" spans="1:6" ht="15.75" hidden="1" customHeight="1" x14ac:dyDescent="0.35">
      <c r="A6804" s="1">
        <v>6803</v>
      </c>
      <c r="B6804" s="1">
        <v>1352</v>
      </c>
      <c r="C6804" s="1">
        <v>57</v>
      </c>
      <c r="D6804" t="str">
        <f>VLOOKUP(B6804,Заказы!A:C,3,0)</f>
        <v>2024-01-24 21:22:00</v>
      </c>
      <c r="E6804" t="str">
        <f>VLOOKUP(C6804,Меню!A:E,4,0)</f>
        <v>Суши</v>
      </c>
      <c r="F6804">
        <f>VLOOKUP(C6804,Меню!A:E,5,0)</f>
        <v>200</v>
      </c>
    </row>
    <row r="6805" spans="1:6" ht="15.75" hidden="1" customHeight="1" x14ac:dyDescent="0.35">
      <c r="A6805" s="1">
        <v>6804</v>
      </c>
      <c r="B6805" s="1">
        <v>1352</v>
      </c>
      <c r="C6805" s="1">
        <v>20</v>
      </c>
      <c r="D6805" t="str">
        <f>VLOOKUP(B6805,Заказы!A:C,3,0)</f>
        <v>2024-01-24 21:22:00</v>
      </c>
      <c r="E6805" t="str">
        <f>VLOOKUP(C6805,Меню!A:E,4,0)</f>
        <v>Первое</v>
      </c>
      <c r="F6805">
        <f>VLOOKUP(C6805,Меню!A:E,5,0)</f>
        <v>250</v>
      </c>
    </row>
    <row r="6806" spans="1:6" ht="15.75" hidden="1" customHeight="1" x14ac:dyDescent="0.35">
      <c r="A6806" s="1">
        <v>6805</v>
      </c>
      <c r="B6806" s="1">
        <v>1353</v>
      </c>
      <c r="C6806" s="1">
        <v>24</v>
      </c>
      <c r="D6806" t="str">
        <f>VLOOKUP(B6806,Заказы!A:C,3,0)</f>
        <v>2024-01-25 16:09:00</v>
      </c>
      <c r="E6806" t="str">
        <f>VLOOKUP(C6806,Меню!A:E,4,0)</f>
        <v>Салат</v>
      </c>
      <c r="F6806">
        <f>VLOOKUP(C6806,Меню!A:E,5,0)</f>
        <v>250</v>
      </c>
    </row>
    <row r="6807" spans="1:6" ht="15.75" hidden="1" customHeight="1" x14ac:dyDescent="0.35">
      <c r="A6807" s="1">
        <v>6806</v>
      </c>
      <c r="B6807" s="1">
        <v>1353</v>
      </c>
      <c r="C6807" s="1">
        <v>50</v>
      </c>
      <c r="D6807" t="str">
        <f>VLOOKUP(B6807,Заказы!A:C,3,0)</f>
        <v>2024-01-25 16:09:00</v>
      </c>
      <c r="E6807" t="str">
        <f>VLOOKUP(C6807,Меню!A:E,4,0)</f>
        <v>Суши</v>
      </c>
      <c r="F6807">
        <f>VLOOKUP(C6807,Меню!A:E,5,0)</f>
        <v>200</v>
      </c>
    </row>
    <row r="6808" spans="1:6" ht="15.75" hidden="1" customHeight="1" x14ac:dyDescent="0.35">
      <c r="A6808" s="1">
        <v>6807</v>
      </c>
      <c r="B6808" s="1">
        <v>1353</v>
      </c>
      <c r="C6808" s="1">
        <v>11</v>
      </c>
      <c r="D6808" t="str">
        <f>VLOOKUP(B6808,Заказы!A:C,3,0)</f>
        <v>2024-01-25 16:09:00</v>
      </c>
      <c r="E6808" t="str">
        <f>VLOOKUP(C6808,Меню!A:E,4,0)</f>
        <v>Первое</v>
      </c>
      <c r="F6808">
        <f>VLOOKUP(C6808,Меню!A:E,5,0)</f>
        <v>300</v>
      </c>
    </row>
    <row r="6809" spans="1:6" ht="15.75" hidden="1" customHeight="1" x14ac:dyDescent="0.35">
      <c r="A6809" s="1">
        <v>6808</v>
      </c>
      <c r="B6809" s="1">
        <v>1353</v>
      </c>
      <c r="C6809" s="1">
        <v>5</v>
      </c>
      <c r="D6809" t="str">
        <f>VLOOKUP(B6809,Заказы!A:C,3,0)</f>
        <v>2024-01-25 16:09:00</v>
      </c>
      <c r="E6809" t="str">
        <f>VLOOKUP(C6809,Меню!A:E,4,0)</f>
        <v>Завтрак</v>
      </c>
      <c r="F6809">
        <f>VLOOKUP(C6809,Меню!A:E,5,0)</f>
        <v>220</v>
      </c>
    </row>
    <row r="6810" spans="1:6" ht="15.75" hidden="1" customHeight="1" x14ac:dyDescent="0.35">
      <c r="A6810" s="1">
        <v>6809</v>
      </c>
      <c r="B6810" s="1">
        <v>1354</v>
      </c>
      <c r="C6810" s="1">
        <v>56</v>
      </c>
      <c r="D6810" t="str">
        <f>VLOOKUP(B6810,Заказы!A:C,3,0)</f>
        <v>2024-01-25 18:46:00</v>
      </c>
      <c r="E6810" t="str">
        <f>VLOOKUP(C6810,Меню!A:E,4,0)</f>
        <v>Суши</v>
      </c>
      <c r="F6810">
        <f>VLOOKUP(C6810,Меню!A:E,5,0)</f>
        <v>200</v>
      </c>
    </row>
    <row r="6811" spans="1:6" ht="15.75" hidden="1" customHeight="1" x14ac:dyDescent="0.35">
      <c r="A6811" s="1">
        <v>6810</v>
      </c>
      <c r="B6811" s="1">
        <v>1354</v>
      </c>
      <c r="C6811" s="1">
        <v>18</v>
      </c>
      <c r="D6811" t="str">
        <f>VLOOKUP(B6811,Заказы!A:C,3,0)</f>
        <v>2024-01-25 18:46:00</v>
      </c>
      <c r="E6811" t="str">
        <f>VLOOKUP(C6811,Меню!A:E,4,0)</f>
        <v>Первое</v>
      </c>
      <c r="F6811">
        <f>VLOOKUP(C6811,Меню!A:E,5,0)</f>
        <v>300</v>
      </c>
    </row>
    <row r="6812" spans="1:6" ht="15.75" hidden="1" customHeight="1" x14ac:dyDescent="0.35">
      <c r="A6812" s="1">
        <v>6811</v>
      </c>
      <c r="B6812" s="1">
        <v>1354</v>
      </c>
      <c r="C6812" s="1">
        <v>46</v>
      </c>
      <c r="D6812" t="str">
        <f>VLOOKUP(B6812,Заказы!A:C,3,0)</f>
        <v>2024-01-25 18:46:00</v>
      </c>
      <c r="E6812" t="str">
        <f>VLOOKUP(C6812,Меню!A:E,4,0)</f>
        <v>Суши</v>
      </c>
      <c r="F6812">
        <f>VLOOKUP(C6812,Меню!A:E,5,0)</f>
        <v>200</v>
      </c>
    </row>
    <row r="6813" spans="1:6" ht="15.75" hidden="1" customHeight="1" x14ac:dyDescent="0.35">
      <c r="A6813" s="1">
        <v>6812</v>
      </c>
      <c r="B6813" s="1">
        <v>1354</v>
      </c>
      <c r="C6813" s="1">
        <v>50</v>
      </c>
      <c r="D6813" t="str">
        <f>VLOOKUP(B6813,Заказы!A:C,3,0)</f>
        <v>2024-01-25 18:46:00</v>
      </c>
      <c r="E6813" t="str">
        <f>VLOOKUP(C6813,Меню!A:E,4,0)</f>
        <v>Суши</v>
      </c>
      <c r="F6813">
        <f>VLOOKUP(C6813,Меню!A:E,5,0)</f>
        <v>200</v>
      </c>
    </row>
    <row r="6814" spans="1:6" ht="15.75" hidden="1" customHeight="1" x14ac:dyDescent="0.35">
      <c r="A6814" s="1">
        <v>6813</v>
      </c>
      <c r="B6814" s="1">
        <v>1355</v>
      </c>
      <c r="C6814" s="1">
        <v>11</v>
      </c>
      <c r="D6814" t="str">
        <f>VLOOKUP(B6814,Заказы!A:C,3,0)</f>
        <v>2024-01-25 19:52:00</v>
      </c>
      <c r="E6814" t="str">
        <f>VLOOKUP(C6814,Меню!A:E,4,0)</f>
        <v>Первое</v>
      </c>
      <c r="F6814">
        <f>VLOOKUP(C6814,Меню!A:E,5,0)</f>
        <v>300</v>
      </c>
    </row>
    <row r="6815" spans="1:6" ht="15.75" hidden="1" customHeight="1" x14ac:dyDescent="0.35">
      <c r="A6815" s="1">
        <v>6814</v>
      </c>
      <c r="B6815" s="1">
        <v>1356</v>
      </c>
      <c r="C6815" s="1">
        <v>24</v>
      </c>
      <c r="D6815" t="str">
        <f>VLOOKUP(B6815,Заказы!A:C,3,0)</f>
        <v>2024-01-26 17:30:00</v>
      </c>
      <c r="E6815" t="str">
        <f>VLOOKUP(C6815,Меню!A:E,4,0)</f>
        <v>Салат</v>
      </c>
      <c r="F6815">
        <f>VLOOKUP(C6815,Меню!A:E,5,0)</f>
        <v>250</v>
      </c>
    </row>
    <row r="6816" spans="1:6" ht="15.75" hidden="1" customHeight="1" x14ac:dyDescent="0.35">
      <c r="A6816" s="1">
        <v>6815</v>
      </c>
      <c r="B6816" s="1">
        <v>1356</v>
      </c>
      <c r="C6816" s="1">
        <v>3</v>
      </c>
      <c r="D6816" t="str">
        <f>VLOOKUP(B6816,Заказы!A:C,3,0)</f>
        <v>2024-01-26 17:30:00</v>
      </c>
      <c r="E6816" t="str">
        <f>VLOOKUP(C6816,Меню!A:E,4,0)</f>
        <v>Завтрак</v>
      </c>
      <c r="F6816">
        <f>VLOOKUP(C6816,Меню!A:E,5,0)</f>
        <v>150</v>
      </c>
    </row>
    <row r="6817" spans="1:6" ht="15.75" hidden="1" customHeight="1" x14ac:dyDescent="0.35">
      <c r="A6817" s="1">
        <v>6816</v>
      </c>
      <c r="B6817" s="1">
        <v>1356</v>
      </c>
      <c r="C6817" s="1">
        <v>53</v>
      </c>
      <c r="D6817" t="str">
        <f>VLOOKUP(B6817,Заказы!A:C,3,0)</f>
        <v>2024-01-26 17:30:00</v>
      </c>
      <c r="E6817" t="str">
        <f>VLOOKUP(C6817,Меню!A:E,4,0)</f>
        <v>Суши</v>
      </c>
      <c r="F6817">
        <f>VLOOKUP(C6817,Меню!A:E,5,0)</f>
        <v>100</v>
      </c>
    </row>
    <row r="6818" spans="1:6" ht="15.75" hidden="1" customHeight="1" x14ac:dyDescent="0.35">
      <c r="A6818" s="1">
        <v>6817</v>
      </c>
      <c r="B6818" s="1">
        <v>1356</v>
      </c>
      <c r="C6818" s="1">
        <v>9</v>
      </c>
      <c r="D6818" t="str">
        <f>VLOOKUP(B6818,Заказы!A:C,3,0)</f>
        <v>2024-01-26 17:30:00</v>
      </c>
      <c r="E6818" t="str">
        <f>VLOOKUP(C6818,Меню!A:E,4,0)</f>
        <v>Завтрак</v>
      </c>
      <c r="F6818">
        <f>VLOOKUP(C6818,Меню!A:E,5,0)</f>
        <v>220</v>
      </c>
    </row>
    <row r="6819" spans="1:6" ht="15.75" hidden="1" customHeight="1" x14ac:dyDescent="0.35">
      <c r="A6819" s="1">
        <v>6818</v>
      </c>
      <c r="B6819" s="1">
        <v>1356</v>
      </c>
      <c r="C6819" s="1">
        <v>41</v>
      </c>
      <c r="D6819" t="str">
        <f>VLOOKUP(B6819,Заказы!A:C,3,0)</f>
        <v>2024-01-26 17:30:00</v>
      </c>
      <c r="E6819" t="str">
        <f>VLOOKUP(C6819,Меню!A:E,4,0)</f>
        <v>Суши</v>
      </c>
      <c r="F6819">
        <f>VLOOKUP(C6819,Меню!A:E,5,0)</f>
        <v>220</v>
      </c>
    </row>
    <row r="6820" spans="1:6" ht="15.75" hidden="1" customHeight="1" x14ac:dyDescent="0.35">
      <c r="A6820" s="1">
        <v>6819</v>
      </c>
      <c r="B6820" s="1">
        <v>1356</v>
      </c>
      <c r="C6820" s="1">
        <v>9</v>
      </c>
      <c r="D6820" t="str">
        <f>VLOOKUP(B6820,Заказы!A:C,3,0)</f>
        <v>2024-01-26 17:30:00</v>
      </c>
      <c r="E6820" t="str">
        <f>VLOOKUP(C6820,Меню!A:E,4,0)</f>
        <v>Завтрак</v>
      </c>
      <c r="F6820">
        <f>VLOOKUP(C6820,Меню!A:E,5,0)</f>
        <v>220</v>
      </c>
    </row>
    <row r="6821" spans="1:6" ht="15.75" hidden="1" customHeight="1" x14ac:dyDescent="0.35">
      <c r="A6821" s="1">
        <v>6820</v>
      </c>
      <c r="B6821" s="1">
        <v>1357</v>
      </c>
      <c r="C6821" s="1">
        <v>17</v>
      </c>
      <c r="D6821" t="str">
        <f>VLOOKUP(B6821,Заказы!A:C,3,0)</f>
        <v>2024-01-26 20:33:00</v>
      </c>
      <c r="E6821" t="str">
        <f>VLOOKUP(C6821,Меню!A:E,4,0)</f>
        <v>Первое</v>
      </c>
      <c r="F6821">
        <f>VLOOKUP(C6821,Меню!A:E,5,0)</f>
        <v>250</v>
      </c>
    </row>
    <row r="6822" spans="1:6" ht="15.75" hidden="1" customHeight="1" x14ac:dyDescent="0.35">
      <c r="A6822" s="1">
        <v>6821</v>
      </c>
      <c r="B6822" s="1">
        <v>1357</v>
      </c>
      <c r="C6822" s="1">
        <v>9</v>
      </c>
      <c r="D6822" t="str">
        <f>VLOOKUP(B6822,Заказы!A:C,3,0)</f>
        <v>2024-01-26 20:33:00</v>
      </c>
      <c r="E6822" t="str">
        <f>VLOOKUP(C6822,Меню!A:E,4,0)</f>
        <v>Завтрак</v>
      </c>
      <c r="F6822">
        <f>VLOOKUP(C6822,Меню!A:E,5,0)</f>
        <v>220</v>
      </c>
    </row>
    <row r="6823" spans="1:6" ht="15.75" hidden="1" customHeight="1" x14ac:dyDescent="0.35">
      <c r="A6823" s="1">
        <v>6822</v>
      </c>
      <c r="B6823" s="1">
        <v>1357</v>
      </c>
      <c r="C6823" s="1">
        <v>55</v>
      </c>
      <c r="D6823" t="str">
        <f>VLOOKUP(B6823,Заказы!A:C,3,0)</f>
        <v>2024-01-26 20:33:00</v>
      </c>
      <c r="E6823" t="str">
        <f>VLOOKUP(C6823,Меню!A:E,4,0)</f>
        <v>Суши</v>
      </c>
      <c r="F6823">
        <f>VLOOKUP(C6823,Меню!A:E,5,0)</f>
        <v>100</v>
      </c>
    </row>
    <row r="6824" spans="1:6" ht="15.75" hidden="1" customHeight="1" x14ac:dyDescent="0.35">
      <c r="A6824" s="1">
        <v>6823</v>
      </c>
      <c r="B6824" s="1">
        <v>1357</v>
      </c>
      <c r="C6824" s="1">
        <v>11</v>
      </c>
      <c r="D6824" t="str">
        <f>VLOOKUP(B6824,Заказы!A:C,3,0)</f>
        <v>2024-01-26 20:33:00</v>
      </c>
      <c r="E6824" t="str">
        <f>VLOOKUP(C6824,Меню!A:E,4,0)</f>
        <v>Первое</v>
      </c>
      <c r="F6824">
        <f>VLOOKUP(C6824,Меню!A:E,5,0)</f>
        <v>300</v>
      </c>
    </row>
    <row r="6825" spans="1:6" ht="15.75" hidden="1" customHeight="1" x14ac:dyDescent="0.35">
      <c r="A6825" s="1">
        <v>6824</v>
      </c>
      <c r="B6825" s="1">
        <v>1357</v>
      </c>
      <c r="C6825" s="1">
        <v>55</v>
      </c>
      <c r="D6825" t="str">
        <f>VLOOKUP(B6825,Заказы!A:C,3,0)</f>
        <v>2024-01-26 20:33:00</v>
      </c>
      <c r="E6825" t="str">
        <f>VLOOKUP(C6825,Меню!A:E,4,0)</f>
        <v>Суши</v>
      </c>
      <c r="F6825">
        <f>VLOOKUP(C6825,Меню!A:E,5,0)</f>
        <v>100</v>
      </c>
    </row>
    <row r="6826" spans="1:6" ht="15.75" hidden="1" customHeight="1" x14ac:dyDescent="0.35">
      <c r="A6826" s="1">
        <v>6825</v>
      </c>
      <c r="B6826" s="1">
        <v>1358</v>
      </c>
      <c r="C6826" s="1">
        <v>41</v>
      </c>
      <c r="D6826" t="str">
        <f>VLOOKUP(B6826,Заказы!A:C,3,0)</f>
        <v>2024-01-27 15:08:00</v>
      </c>
      <c r="E6826" t="str">
        <f>VLOOKUP(C6826,Меню!A:E,4,0)</f>
        <v>Суши</v>
      </c>
      <c r="F6826">
        <f>VLOOKUP(C6826,Меню!A:E,5,0)</f>
        <v>220</v>
      </c>
    </row>
    <row r="6827" spans="1:6" ht="15.75" hidden="1" customHeight="1" x14ac:dyDescent="0.35">
      <c r="A6827" s="1">
        <v>6826</v>
      </c>
      <c r="B6827" s="1">
        <v>1358</v>
      </c>
      <c r="C6827" s="1">
        <v>14</v>
      </c>
      <c r="D6827" t="str">
        <f>VLOOKUP(B6827,Заказы!A:C,3,0)</f>
        <v>2024-01-27 15:08:00</v>
      </c>
      <c r="E6827" t="str">
        <f>VLOOKUP(C6827,Меню!A:E,4,0)</f>
        <v>Первое</v>
      </c>
      <c r="F6827">
        <f>VLOOKUP(C6827,Меню!A:E,5,0)</f>
        <v>350</v>
      </c>
    </row>
    <row r="6828" spans="1:6" ht="15.75" hidden="1" customHeight="1" x14ac:dyDescent="0.35">
      <c r="A6828" s="1">
        <v>6827</v>
      </c>
      <c r="B6828" s="1">
        <v>1359</v>
      </c>
      <c r="C6828" s="1">
        <v>45</v>
      </c>
      <c r="D6828" t="str">
        <f>VLOOKUP(B6828,Заказы!A:C,3,0)</f>
        <v>2024-01-27 16:18:00</v>
      </c>
      <c r="E6828" t="str">
        <f>VLOOKUP(C6828,Меню!A:E,4,0)</f>
        <v>Суши</v>
      </c>
      <c r="F6828">
        <f>VLOOKUP(C6828,Меню!A:E,5,0)</f>
        <v>200</v>
      </c>
    </row>
    <row r="6829" spans="1:6" ht="15.75" customHeight="1" x14ac:dyDescent="0.35">
      <c r="A6829" s="1">
        <v>6828</v>
      </c>
      <c r="B6829" s="1">
        <v>1359</v>
      </c>
      <c r="C6829" s="1">
        <v>40</v>
      </c>
      <c r="D6829" t="str">
        <f>VLOOKUP(B6829,Заказы!A:C,3,0)</f>
        <v>2024-01-27 16:18:00</v>
      </c>
      <c r="E6829" t="str">
        <f>VLOOKUP(C6829,Меню!A:E,4,0)</f>
        <v>Десерт</v>
      </c>
      <c r="F6829">
        <f>VLOOKUP(C6829,Меню!A:E,5,0)</f>
        <v>150</v>
      </c>
    </row>
    <row r="6830" spans="1:6" ht="15.75" hidden="1" customHeight="1" x14ac:dyDescent="0.35">
      <c r="A6830" s="1">
        <v>6829</v>
      </c>
      <c r="B6830" s="1">
        <v>1359</v>
      </c>
      <c r="C6830" s="1">
        <v>10</v>
      </c>
      <c r="D6830" t="str">
        <f>VLOOKUP(B6830,Заказы!A:C,3,0)</f>
        <v>2024-01-27 16:18:00</v>
      </c>
      <c r="E6830" t="str">
        <f>VLOOKUP(C6830,Меню!A:E,4,0)</f>
        <v>Завтрак</v>
      </c>
      <c r="F6830">
        <f>VLOOKUP(C6830,Меню!A:E,5,0)</f>
        <v>200</v>
      </c>
    </row>
    <row r="6831" spans="1:6" ht="15.75" hidden="1" customHeight="1" x14ac:dyDescent="0.35">
      <c r="A6831" s="1">
        <v>6830</v>
      </c>
      <c r="B6831" s="1">
        <v>1359</v>
      </c>
      <c r="C6831" s="1">
        <v>59</v>
      </c>
      <c r="D6831" t="str">
        <f>VLOOKUP(B6831,Заказы!A:C,3,0)</f>
        <v>2024-01-27 16:18:00</v>
      </c>
      <c r="E6831" t="str">
        <f>VLOOKUP(C6831,Меню!A:E,4,0)</f>
        <v>Суши</v>
      </c>
      <c r="F6831">
        <f>VLOOKUP(C6831,Меню!A:E,5,0)</f>
        <v>300</v>
      </c>
    </row>
    <row r="6832" spans="1:6" ht="15.75" hidden="1" customHeight="1" x14ac:dyDescent="0.35">
      <c r="A6832" s="1">
        <v>6831</v>
      </c>
      <c r="B6832" s="1">
        <v>1359</v>
      </c>
      <c r="C6832" s="1">
        <v>29</v>
      </c>
      <c r="D6832" t="str">
        <f>VLOOKUP(B6832,Заказы!A:C,3,0)</f>
        <v>2024-01-27 16:18:00</v>
      </c>
      <c r="E6832" t="str">
        <f>VLOOKUP(C6832,Меню!A:E,4,0)</f>
        <v>Салат</v>
      </c>
      <c r="F6832">
        <f>VLOOKUP(C6832,Меню!A:E,5,0)</f>
        <v>250</v>
      </c>
    </row>
    <row r="6833" spans="1:6" ht="15.75" hidden="1" customHeight="1" x14ac:dyDescent="0.35">
      <c r="A6833" s="1">
        <v>6832</v>
      </c>
      <c r="B6833" s="1">
        <v>1359</v>
      </c>
      <c r="C6833" s="1">
        <v>46</v>
      </c>
      <c r="D6833" t="str">
        <f>VLOOKUP(B6833,Заказы!A:C,3,0)</f>
        <v>2024-01-27 16:18:00</v>
      </c>
      <c r="E6833" t="str">
        <f>VLOOKUP(C6833,Меню!A:E,4,0)</f>
        <v>Суши</v>
      </c>
      <c r="F6833">
        <f>VLOOKUP(C6833,Меню!A:E,5,0)</f>
        <v>200</v>
      </c>
    </row>
    <row r="6834" spans="1:6" ht="15.75" customHeight="1" x14ac:dyDescent="0.35">
      <c r="A6834" s="1">
        <v>6833</v>
      </c>
      <c r="B6834" s="1">
        <v>1359</v>
      </c>
      <c r="C6834" s="1">
        <v>39</v>
      </c>
      <c r="D6834" t="str">
        <f>VLOOKUP(B6834,Заказы!A:C,3,0)</f>
        <v>2024-01-27 16:18:00</v>
      </c>
      <c r="E6834" t="str">
        <f>VLOOKUP(C6834,Меню!A:E,4,0)</f>
        <v>Десерт</v>
      </c>
      <c r="F6834">
        <f>VLOOKUP(C6834,Меню!A:E,5,0)</f>
        <v>150</v>
      </c>
    </row>
    <row r="6835" spans="1:6" ht="15.75" customHeight="1" x14ac:dyDescent="0.35">
      <c r="A6835" s="1">
        <v>6834</v>
      </c>
      <c r="B6835" s="1">
        <v>1359</v>
      </c>
      <c r="C6835" s="1">
        <v>39</v>
      </c>
      <c r="D6835" t="str">
        <f>VLOOKUP(B6835,Заказы!A:C,3,0)</f>
        <v>2024-01-27 16:18:00</v>
      </c>
      <c r="E6835" t="str">
        <f>VLOOKUP(C6835,Меню!A:E,4,0)</f>
        <v>Десерт</v>
      </c>
      <c r="F6835">
        <f>VLOOKUP(C6835,Меню!A:E,5,0)</f>
        <v>150</v>
      </c>
    </row>
    <row r="6836" spans="1:6" ht="15.75" hidden="1" customHeight="1" x14ac:dyDescent="0.35">
      <c r="A6836" s="1">
        <v>6835</v>
      </c>
      <c r="B6836" s="1">
        <v>1359</v>
      </c>
      <c r="C6836" s="1">
        <v>10</v>
      </c>
      <c r="D6836" t="str">
        <f>VLOOKUP(B6836,Заказы!A:C,3,0)</f>
        <v>2024-01-27 16:18:00</v>
      </c>
      <c r="E6836" t="str">
        <f>VLOOKUP(C6836,Меню!A:E,4,0)</f>
        <v>Завтрак</v>
      </c>
      <c r="F6836">
        <f>VLOOKUP(C6836,Меню!A:E,5,0)</f>
        <v>200</v>
      </c>
    </row>
    <row r="6837" spans="1:6" ht="15.75" hidden="1" customHeight="1" x14ac:dyDescent="0.35">
      <c r="A6837" s="1">
        <v>6836</v>
      </c>
      <c r="B6837" s="1">
        <v>1360</v>
      </c>
      <c r="C6837" s="1">
        <v>59</v>
      </c>
      <c r="D6837" t="str">
        <f>VLOOKUP(B6837,Заказы!A:C,3,0)</f>
        <v>2024-01-27 18:28:00</v>
      </c>
      <c r="E6837" t="str">
        <f>VLOOKUP(C6837,Меню!A:E,4,0)</f>
        <v>Суши</v>
      </c>
      <c r="F6837">
        <f>VLOOKUP(C6837,Меню!A:E,5,0)</f>
        <v>300</v>
      </c>
    </row>
    <row r="6838" spans="1:6" ht="15.75" customHeight="1" x14ac:dyDescent="0.35">
      <c r="A6838" s="1">
        <v>6837</v>
      </c>
      <c r="B6838" s="1">
        <v>1360</v>
      </c>
      <c r="C6838" s="1">
        <v>38</v>
      </c>
      <c r="D6838" t="str">
        <f>VLOOKUP(B6838,Заказы!A:C,3,0)</f>
        <v>2024-01-27 18:28:00</v>
      </c>
      <c r="E6838" t="str">
        <f>VLOOKUP(C6838,Меню!A:E,4,0)</f>
        <v>Десерт</v>
      </c>
      <c r="F6838">
        <f>VLOOKUP(C6838,Меню!A:E,5,0)</f>
        <v>150</v>
      </c>
    </row>
    <row r="6839" spans="1:6" ht="15.75" customHeight="1" x14ac:dyDescent="0.35">
      <c r="A6839" s="1">
        <v>6838</v>
      </c>
      <c r="B6839" s="1">
        <v>1361</v>
      </c>
      <c r="C6839" s="1">
        <v>38</v>
      </c>
      <c r="D6839" t="str">
        <f>VLOOKUP(B6839,Заказы!A:C,3,0)</f>
        <v>2024-01-27 20:48:00</v>
      </c>
      <c r="E6839" t="str">
        <f>VLOOKUP(C6839,Меню!A:E,4,0)</f>
        <v>Десерт</v>
      </c>
      <c r="F6839">
        <f>VLOOKUP(C6839,Меню!A:E,5,0)</f>
        <v>150</v>
      </c>
    </row>
    <row r="6840" spans="1:6" ht="15.75" hidden="1" customHeight="1" x14ac:dyDescent="0.35">
      <c r="A6840" s="1">
        <v>6839</v>
      </c>
      <c r="B6840" s="1">
        <v>1362</v>
      </c>
      <c r="C6840" s="1">
        <v>20</v>
      </c>
      <c r="D6840" t="str">
        <f>VLOOKUP(B6840,Заказы!A:C,3,0)</f>
        <v>2024-01-27 22:44:00</v>
      </c>
      <c r="E6840" t="str">
        <f>VLOOKUP(C6840,Меню!A:E,4,0)</f>
        <v>Первое</v>
      </c>
      <c r="F6840">
        <f>VLOOKUP(C6840,Меню!A:E,5,0)</f>
        <v>250</v>
      </c>
    </row>
    <row r="6841" spans="1:6" ht="15.75" hidden="1" customHeight="1" x14ac:dyDescent="0.35">
      <c r="A6841" s="1">
        <v>6840</v>
      </c>
      <c r="B6841" s="1">
        <v>1363</v>
      </c>
      <c r="C6841" s="1">
        <v>7</v>
      </c>
      <c r="D6841" t="str">
        <f>VLOOKUP(B6841,Заказы!A:C,3,0)</f>
        <v>2024-01-28 17:15:00</v>
      </c>
      <c r="E6841" t="str">
        <f>VLOOKUP(C6841,Меню!A:E,4,0)</f>
        <v>Завтрак</v>
      </c>
      <c r="F6841">
        <f>VLOOKUP(C6841,Меню!A:E,5,0)</f>
        <v>200</v>
      </c>
    </row>
    <row r="6842" spans="1:6" ht="15.75" hidden="1" customHeight="1" x14ac:dyDescent="0.35">
      <c r="A6842" s="1">
        <v>6841</v>
      </c>
      <c r="B6842" s="1">
        <v>1363</v>
      </c>
      <c r="C6842" s="1">
        <v>18</v>
      </c>
      <c r="D6842" t="str">
        <f>VLOOKUP(B6842,Заказы!A:C,3,0)</f>
        <v>2024-01-28 17:15:00</v>
      </c>
      <c r="E6842" t="str">
        <f>VLOOKUP(C6842,Меню!A:E,4,0)</f>
        <v>Первое</v>
      </c>
      <c r="F6842">
        <f>VLOOKUP(C6842,Меню!A:E,5,0)</f>
        <v>300</v>
      </c>
    </row>
    <row r="6843" spans="1:6" ht="15.75" hidden="1" customHeight="1" x14ac:dyDescent="0.35">
      <c r="A6843" s="1">
        <v>6842</v>
      </c>
      <c r="B6843" s="1">
        <v>1363</v>
      </c>
      <c r="C6843" s="1">
        <v>54</v>
      </c>
      <c r="D6843" t="str">
        <f>VLOOKUP(B6843,Заказы!A:C,3,0)</f>
        <v>2024-01-28 17:15:00</v>
      </c>
      <c r="E6843" t="str">
        <f>VLOOKUP(C6843,Меню!A:E,4,0)</f>
        <v>Суши</v>
      </c>
      <c r="F6843">
        <f>VLOOKUP(C6843,Меню!A:E,5,0)</f>
        <v>100</v>
      </c>
    </row>
    <row r="6844" spans="1:6" ht="15.75" hidden="1" customHeight="1" x14ac:dyDescent="0.35">
      <c r="A6844" s="1">
        <v>6843</v>
      </c>
      <c r="B6844" s="1">
        <v>1363</v>
      </c>
      <c r="C6844" s="1">
        <v>12</v>
      </c>
      <c r="D6844" t="str">
        <f>VLOOKUP(B6844,Заказы!A:C,3,0)</f>
        <v>2024-01-28 17:15:00</v>
      </c>
      <c r="E6844" t="str">
        <f>VLOOKUP(C6844,Меню!A:E,4,0)</f>
        <v>Первое</v>
      </c>
      <c r="F6844">
        <f>VLOOKUP(C6844,Меню!A:E,5,0)</f>
        <v>300</v>
      </c>
    </row>
    <row r="6845" spans="1:6" ht="15.75" hidden="1" customHeight="1" x14ac:dyDescent="0.35">
      <c r="A6845" s="1">
        <v>6844</v>
      </c>
      <c r="B6845" s="1">
        <v>1363</v>
      </c>
      <c r="C6845" s="1">
        <v>19</v>
      </c>
      <c r="D6845" t="str">
        <f>VLOOKUP(B6845,Заказы!A:C,3,0)</f>
        <v>2024-01-28 17:15:00</v>
      </c>
      <c r="E6845" t="str">
        <f>VLOOKUP(C6845,Меню!A:E,4,0)</f>
        <v>Первое</v>
      </c>
      <c r="F6845">
        <f>VLOOKUP(C6845,Меню!A:E,5,0)</f>
        <v>300</v>
      </c>
    </row>
    <row r="6846" spans="1:6" ht="15.75" hidden="1" customHeight="1" x14ac:dyDescent="0.35">
      <c r="A6846" s="1">
        <v>6845</v>
      </c>
      <c r="B6846" s="1">
        <v>1363</v>
      </c>
      <c r="C6846" s="1">
        <v>26</v>
      </c>
      <c r="D6846" t="str">
        <f>VLOOKUP(B6846,Заказы!A:C,3,0)</f>
        <v>2024-01-28 17:15:00</v>
      </c>
      <c r="E6846" t="str">
        <f>VLOOKUP(C6846,Меню!A:E,4,0)</f>
        <v>Салат</v>
      </c>
      <c r="F6846">
        <f>VLOOKUP(C6846,Меню!A:E,5,0)</f>
        <v>250</v>
      </c>
    </row>
    <row r="6847" spans="1:6" ht="15.75" hidden="1" customHeight="1" x14ac:dyDescent="0.35">
      <c r="A6847" s="1">
        <v>6846</v>
      </c>
      <c r="B6847" s="1">
        <v>1363</v>
      </c>
      <c r="C6847" s="1">
        <v>4</v>
      </c>
      <c r="D6847" t="str">
        <f>VLOOKUP(B6847,Заказы!A:C,3,0)</f>
        <v>2024-01-28 17:15:00</v>
      </c>
      <c r="E6847" t="str">
        <f>VLOOKUP(C6847,Меню!A:E,4,0)</f>
        <v>Завтрак</v>
      </c>
      <c r="F6847">
        <f>VLOOKUP(C6847,Меню!A:E,5,0)</f>
        <v>180</v>
      </c>
    </row>
    <row r="6848" spans="1:6" ht="15.75" hidden="1" customHeight="1" x14ac:dyDescent="0.35">
      <c r="A6848" s="1">
        <v>6847</v>
      </c>
      <c r="B6848" s="1">
        <v>1363</v>
      </c>
      <c r="C6848" s="1">
        <v>55</v>
      </c>
      <c r="D6848" t="str">
        <f>VLOOKUP(B6848,Заказы!A:C,3,0)</f>
        <v>2024-01-28 17:15:00</v>
      </c>
      <c r="E6848" t="str">
        <f>VLOOKUP(C6848,Меню!A:E,4,0)</f>
        <v>Суши</v>
      </c>
      <c r="F6848">
        <f>VLOOKUP(C6848,Меню!A:E,5,0)</f>
        <v>100</v>
      </c>
    </row>
    <row r="6849" spans="1:6" ht="15.75" hidden="1" customHeight="1" x14ac:dyDescent="0.35">
      <c r="A6849" s="1">
        <v>6848</v>
      </c>
      <c r="B6849" s="1">
        <v>1363</v>
      </c>
      <c r="C6849" s="1">
        <v>58</v>
      </c>
      <c r="D6849" t="str">
        <f>VLOOKUP(B6849,Заказы!A:C,3,0)</f>
        <v>2024-01-28 17:15:00</v>
      </c>
      <c r="E6849" t="str">
        <f>VLOOKUP(C6849,Меню!A:E,4,0)</f>
        <v>Суши</v>
      </c>
      <c r="F6849">
        <f>VLOOKUP(C6849,Меню!A:E,5,0)</f>
        <v>200</v>
      </c>
    </row>
    <row r="6850" spans="1:6" ht="15.75" hidden="1" customHeight="1" x14ac:dyDescent="0.35">
      <c r="A6850" s="1">
        <v>6849</v>
      </c>
      <c r="B6850" s="1">
        <v>1364</v>
      </c>
      <c r="C6850" s="1">
        <v>11</v>
      </c>
      <c r="D6850" t="str">
        <f>VLOOKUP(B6850,Заказы!A:C,3,0)</f>
        <v>2024-01-28 17:19:00</v>
      </c>
      <c r="E6850" t="str">
        <f>VLOOKUP(C6850,Меню!A:E,4,0)</f>
        <v>Первое</v>
      </c>
      <c r="F6850">
        <f>VLOOKUP(C6850,Меню!A:E,5,0)</f>
        <v>300</v>
      </c>
    </row>
    <row r="6851" spans="1:6" ht="15.75" hidden="1" customHeight="1" x14ac:dyDescent="0.35">
      <c r="A6851" s="1">
        <v>6850</v>
      </c>
      <c r="B6851" s="1">
        <v>1364</v>
      </c>
      <c r="C6851" s="1">
        <v>42</v>
      </c>
      <c r="D6851" t="str">
        <f>VLOOKUP(B6851,Заказы!A:C,3,0)</f>
        <v>2024-01-28 17:19:00</v>
      </c>
      <c r="E6851" t="str">
        <f>VLOOKUP(C6851,Меню!A:E,4,0)</f>
        <v>Суши</v>
      </c>
      <c r="F6851">
        <f>VLOOKUP(C6851,Меню!A:E,5,0)</f>
        <v>250</v>
      </c>
    </row>
    <row r="6852" spans="1:6" ht="15.75" hidden="1" customHeight="1" x14ac:dyDescent="0.35">
      <c r="A6852" s="1">
        <v>6851</v>
      </c>
      <c r="B6852" s="1">
        <v>1364</v>
      </c>
      <c r="C6852" s="1">
        <v>44</v>
      </c>
      <c r="D6852" t="str">
        <f>VLOOKUP(B6852,Заказы!A:C,3,0)</f>
        <v>2024-01-28 17:19:00</v>
      </c>
      <c r="E6852" t="str">
        <f>VLOOKUP(C6852,Меню!A:E,4,0)</f>
        <v>Суши</v>
      </c>
      <c r="F6852">
        <f>VLOOKUP(C6852,Меню!A:E,5,0)</f>
        <v>250</v>
      </c>
    </row>
    <row r="6853" spans="1:6" ht="15.75" customHeight="1" x14ac:dyDescent="0.35">
      <c r="A6853" s="1">
        <v>6852</v>
      </c>
      <c r="B6853" s="1">
        <v>1364</v>
      </c>
      <c r="C6853" s="1">
        <v>33</v>
      </c>
      <c r="D6853" t="str">
        <f>VLOOKUP(B6853,Заказы!A:C,3,0)</f>
        <v>2024-01-28 17:19:00</v>
      </c>
      <c r="E6853" t="str">
        <f>VLOOKUP(C6853,Меню!A:E,4,0)</f>
        <v>Десерт</v>
      </c>
      <c r="F6853">
        <f>VLOOKUP(C6853,Меню!A:E,5,0)</f>
        <v>150</v>
      </c>
    </row>
    <row r="6854" spans="1:6" ht="15.75" hidden="1" customHeight="1" x14ac:dyDescent="0.35">
      <c r="A6854" s="1">
        <v>6853</v>
      </c>
      <c r="B6854" s="1">
        <v>1364</v>
      </c>
      <c r="C6854" s="1">
        <v>28</v>
      </c>
      <c r="D6854" t="str">
        <f>VLOOKUP(B6854,Заказы!A:C,3,0)</f>
        <v>2024-01-28 17:19:00</v>
      </c>
      <c r="E6854" t="str">
        <f>VLOOKUP(C6854,Меню!A:E,4,0)</f>
        <v>Салат</v>
      </c>
      <c r="F6854">
        <f>VLOOKUP(C6854,Меню!A:E,5,0)</f>
        <v>250</v>
      </c>
    </row>
    <row r="6855" spans="1:6" ht="15.75" hidden="1" customHeight="1" x14ac:dyDescent="0.35">
      <c r="A6855" s="1">
        <v>6854</v>
      </c>
      <c r="B6855" s="1">
        <v>1364</v>
      </c>
      <c r="C6855" s="1">
        <v>28</v>
      </c>
      <c r="D6855" t="str">
        <f>VLOOKUP(B6855,Заказы!A:C,3,0)</f>
        <v>2024-01-28 17:19:00</v>
      </c>
      <c r="E6855" t="str">
        <f>VLOOKUP(C6855,Меню!A:E,4,0)</f>
        <v>Салат</v>
      </c>
      <c r="F6855">
        <f>VLOOKUP(C6855,Меню!A:E,5,0)</f>
        <v>250</v>
      </c>
    </row>
    <row r="6856" spans="1:6" ht="15.75" hidden="1" customHeight="1" x14ac:dyDescent="0.35">
      <c r="A6856" s="1">
        <v>6855</v>
      </c>
      <c r="B6856" s="1">
        <v>1364</v>
      </c>
      <c r="C6856" s="1">
        <v>1</v>
      </c>
      <c r="D6856" t="str">
        <f>VLOOKUP(B6856,Заказы!A:C,3,0)</f>
        <v>2024-01-28 17:19:00</v>
      </c>
      <c r="E6856" t="str">
        <f>VLOOKUP(C6856,Меню!A:E,4,0)</f>
        <v>Завтрак</v>
      </c>
      <c r="F6856">
        <f>VLOOKUP(C6856,Меню!A:E,5,0)</f>
        <v>200</v>
      </c>
    </row>
    <row r="6857" spans="1:6" ht="15.75" hidden="1" customHeight="1" x14ac:dyDescent="0.35">
      <c r="A6857" s="1">
        <v>6856</v>
      </c>
      <c r="B6857" s="1">
        <v>1365</v>
      </c>
      <c r="C6857" s="1">
        <v>2</v>
      </c>
      <c r="D6857" t="str">
        <f>VLOOKUP(B6857,Заказы!A:C,3,0)</f>
        <v>2024-01-28 19:50:00</v>
      </c>
      <c r="E6857" t="str">
        <f>VLOOKUP(C6857,Меню!A:E,4,0)</f>
        <v>Завтрак</v>
      </c>
      <c r="F6857">
        <f>VLOOKUP(C6857,Меню!A:E,5,0)</f>
        <v>250</v>
      </c>
    </row>
    <row r="6858" spans="1:6" ht="15.75" hidden="1" customHeight="1" x14ac:dyDescent="0.35">
      <c r="A6858" s="1">
        <v>6857</v>
      </c>
      <c r="B6858" s="1">
        <v>1365</v>
      </c>
      <c r="C6858" s="1">
        <v>47</v>
      </c>
      <c r="D6858" t="str">
        <f>VLOOKUP(B6858,Заказы!A:C,3,0)</f>
        <v>2024-01-28 19:50:00</v>
      </c>
      <c r="E6858" t="str">
        <f>VLOOKUP(C6858,Меню!A:E,4,0)</f>
        <v>Суши</v>
      </c>
      <c r="F6858">
        <f>VLOOKUP(C6858,Меню!A:E,5,0)</f>
        <v>200</v>
      </c>
    </row>
    <row r="6859" spans="1:6" ht="15.75" hidden="1" customHeight="1" x14ac:dyDescent="0.35">
      <c r="A6859" s="1">
        <v>6858</v>
      </c>
      <c r="B6859" s="1">
        <v>1365</v>
      </c>
      <c r="C6859" s="1">
        <v>11</v>
      </c>
      <c r="D6859" t="str">
        <f>VLOOKUP(B6859,Заказы!A:C,3,0)</f>
        <v>2024-01-28 19:50:00</v>
      </c>
      <c r="E6859" t="str">
        <f>VLOOKUP(C6859,Меню!A:E,4,0)</f>
        <v>Первое</v>
      </c>
      <c r="F6859">
        <f>VLOOKUP(C6859,Меню!A:E,5,0)</f>
        <v>300</v>
      </c>
    </row>
    <row r="6860" spans="1:6" ht="15.75" hidden="1" customHeight="1" x14ac:dyDescent="0.35">
      <c r="A6860" s="1">
        <v>6859</v>
      </c>
      <c r="B6860" s="1">
        <v>1365</v>
      </c>
      <c r="C6860" s="1">
        <v>6</v>
      </c>
      <c r="D6860" t="str">
        <f>VLOOKUP(B6860,Заказы!A:C,3,0)</f>
        <v>2024-01-28 19:50:00</v>
      </c>
      <c r="E6860" t="str">
        <f>VLOOKUP(C6860,Меню!A:E,4,0)</f>
        <v>Завтрак</v>
      </c>
      <c r="F6860">
        <f>VLOOKUP(C6860,Меню!A:E,5,0)</f>
        <v>300</v>
      </c>
    </row>
    <row r="6861" spans="1:6" ht="15.75" hidden="1" customHeight="1" x14ac:dyDescent="0.35">
      <c r="A6861" s="1">
        <v>6860</v>
      </c>
      <c r="B6861" s="1">
        <v>1365</v>
      </c>
      <c r="C6861" s="1">
        <v>59</v>
      </c>
      <c r="D6861" t="str">
        <f>VLOOKUP(B6861,Заказы!A:C,3,0)</f>
        <v>2024-01-28 19:50:00</v>
      </c>
      <c r="E6861" t="str">
        <f>VLOOKUP(C6861,Меню!A:E,4,0)</f>
        <v>Суши</v>
      </c>
      <c r="F6861">
        <f>VLOOKUP(C6861,Меню!A:E,5,0)</f>
        <v>300</v>
      </c>
    </row>
    <row r="6862" spans="1:6" ht="15.75" hidden="1" customHeight="1" x14ac:dyDescent="0.35">
      <c r="A6862" s="1">
        <v>6861</v>
      </c>
      <c r="B6862" s="1">
        <v>1366</v>
      </c>
      <c r="C6862" s="1">
        <v>60</v>
      </c>
      <c r="D6862" t="str">
        <f>VLOOKUP(B6862,Заказы!A:C,3,0)</f>
        <v>2024-01-28 20:14:00</v>
      </c>
      <c r="E6862" t="str">
        <f>VLOOKUP(C6862,Меню!A:E,4,0)</f>
        <v>Суши</v>
      </c>
      <c r="F6862">
        <f>VLOOKUP(C6862,Меню!A:E,5,0)</f>
        <v>250</v>
      </c>
    </row>
    <row r="6863" spans="1:6" ht="15.75" hidden="1" customHeight="1" x14ac:dyDescent="0.35">
      <c r="A6863" s="1">
        <v>6862</v>
      </c>
      <c r="B6863" s="1">
        <v>1366</v>
      </c>
      <c r="C6863" s="1">
        <v>48</v>
      </c>
      <c r="D6863" t="str">
        <f>VLOOKUP(B6863,Заказы!A:C,3,0)</f>
        <v>2024-01-28 20:14:00</v>
      </c>
      <c r="E6863" t="str">
        <f>VLOOKUP(C6863,Меню!A:E,4,0)</f>
        <v>Суши</v>
      </c>
      <c r="F6863">
        <f>VLOOKUP(C6863,Меню!A:E,5,0)</f>
        <v>200</v>
      </c>
    </row>
    <row r="6864" spans="1:6" ht="15.75" hidden="1" customHeight="1" x14ac:dyDescent="0.35">
      <c r="A6864" s="1">
        <v>6863</v>
      </c>
      <c r="B6864" s="1">
        <v>1366</v>
      </c>
      <c r="C6864" s="1">
        <v>43</v>
      </c>
      <c r="D6864" t="str">
        <f>VLOOKUP(B6864,Заказы!A:C,3,0)</f>
        <v>2024-01-28 20:14:00</v>
      </c>
      <c r="E6864" t="str">
        <f>VLOOKUP(C6864,Меню!A:E,4,0)</f>
        <v>Суши</v>
      </c>
      <c r="F6864">
        <f>VLOOKUP(C6864,Меню!A:E,5,0)</f>
        <v>250</v>
      </c>
    </row>
    <row r="6865" spans="1:6" ht="15.75" hidden="1" customHeight="1" x14ac:dyDescent="0.35">
      <c r="A6865" s="1">
        <v>6864</v>
      </c>
      <c r="B6865" s="1">
        <v>1366</v>
      </c>
      <c r="C6865" s="1">
        <v>57</v>
      </c>
      <c r="D6865" t="str">
        <f>VLOOKUP(B6865,Заказы!A:C,3,0)</f>
        <v>2024-01-28 20:14:00</v>
      </c>
      <c r="E6865" t="str">
        <f>VLOOKUP(C6865,Меню!A:E,4,0)</f>
        <v>Суши</v>
      </c>
      <c r="F6865">
        <f>VLOOKUP(C6865,Меню!A:E,5,0)</f>
        <v>200</v>
      </c>
    </row>
    <row r="6866" spans="1:6" ht="15.75" hidden="1" customHeight="1" x14ac:dyDescent="0.35">
      <c r="A6866" s="1">
        <v>6865</v>
      </c>
      <c r="B6866" s="1">
        <v>1367</v>
      </c>
      <c r="C6866" s="1">
        <v>48</v>
      </c>
      <c r="D6866" t="str">
        <f>VLOOKUP(B6866,Заказы!A:C,3,0)</f>
        <v>2024-01-28 22:31:00</v>
      </c>
      <c r="E6866" t="str">
        <f>VLOOKUP(C6866,Меню!A:E,4,0)</f>
        <v>Суши</v>
      </c>
      <c r="F6866">
        <f>VLOOKUP(C6866,Меню!A:E,5,0)</f>
        <v>200</v>
      </c>
    </row>
    <row r="6867" spans="1:6" ht="15.75" hidden="1" customHeight="1" x14ac:dyDescent="0.35">
      <c r="A6867" s="1">
        <v>6866</v>
      </c>
      <c r="B6867" s="1">
        <v>1367</v>
      </c>
      <c r="C6867" s="1">
        <v>48</v>
      </c>
      <c r="D6867" t="str">
        <f>VLOOKUP(B6867,Заказы!A:C,3,0)</f>
        <v>2024-01-28 22:31:00</v>
      </c>
      <c r="E6867" t="str">
        <f>VLOOKUP(C6867,Меню!A:E,4,0)</f>
        <v>Суши</v>
      </c>
      <c r="F6867">
        <f>VLOOKUP(C6867,Меню!A:E,5,0)</f>
        <v>200</v>
      </c>
    </row>
    <row r="6868" spans="1:6" ht="15.75" customHeight="1" x14ac:dyDescent="0.35">
      <c r="A6868" s="1">
        <v>6867</v>
      </c>
      <c r="B6868" s="1">
        <v>1367</v>
      </c>
      <c r="C6868" s="1">
        <v>33</v>
      </c>
      <c r="D6868" t="str">
        <f>VLOOKUP(B6868,Заказы!A:C,3,0)</f>
        <v>2024-01-28 22:31:00</v>
      </c>
      <c r="E6868" t="str">
        <f>VLOOKUP(C6868,Меню!A:E,4,0)</f>
        <v>Десерт</v>
      </c>
      <c r="F6868">
        <f>VLOOKUP(C6868,Меню!A:E,5,0)</f>
        <v>150</v>
      </c>
    </row>
    <row r="6869" spans="1:6" ht="15.75" hidden="1" customHeight="1" x14ac:dyDescent="0.35">
      <c r="A6869" s="1">
        <v>6868</v>
      </c>
      <c r="B6869" s="1">
        <v>1367</v>
      </c>
      <c r="C6869" s="1">
        <v>41</v>
      </c>
      <c r="D6869" t="str">
        <f>VLOOKUP(B6869,Заказы!A:C,3,0)</f>
        <v>2024-01-28 22:31:00</v>
      </c>
      <c r="E6869" t="str">
        <f>VLOOKUP(C6869,Меню!A:E,4,0)</f>
        <v>Суши</v>
      </c>
      <c r="F6869">
        <f>VLOOKUP(C6869,Меню!A:E,5,0)</f>
        <v>220</v>
      </c>
    </row>
    <row r="6870" spans="1:6" ht="15.75" hidden="1" customHeight="1" x14ac:dyDescent="0.35">
      <c r="A6870" s="1">
        <v>6869</v>
      </c>
      <c r="B6870" s="1">
        <v>1367</v>
      </c>
      <c r="C6870" s="1">
        <v>50</v>
      </c>
      <c r="D6870" t="str">
        <f>VLOOKUP(B6870,Заказы!A:C,3,0)</f>
        <v>2024-01-28 22:31:00</v>
      </c>
      <c r="E6870" t="str">
        <f>VLOOKUP(C6870,Меню!A:E,4,0)</f>
        <v>Суши</v>
      </c>
      <c r="F6870">
        <f>VLOOKUP(C6870,Меню!A:E,5,0)</f>
        <v>200</v>
      </c>
    </row>
    <row r="6871" spans="1:6" ht="15.75" hidden="1" customHeight="1" x14ac:dyDescent="0.35">
      <c r="A6871" s="1">
        <v>6870</v>
      </c>
      <c r="B6871" s="1">
        <v>1367</v>
      </c>
      <c r="C6871" s="1">
        <v>59</v>
      </c>
      <c r="D6871" t="str">
        <f>VLOOKUP(B6871,Заказы!A:C,3,0)</f>
        <v>2024-01-28 22:31:00</v>
      </c>
      <c r="E6871" t="str">
        <f>VLOOKUP(C6871,Меню!A:E,4,0)</f>
        <v>Суши</v>
      </c>
      <c r="F6871">
        <f>VLOOKUP(C6871,Меню!A:E,5,0)</f>
        <v>300</v>
      </c>
    </row>
    <row r="6872" spans="1:6" ht="15.75" hidden="1" customHeight="1" x14ac:dyDescent="0.35">
      <c r="A6872" s="1">
        <v>6871</v>
      </c>
      <c r="B6872" s="1">
        <v>1367</v>
      </c>
      <c r="C6872" s="1">
        <v>49</v>
      </c>
      <c r="D6872" t="str">
        <f>VLOOKUP(B6872,Заказы!A:C,3,0)</f>
        <v>2024-01-28 22:31:00</v>
      </c>
      <c r="E6872" t="str">
        <f>VLOOKUP(C6872,Меню!A:E,4,0)</f>
        <v>Суши</v>
      </c>
      <c r="F6872">
        <f>VLOOKUP(C6872,Меню!A:E,5,0)</f>
        <v>200</v>
      </c>
    </row>
    <row r="6873" spans="1:6" ht="15.75" hidden="1" customHeight="1" x14ac:dyDescent="0.35">
      <c r="A6873" s="1">
        <v>6872</v>
      </c>
      <c r="B6873" s="1">
        <v>1368</v>
      </c>
      <c r="C6873" s="1">
        <v>26</v>
      </c>
      <c r="D6873" t="str">
        <f>VLOOKUP(B6873,Заказы!A:C,3,0)</f>
        <v>2024-01-28 22:38:00</v>
      </c>
      <c r="E6873" t="str">
        <f>VLOOKUP(C6873,Меню!A:E,4,0)</f>
        <v>Салат</v>
      </c>
      <c r="F6873">
        <f>VLOOKUP(C6873,Меню!A:E,5,0)</f>
        <v>250</v>
      </c>
    </row>
    <row r="6874" spans="1:6" ht="15.75" hidden="1" customHeight="1" x14ac:dyDescent="0.35">
      <c r="A6874" s="1">
        <v>6873</v>
      </c>
      <c r="B6874" s="1">
        <v>1368</v>
      </c>
      <c r="C6874" s="1">
        <v>56</v>
      </c>
      <c r="D6874" t="str">
        <f>VLOOKUP(B6874,Заказы!A:C,3,0)</f>
        <v>2024-01-28 22:38:00</v>
      </c>
      <c r="E6874" t="str">
        <f>VLOOKUP(C6874,Меню!A:E,4,0)</f>
        <v>Суши</v>
      </c>
      <c r="F6874">
        <f>VLOOKUP(C6874,Меню!A:E,5,0)</f>
        <v>200</v>
      </c>
    </row>
    <row r="6875" spans="1:6" ht="15.75" hidden="1" customHeight="1" x14ac:dyDescent="0.35">
      <c r="A6875" s="1">
        <v>6874</v>
      </c>
      <c r="B6875" s="1">
        <v>1368</v>
      </c>
      <c r="C6875" s="1">
        <v>56</v>
      </c>
      <c r="D6875" t="str">
        <f>VLOOKUP(B6875,Заказы!A:C,3,0)</f>
        <v>2024-01-28 22:38:00</v>
      </c>
      <c r="E6875" t="str">
        <f>VLOOKUP(C6875,Меню!A:E,4,0)</f>
        <v>Суши</v>
      </c>
      <c r="F6875">
        <f>VLOOKUP(C6875,Меню!A:E,5,0)</f>
        <v>200</v>
      </c>
    </row>
    <row r="6876" spans="1:6" ht="15.75" customHeight="1" x14ac:dyDescent="0.35">
      <c r="A6876" s="1">
        <v>6875</v>
      </c>
      <c r="B6876" s="1">
        <v>1368</v>
      </c>
      <c r="C6876" s="1">
        <v>37</v>
      </c>
      <c r="D6876" t="str">
        <f>VLOOKUP(B6876,Заказы!A:C,3,0)</f>
        <v>2024-01-28 22:38:00</v>
      </c>
      <c r="E6876" t="str">
        <f>VLOOKUP(C6876,Меню!A:E,4,0)</f>
        <v>Десерт</v>
      </c>
      <c r="F6876">
        <f>VLOOKUP(C6876,Меню!A:E,5,0)</f>
        <v>100</v>
      </c>
    </row>
    <row r="6877" spans="1:6" ht="15.75" hidden="1" customHeight="1" x14ac:dyDescent="0.35">
      <c r="A6877" s="1">
        <v>6876</v>
      </c>
      <c r="B6877" s="1">
        <v>1368</v>
      </c>
      <c r="C6877" s="1">
        <v>51</v>
      </c>
      <c r="D6877" t="str">
        <f>VLOOKUP(B6877,Заказы!A:C,3,0)</f>
        <v>2024-01-28 22:38:00</v>
      </c>
      <c r="E6877" t="str">
        <f>VLOOKUP(C6877,Меню!A:E,4,0)</f>
        <v>Суши</v>
      </c>
      <c r="F6877">
        <f>VLOOKUP(C6877,Меню!A:E,5,0)</f>
        <v>100</v>
      </c>
    </row>
    <row r="6878" spans="1:6" ht="15.75" hidden="1" customHeight="1" x14ac:dyDescent="0.35">
      <c r="A6878" s="1">
        <v>6877</v>
      </c>
      <c r="B6878" s="1">
        <v>1368</v>
      </c>
      <c r="C6878" s="1">
        <v>60</v>
      </c>
      <c r="D6878" t="str">
        <f>VLOOKUP(B6878,Заказы!A:C,3,0)</f>
        <v>2024-01-28 22:38:00</v>
      </c>
      <c r="E6878" t="str">
        <f>VLOOKUP(C6878,Меню!A:E,4,0)</f>
        <v>Суши</v>
      </c>
      <c r="F6878">
        <f>VLOOKUP(C6878,Меню!A:E,5,0)</f>
        <v>250</v>
      </c>
    </row>
    <row r="6879" spans="1:6" ht="15.75" hidden="1" customHeight="1" x14ac:dyDescent="0.35">
      <c r="A6879" s="1">
        <v>6878</v>
      </c>
      <c r="B6879" s="1">
        <v>1369</v>
      </c>
      <c r="C6879" s="1">
        <v>43</v>
      </c>
      <c r="D6879" t="str">
        <f>VLOOKUP(B6879,Заказы!A:C,3,0)</f>
        <v>2024-01-28 22:45:00</v>
      </c>
      <c r="E6879" t="str">
        <f>VLOOKUP(C6879,Меню!A:E,4,0)</f>
        <v>Суши</v>
      </c>
      <c r="F6879">
        <f>VLOOKUP(C6879,Меню!A:E,5,0)</f>
        <v>250</v>
      </c>
    </row>
    <row r="6880" spans="1:6" ht="15.75" hidden="1" customHeight="1" x14ac:dyDescent="0.35">
      <c r="A6880" s="1">
        <v>6879</v>
      </c>
      <c r="B6880" s="1">
        <v>1369</v>
      </c>
      <c r="C6880" s="1">
        <v>52</v>
      </c>
      <c r="D6880" t="str">
        <f>VLOOKUP(B6880,Заказы!A:C,3,0)</f>
        <v>2024-01-28 22:45:00</v>
      </c>
      <c r="E6880" t="str">
        <f>VLOOKUP(C6880,Меню!A:E,4,0)</f>
        <v>Суши</v>
      </c>
      <c r="F6880">
        <f>VLOOKUP(C6880,Меню!A:E,5,0)</f>
        <v>100</v>
      </c>
    </row>
    <row r="6881" spans="1:6" ht="15.75" hidden="1" customHeight="1" x14ac:dyDescent="0.35">
      <c r="A6881" s="1">
        <v>6880</v>
      </c>
      <c r="B6881" s="1">
        <v>1369</v>
      </c>
      <c r="C6881" s="1">
        <v>4</v>
      </c>
      <c r="D6881" t="str">
        <f>VLOOKUP(B6881,Заказы!A:C,3,0)</f>
        <v>2024-01-28 22:45:00</v>
      </c>
      <c r="E6881" t="str">
        <f>VLOOKUP(C6881,Меню!A:E,4,0)</f>
        <v>Завтрак</v>
      </c>
      <c r="F6881">
        <f>VLOOKUP(C6881,Меню!A:E,5,0)</f>
        <v>180</v>
      </c>
    </row>
    <row r="6882" spans="1:6" ht="15.75" hidden="1" customHeight="1" x14ac:dyDescent="0.35">
      <c r="A6882" s="1">
        <v>6881</v>
      </c>
      <c r="B6882" s="1">
        <v>1369</v>
      </c>
      <c r="C6882" s="1">
        <v>9</v>
      </c>
      <c r="D6882" t="str">
        <f>VLOOKUP(B6882,Заказы!A:C,3,0)</f>
        <v>2024-01-28 22:45:00</v>
      </c>
      <c r="E6882" t="str">
        <f>VLOOKUP(C6882,Меню!A:E,4,0)</f>
        <v>Завтрак</v>
      </c>
      <c r="F6882">
        <f>VLOOKUP(C6882,Меню!A:E,5,0)</f>
        <v>220</v>
      </c>
    </row>
    <row r="6883" spans="1:6" ht="15.75" customHeight="1" x14ac:dyDescent="0.35">
      <c r="A6883" s="1">
        <v>6882</v>
      </c>
      <c r="B6883" s="1">
        <v>1370</v>
      </c>
      <c r="C6883" s="1">
        <v>36</v>
      </c>
      <c r="D6883" t="str">
        <f>VLOOKUP(B6883,Заказы!A:C,3,0)</f>
        <v>2024-01-29 17:59:00</v>
      </c>
      <c r="E6883" t="str">
        <f>VLOOKUP(C6883,Меню!A:E,4,0)</f>
        <v>Десерт</v>
      </c>
      <c r="F6883">
        <f>VLOOKUP(C6883,Меню!A:E,5,0)</f>
        <v>150</v>
      </c>
    </row>
    <row r="6884" spans="1:6" ht="15.75" hidden="1" customHeight="1" x14ac:dyDescent="0.35">
      <c r="A6884" s="1">
        <v>6883</v>
      </c>
      <c r="B6884" s="1">
        <v>1370</v>
      </c>
      <c r="C6884" s="1">
        <v>12</v>
      </c>
      <c r="D6884" t="str">
        <f>VLOOKUP(B6884,Заказы!A:C,3,0)</f>
        <v>2024-01-29 17:59:00</v>
      </c>
      <c r="E6884" t="str">
        <f>VLOOKUP(C6884,Меню!A:E,4,0)</f>
        <v>Первое</v>
      </c>
      <c r="F6884">
        <f>VLOOKUP(C6884,Меню!A:E,5,0)</f>
        <v>300</v>
      </c>
    </row>
    <row r="6885" spans="1:6" ht="15.75" hidden="1" customHeight="1" x14ac:dyDescent="0.35">
      <c r="A6885" s="1">
        <v>6884</v>
      </c>
      <c r="B6885" s="1">
        <v>1370</v>
      </c>
      <c r="C6885" s="1">
        <v>13</v>
      </c>
      <c r="D6885" t="str">
        <f>VLOOKUP(B6885,Заказы!A:C,3,0)</f>
        <v>2024-01-29 17:59:00</v>
      </c>
      <c r="E6885" t="str">
        <f>VLOOKUP(C6885,Меню!A:E,4,0)</f>
        <v>Первое</v>
      </c>
      <c r="F6885">
        <f>VLOOKUP(C6885,Меню!A:E,5,0)</f>
        <v>280</v>
      </c>
    </row>
    <row r="6886" spans="1:6" ht="15.75" hidden="1" customHeight="1" x14ac:dyDescent="0.35">
      <c r="A6886" s="1">
        <v>6885</v>
      </c>
      <c r="B6886" s="1">
        <v>1370</v>
      </c>
      <c r="C6886" s="1">
        <v>43</v>
      </c>
      <c r="D6886" t="str">
        <f>VLOOKUP(B6886,Заказы!A:C,3,0)</f>
        <v>2024-01-29 17:59:00</v>
      </c>
      <c r="E6886" t="str">
        <f>VLOOKUP(C6886,Меню!A:E,4,0)</f>
        <v>Суши</v>
      </c>
      <c r="F6886">
        <f>VLOOKUP(C6886,Меню!A:E,5,0)</f>
        <v>250</v>
      </c>
    </row>
    <row r="6887" spans="1:6" ht="15.75" hidden="1" customHeight="1" x14ac:dyDescent="0.35">
      <c r="A6887" s="1">
        <v>6886</v>
      </c>
      <c r="B6887" s="1">
        <v>1370</v>
      </c>
      <c r="C6887" s="1">
        <v>3</v>
      </c>
      <c r="D6887" t="str">
        <f>VLOOKUP(B6887,Заказы!A:C,3,0)</f>
        <v>2024-01-29 17:59:00</v>
      </c>
      <c r="E6887" t="str">
        <f>VLOOKUP(C6887,Меню!A:E,4,0)</f>
        <v>Завтрак</v>
      </c>
      <c r="F6887">
        <f>VLOOKUP(C6887,Меню!A:E,5,0)</f>
        <v>150</v>
      </c>
    </row>
    <row r="6888" spans="1:6" ht="15.75" hidden="1" customHeight="1" x14ac:dyDescent="0.35">
      <c r="A6888" s="1">
        <v>6887</v>
      </c>
      <c r="B6888" s="1">
        <v>1371</v>
      </c>
      <c r="C6888" s="1">
        <v>48</v>
      </c>
      <c r="D6888" t="str">
        <f>VLOOKUP(B6888,Заказы!A:C,3,0)</f>
        <v>2024-01-29 21:24:00</v>
      </c>
      <c r="E6888" t="str">
        <f>VLOOKUP(C6888,Меню!A:E,4,0)</f>
        <v>Суши</v>
      </c>
      <c r="F6888">
        <f>VLOOKUP(C6888,Меню!A:E,5,0)</f>
        <v>200</v>
      </c>
    </row>
    <row r="6889" spans="1:6" ht="15.75" hidden="1" customHeight="1" x14ac:dyDescent="0.35">
      <c r="A6889" s="1">
        <v>6888</v>
      </c>
      <c r="B6889" s="1">
        <v>1371</v>
      </c>
      <c r="C6889" s="1">
        <v>23</v>
      </c>
      <c r="D6889" t="str">
        <f>VLOOKUP(B6889,Заказы!A:C,3,0)</f>
        <v>2024-01-29 21:24:00</v>
      </c>
      <c r="E6889" t="str">
        <f>VLOOKUP(C6889,Меню!A:E,4,0)</f>
        <v>Салат</v>
      </c>
      <c r="F6889">
        <f>VLOOKUP(C6889,Меню!A:E,5,0)</f>
        <v>250</v>
      </c>
    </row>
    <row r="6890" spans="1:6" ht="15.75" hidden="1" customHeight="1" x14ac:dyDescent="0.35">
      <c r="A6890" s="1">
        <v>6889</v>
      </c>
      <c r="B6890" s="1">
        <v>1371</v>
      </c>
      <c r="C6890" s="1">
        <v>42</v>
      </c>
      <c r="D6890" t="str">
        <f>VLOOKUP(B6890,Заказы!A:C,3,0)</f>
        <v>2024-01-29 21:24:00</v>
      </c>
      <c r="E6890" t="str">
        <f>VLOOKUP(C6890,Меню!A:E,4,0)</f>
        <v>Суши</v>
      </c>
      <c r="F6890">
        <f>VLOOKUP(C6890,Меню!A:E,5,0)</f>
        <v>250</v>
      </c>
    </row>
    <row r="6891" spans="1:6" ht="15.75" hidden="1" customHeight="1" x14ac:dyDescent="0.35">
      <c r="A6891" s="1">
        <v>6890</v>
      </c>
      <c r="B6891" s="1">
        <v>1371</v>
      </c>
      <c r="C6891" s="1">
        <v>9</v>
      </c>
      <c r="D6891" t="str">
        <f>VLOOKUP(B6891,Заказы!A:C,3,0)</f>
        <v>2024-01-29 21:24:00</v>
      </c>
      <c r="E6891" t="str">
        <f>VLOOKUP(C6891,Меню!A:E,4,0)</f>
        <v>Завтрак</v>
      </c>
      <c r="F6891">
        <f>VLOOKUP(C6891,Меню!A:E,5,0)</f>
        <v>220</v>
      </c>
    </row>
    <row r="6892" spans="1:6" ht="15.75" hidden="1" customHeight="1" x14ac:dyDescent="0.35">
      <c r="A6892" s="1">
        <v>6891</v>
      </c>
      <c r="B6892" s="1">
        <v>1371</v>
      </c>
      <c r="C6892" s="1">
        <v>7</v>
      </c>
      <c r="D6892" t="str">
        <f>VLOOKUP(B6892,Заказы!A:C,3,0)</f>
        <v>2024-01-29 21:24:00</v>
      </c>
      <c r="E6892" t="str">
        <f>VLOOKUP(C6892,Меню!A:E,4,0)</f>
        <v>Завтрак</v>
      </c>
      <c r="F6892">
        <f>VLOOKUP(C6892,Меню!A:E,5,0)</f>
        <v>200</v>
      </c>
    </row>
    <row r="6893" spans="1:6" ht="15.75" hidden="1" customHeight="1" x14ac:dyDescent="0.35">
      <c r="A6893" s="1">
        <v>6892</v>
      </c>
      <c r="B6893" s="1">
        <v>1372</v>
      </c>
      <c r="C6893" s="1">
        <v>59</v>
      </c>
      <c r="D6893" t="str">
        <f>VLOOKUP(B6893,Заказы!A:C,3,0)</f>
        <v>2024-01-30 16:15:00</v>
      </c>
      <c r="E6893" t="str">
        <f>VLOOKUP(C6893,Меню!A:E,4,0)</f>
        <v>Суши</v>
      </c>
      <c r="F6893">
        <f>VLOOKUP(C6893,Меню!A:E,5,0)</f>
        <v>300</v>
      </c>
    </row>
    <row r="6894" spans="1:6" ht="15.75" hidden="1" customHeight="1" x14ac:dyDescent="0.35">
      <c r="A6894" s="1">
        <v>6893</v>
      </c>
      <c r="B6894" s="1">
        <v>1372</v>
      </c>
      <c r="C6894" s="1">
        <v>8</v>
      </c>
      <c r="D6894" t="str">
        <f>VLOOKUP(B6894,Заказы!A:C,3,0)</f>
        <v>2024-01-30 16:15:00</v>
      </c>
      <c r="E6894" t="str">
        <f>VLOOKUP(C6894,Меню!A:E,4,0)</f>
        <v>Завтрак</v>
      </c>
      <c r="F6894">
        <f>VLOOKUP(C6894,Меню!A:E,5,0)</f>
        <v>180</v>
      </c>
    </row>
    <row r="6895" spans="1:6" ht="15.75" hidden="1" customHeight="1" x14ac:dyDescent="0.35">
      <c r="A6895" s="1">
        <v>6894</v>
      </c>
      <c r="B6895" s="1">
        <v>1372</v>
      </c>
      <c r="C6895" s="1">
        <v>42</v>
      </c>
      <c r="D6895" t="str">
        <f>VLOOKUP(B6895,Заказы!A:C,3,0)</f>
        <v>2024-01-30 16:15:00</v>
      </c>
      <c r="E6895" t="str">
        <f>VLOOKUP(C6895,Меню!A:E,4,0)</f>
        <v>Суши</v>
      </c>
      <c r="F6895">
        <f>VLOOKUP(C6895,Меню!A:E,5,0)</f>
        <v>250</v>
      </c>
    </row>
    <row r="6896" spans="1:6" ht="15.75" hidden="1" customHeight="1" x14ac:dyDescent="0.35">
      <c r="A6896" s="1">
        <v>6895</v>
      </c>
      <c r="B6896" s="1">
        <v>1373</v>
      </c>
      <c r="C6896" s="1">
        <v>54</v>
      </c>
      <c r="D6896" t="str">
        <f>VLOOKUP(B6896,Заказы!A:C,3,0)</f>
        <v>2024-01-31 15:09:00</v>
      </c>
      <c r="E6896" t="str">
        <f>VLOOKUP(C6896,Меню!A:E,4,0)</f>
        <v>Суши</v>
      </c>
      <c r="F6896">
        <f>VLOOKUP(C6896,Меню!A:E,5,0)</f>
        <v>100</v>
      </c>
    </row>
    <row r="6897" spans="1:6" ht="15.75" hidden="1" customHeight="1" x14ac:dyDescent="0.35">
      <c r="A6897" s="1">
        <v>6896</v>
      </c>
      <c r="B6897" s="1">
        <v>1373</v>
      </c>
      <c r="C6897" s="1">
        <v>55</v>
      </c>
      <c r="D6897" t="str">
        <f>VLOOKUP(B6897,Заказы!A:C,3,0)</f>
        <v>2024-01-31 15:09:00</v>
      </c>
      <c r="E6897" t="str">
        <f>VLOOKUP(C6897,Меню!A:E,4,0)</f>
        <v>Суши</v>
      </c>
      <c r="F6897">
        <f>VLOOKUP(C6897,Меню!A:E,5,0)</f>
        <v>100</v>
      </c>
    </row>
    <row r="6898" spans="1:6" ht="15.75" hidden="1" customHeight="1" x14ac:dyDescent="0.35">
      <c r="A6898" s="1">
        <v>6897</v>
      </c>
      <c r="B6898" s="1">
        <v>1373</v>
      </c>
      <c r="C6898" s="1">
        <v>56</v>
      </c>
      <c r="D6898" t="str">
        <f>VLOOKUP(B6898,Заказы!A:C,3,0)</f>
        <v>2024-01-31 15:09:00</v>
      </c>
      <c r="E6898" t="str">
        <f>VLOOKUP(C6898,Меню!A:E,4,0)</f>
        <v>Суши</v>
      </c>
      <c r="F6898">
        <f>VLOOKUP(C6898,Меню!A:E,5,0)</f>
        <v>200</v>
      </c>
    </row>
    <row r="6899" spans="1:6" ht="15.75" hidden="1" customHeight="1" x14ac:dyDescent="0.35">
      <c r="A6899" s="1">
        <v>6898</v>
      </c>
      <c r="B6899" s="1">
        <v>1373</v>
      </c>
      <c r="C6899" s="1">
        <v>3</v>
      </c>
      <c r="D6899" t="str">
        <f>VLOOKUP(B6899,Заказы!A:C,3,0)</f>
        <v>2024-01-31 15:09:00</v>
      </c>
      <c r="E6899" t="str">
        <f>VLOOKUP(C6899,Меню!A:E,4,0)</f>
        <v>Завтрак</v>
      </c>
      <c r="F6899">
        <f>VLOOKUP(C6899,Меню!A:E,5,0)</f>
        <v>150</v>
      </c>
    </row>
    <row r="6900" spans="1:6" ht="15.75" customHeight="1" x14ac:dyDescent="0.35">
      <c r="A6900" s="1">
        <v>6899</v>
      </c>
      <c r="B6900" s="1">
        <v>1374</v>
      </c>
      <c r="C6900" s="1">
        <v>32</v>
      </c>
      <c r="D6900" t="str">
        <f>VLOOKUP(B6900,Заказы!A:C,3,0)</f>
        <v>2024-01-31 20:38:00</v>
      </c>
      <c r="E6900" t="str">
        <f>VLOOKUP(C6900,Меню!A:E,4,0)</f>
        <v>Десерт</v>
      </c>
      <c r="F6900">
        <f>VLOOKUP(C6900,Меню!A:E,5,0)</f>
        <v>150</v>
      </c>
    </row>
    <row r="6901" spans="1:6" ht="15.75" hidden="1" customHeight="1" x14ac:dyDescent="0.35">
      <c r="A6901" s="1">
        <v>6900</v>
      </c>
      <c r="B6901" s="1">
        <v>1374</v>
      </c>
      <c r="C6901" s="1">
        <v>24</v>
      </c>
      <c r="D6901" t="str">
        <f>VLOOKUP(B6901,Заказы!A:C,3,0)</f>
        <v>2024-01-31 20:38:00</v>
      </c>
      <c r="E6901" t="str">
        <f>VLOOKUP(C6901,Меню!A:E,4,0)</f>
        <v>Салат</v>
      </c>
      <c r="F6901">
        <f>VLOOKUP(C6901,Меню!A:E,5,0)</f>
        <v>250</v>
      </c>
    </row>
    <row r="6902" spans="1:6" ht="15.75" hidden="1" customHeight="1" x14ac:dyDescent="0.35">
      <c r="A6902" s="1">
        <v>6901</v>
      </c>
      <c r="B6902" s="1">
        <v>1375</v>
      </c>
      <c r="C6902" s="1">
        <v>5</v>
      </c>
      <c r="D6902" t="str">
        <f>VLOOKUP(B6902,Заказы!A:C,3,0)</f>
        <v>2024-01-31 20:49:00</v>
      </c>
      <c r="E6902" t="str">
        <f>VLOOKUP(C6902,Меню!A:E,4,0)</f>
        <v>Завтрак</v>
      </c>
      <c r="F6902">
        <f>VLOOKUP(C6902,Меню!A:E,5,0)</f>
        <v>220</v>
      </c>
    </row>
    <row r="6903" spans="1:6" ht="15.75" customHeight="1" x14ac:dyDescent="0.35">
      <c r="A6903" s="1">
        <v>6902</v>
      </c>
      <c r="B6903" s="1">
        <v>1375</v>
      </c>
      <c r="C6903" s="1">
        <v>40</v>
      </c>
      <c r="D6903" t="str">
        <f>VLOOKUP(B6903,Заказы!A:C,3,0)</f>
        <v>2024-01-31 20:49:00</v>
      </c>
      <c r="E6903" t="str">
        <f>VLOOKUP(C6903,Меню!A:E,4,0)</f>
        <v>Десерт</v>
      </c>
      <c r="F6903">
        <f>VLOOKUP(C6903,Меню!A:E,5,0)</f>
        <v>150</v>
      </c>
    </row>
    <row r="6904" spans="1:6" ht="15.75" hidden="1" customHeight="1" x14ac:dyDescent="0.35">
      <c r="A6904" s="1">
        <v>6903</v>
      </c>
      <c r="B6904" s="1">
        <v>1375</v>
      </c>
      <c r="C6904" s="1">
        <v>53</v>
      </c>
      <c r="D6904" t="str">
        <f>VLOOKUP(B6904,Заказы!A:C,3,0)</f>
        <v>2024-01-31 20:49:00</v>
      </c>
      <c r="E6904" t="str">
        <f>VLOOKUP(C6904,Меню!A:E,4,0)</f>
        <v>Суши</v>
      </c>
      <c r="F6904">
        <f>VLOOKUP(C6904,Меню!A:E,5,0)</f>
        <v>100</v>
      </c>
    </row>
    <row r="6905" spans="1:6" ht="15.75" hidden="1" customHeight="1" x14ac:dyDescent="0.35">
      <c r="A6905" s="1">
        <v>6904</v>
      </c>
      <c r="B6905" s="1">
        <v>1375</v>
      </c>
      <c r="C6905" s="1">
        <v>29</v>
      </c>
      <c r="D6905" t="str">
        <f>VLOOKUP(B6905,Заказы!A:C,3,0)</f>
        <v>2024-01-31 20:49:00</v>
      </c>
      <c r="E6905" t="str">
        <f>VLOOKUP(C6905,Меню!A:E,4,0)</f>
        <v>Салат</v>
      </c>
      <c r="F6905">
        <f>VLOOKUP(C6905,Меню!A:E,5,0)</f>
        <v>250</v>
      </c>
    </row>
    <row r="6906" spans="1:6" ht="15.75" hidden="1" customHeight="1" x14ac:dyDescent="0.35">
      <c r="A6906" s="1">
        <v>6905</v>
      </c>
      <c r="B6906" s="1">
        <v>1375</v>
      </c>
      <c r="C6906" s="1">
        <v>19</v>
      </c>
      <c r="D6906" t="str">
        <f>VLOOKUP(B6906,Заказы!A:C,3,0)</f>
        <v>2024-01-31 20:49:00</v>
      </c>
      <c r="E6906" t="str">
        <f>VLOOKUP(C6906,Меню!A:E,4,0)</f>
        <v>Первое</v>
      </c>
      <c r="F6906">
        <f>VLOOKUP(C6906,Меню!A:E,5,0)</f>
        <v>300</v>
      </c>
    </row>
    <row r="6907" spans="1:6" ht="15.75" hidden="1" customHeight="1" x14ac:dyDescent="0.35">
      <c r="A6907" s="1">
        <v>6906</v>
      </c>
      <c r="B6907" s="1">
        <v>1375</v>
      </c>
      <c r="C6907" s="1">
        <v>44</v>
      </c>
      <c r="D6907" t="str">
        <f>VLOOKUP(B6907,Заказы!A:C,3,0)</f>
        <v>2024-01-31 20:49:00</v>
      </c>
      <c r="E6907" t="str">
        <f>VLOOKUP(C6907,Меню!A:E,4,0)</f>
        <v>Суши</v>
      </c>
      <c r="F6907">
        <f>VLOOKUP(C6907,Меню!A:E,5,0)</f>
        <v>250</v>
      </c>
    </row>
    <row r="6908" spans="1:6" ht="15.75" hidden="1" customHeight="1" x14ac:dyDescent="0.35">
      <c r="A6908" s="1">
        <v>6907</v>
      </c>
      <c r="B6908" s="1">
        <v>1375</v>
      </c>
      <c r="C6908" s="1">
        <v>20</v>
      </c>
      <c r="D6908" t="str">
        <f>VLOOKUP(B6908,Заказы!A:C,3,0)</f>
        <v>2024-01-31 20:49:00</v>
      </c>
      <c r="E6908" t="str">
        <f>VLOOKUP(C6908,Меню!A:E,4,0)</f>
        <v>Первое</v>
      </c>
      <c r="F6908">
        <f>VLOOKUP(C6908,Меню!A:E,5,0)</f>
        <v>250</v>
      </c>
    </row>
    <row r="6909" spans="1:6" ht="15.75" hidden="1" customHeight="1" x14ac:dyDescent="0.35">
      <c r="A6909" s="1">
        <v>6908</v>
      </c>
      <c r="B6909" s="1">
        <v>1376</v>
      </c>
      <c r="C6909" s="1">
        <v>46</v>
      </c>
      <c r="D6909" t="str">
        <f>VLOOKUP(B6909,Заказы!A:C,3,0)</f>
        <v>2024-01-31 22:28:00</v>
      </c>
      <c r="E6909" t="str">
        <f>VLOOKUP(C6909,Меню!A:E,4,0)</f>
        <v>Суши</v>
      </c>
      <c r="F6909">
        <f>VLOOKUP(C6909,Меню!A:E,5,0)</f>
        <v>200</v>
      </c>
    </row>
    <row r="6910" spans="1:6" ht="15.75" hidden="1" customHeight="1" x14ac:dyDescent="0.35">
      <c r="A6910" s="1">
        <v>6909</v>
      </c>
      <c r="B6910" s="1">
        <v>1376</v>
      </c>
      <c r="C6910" s="1">
        <v>10</v>
      </c>
      <c r="D6910" t="str">
        <f>VLOOKUP(B6910,Заказы!A:C,3,0)</f>
        <v>2024-01-31 22:28:00</v>
      </c>
      <c r="E6910" t="str">
        <f>VLOOKUP(C6910,Меню!A:E,4,0)</f>
        <v>Завтрак</v>
      </c>
      <c r="F6910">
        <f>VLOOKUP(C6910,Меню!A:E,5,0)</f>
        <v>200</v>
      </c>
    </row>
    <row r="6911" spans="1:6" ht="15.75" hidden="1" customHeight="1" x14ac:dyDescent="0.35">
      <c r="A6911" s="1">
        <v>6910</v>
      </c>
      <c r="B6911" s="1">
        <v>1376</v>
      </c>
      <c r="C6911" s="1">
        <v>19</v>
      </c>
      <c r="D6911" t="str">
        <f>VLOOKUP(B6911,Заказы!A:C,3,0)</f>
        <v>2024-01-31 22:28:00</v>
      </c>
      <c r="E6911" t="str">
        <f>VLOOKUP(C6911,Меню!A:E,4,0)</f>
        <v>Первое</v>
      </c>
      <c r="F6911">
        <f>VLOOKUP(C6911,Меню!A:E,5,0)</f>
        <v>300</v>
      </c>
    </row>
    <row r="6912" spans="1:6" ht="15.75" hidden="1" customHeight="1" x14ac:dyDescent="0.35">
      <c r="A6912" s="1">
        <v>6911</v>
      </c>
      <c r="B6912" s="1">
        <v>1377</v>
      </c>
      <c r="C6912" s="1">
        <v>53</v>
      </c>
      <c r="D6912" t="str">
        <f>VLOOKUP(B6912,Заказы!A:C,3,0)</f>
        <v>2024-02-01 17:03:00</v>
      </c>
      <c r="E6912" t="str">
        <f>VLOOKUP(C6912,Меню!A:E,4,0)</f>
        <v>Суши</v>
      </c>
      <c r="F6912">
        <f>VLOOKUP(C6912,Меню!A:E,5,0)</f>
        <v>100</v>
      </c>
    </row>
    <row r="6913" spans="1:6" ht="15.75" hidden="1" customHeight="1" x14ac:dyDescent="0.35">
      <c r="A6913" s="1">
        <v>6912</v>
      </c>
      <c r="B6913" s="1">
        <v>1377</v>
      </c>
      <c r="C6913" s="1">
        <v>20</v>
      </c>
      <c r="D6913" t="str">
        <f>VLOOKUP(B6913,Заказы!A:C,3,0)</f>
        <v>2024-02-01 17:03:00</v>
      </c>
      <c r="E6913" t="str">
        <f>VLOOKUP(C6913,Меню!A:E,4,0)</f>
        <v>Первое</v>
      </c>
      <c r="F6913">
        <f>VLOOKUP(C6913,Меню!A:E,5,0)</f>
        <v>250</v>
      </c>
    </row>
    <row r="6914" spans="1:6" ht="15.75" hidden="1" customHeight="1" x14ac:dyDescent="0.35">
      <c r="A6914" s="1">
        <v>6913</v>
      </c>
      <c r="B6914" s="1">
        <v>1377</v>
      </c>
      <c r="C6914" s="1">
        <v>40</v>
      </c>
      <c r="D6914" t="str">
        <f>VLOOKUP(B6914,Заказы!A:C,3,0)</f>
        <v>2024-02-01 17:03:00</v>
      </c>
      <c r="E6914" t="str">
        <f>VLOOKUP(C6914,Меню!A:E,4,0)</f>
        <v>Десерт</v>
      </c>
      <c r="F6914">
        <f>VLOOKUP(C6914,Меню!A:E,5,0)</f>
        <v>150</v>
      </c>
    </row>
    <row r="6915" spans="1:6" ht="15.75" hidden="1" customHeight="1" x14ac:dyDescent="0.35">
      <c r="A6915" s="1">
        <v>6914</v>
      </c>
      <c r="B6915" s="1">
        <v>1377</v>
      </c>
      <c r="C6915" s="1">
        <v>27</v>
      </c>
      <c r="D6915" t="str">
        <f>VLOOKUP(B6915,Заказы!A:C,3,0)</f>
        <v>2024-02-01 17:03:00</v>
      </c>
      <c r="E6915" t="str">
        <f>VLOOKUP(C6915,Меню!A:E,4,0)</f>
        <v>Салат</v>
      </c>
      <c r="F6915">
        <f>VLOOKUP(C6915,Меню!A:E,5,0)</f>
        <v>250</v>
      </c>
    </row>
    <row r="6916" spans="1:6" ht="15.75" hidden="1" customHeight="1" x14ac:dyDescent="0.35">
      <c r="A6916" s="1">
        <v>6915</v>
      </c>
      <c r="B6916" s="1">
        <v>1377</v>
      </c>
      <c r="C6916" s="1">
        <v>1</v>
      </c>
      <c r="D6916" t="str">
        <f>VLOOKUP(B6916,Заказы!A:C,3,0)</f>
        <v>2024-02-01 17:03:00</v>
      </c>
      <c r="E6916" t="str">
        <f>VLOOKUP(C6916,Меню!A:E,4,0)</f>
        <v>Завтрак</v>
      </c>
      <c r="F6916">
        <f>VLOOKUP(C6916,Меню!A:E,5,0)</f>
        <v>200</v>
      </c>
    </row>
    <row r="6917" spans="1:6" ht="15.75" hidden="1" customHeight="1" x14ac:dyDescent="0.35">
      <c r="A6917" s="1">
        <v>6916</v>
      </c>
      <c r="B6917" s="1">
        <v>1377</v>
      </c>
      <c r="C6917" s="1">
        <v>22</v>
      </c>
      <c r="D6917" t="str">
        <f>VLOOKUP(B6917,Заказы!A:C,3,0)</f>
        <v>2024-02-01 17:03:00</v>
      </c>
      <c r="E6917" t="str">
        <f>VLOOKUP(C6917,Меню!A:E,4,0)</f>
        <v>Салат</v>
      </c>
      <c r="F6917">
        <f>VLOOKUP(C6917,Меню!A:E,5,0)</f>
        <v>250</v>
      </c>
    </row>
    <row r="6918" spans="1:6" ht="15.75" hidden="1" customHeight="1" x14ac:dyDescent="0.35">
      <c r="A6918" s="1">
        <v>6917</v>
      </c>
      <c r="B6918" s="1">
        <v>1378</v>
      </c>
      <c r="C6918" s="1">
        <v>25</v>
      </c>
      <c r="D6918" t="str">
        <f>VLOOKUP(B6918,Заказы!A:C,3,0)</f>
        <v>2024-02-01 17:37:00</v>
      </c>
      <c r="E6918" t="str">
        <f>VLOOKUP(C6918,Меню!A:E,4,0)</f>
        <v>Салат</v>
      </c>
      <c r="F6918">
        <f>VLOOKUP(C6918,Меню!A:E,5,0)</f>
        <v>250</v>
      </c>
    </row>
    <row r="6919" spans="1:6" ht="15.75" hidden="1" customHeight="1" x14ac:dyDescent="0.35">
      <c r="A6919" s="1">
        <v>6918</v>
      </c>
      <c r="B6919" s="1">
        <v>1378</v>
      </c>
      <c r="C6919" s="1">
        <v>6</v>
      </c>
      <c r="D6919" t="str">
        <f>VLOOKUP(B6919,Заказы!A:C,3,0)</f>
        <v>2024-02-01 17:37:00</v>
      </c>
      <c r="E6919" t="str">
        <f>VLOOKUP(C6919,Меню!A:E,4,0)</f>
        <v>Завтрак</v>
      </c>
      <c r="F6919">
        <f>VLOOKUP(C6919,Меню!A:E,5,0)</f>
        <v>300</v>
      </c>
    </row>
    <row r="6920" spans="1:6" ht="15.75" hidden="1" customHeight="1" x14ac:dyDescent="0.35">
      <c r="A6920" s="1">
        <v>6919</v>
      </c>
      <c r="B6920" s="1">
        <v>1379</v>
      </c>
      <c r="C6920" s="1">
        <v>24</v>
      </c>
      <c r="D6920" t="str">
        <f>VLOOKUP(B6920,Заказы!A:C,3,0)</f>
        <v>2024-02-01 19:10:00</v>
      </c>
      <c r="E6920" t="str">
        <f>VLOOKUP(C6920,Меню!A:E,4,0)</f>
        <v>Салат</v>
      </c>
      <c r="F6920">
        <f>VLOOKUP(C6920,Меню!A:E,5,0)</f>
        <v>250</v>
      </c>
    </row>
    <row r="6921" spans="1:6" ht="15.75" hidden="1" customHeight="1" x14ac:dyDescent="0.35">
      <c r="A6921" s="1">
        <v>6920</v>
      </c>
      <c r="B6921" s="1">
        <v>1380</v>
      </c>
      <c r="C6921" s="1">
        <v>39</v>
      </c>
      <c r="D6921" t="str">
        <f>VLOOKUP(B6921,Заказы!A:C,3,0)</f>
        <v>2024-02-01 20:19:00</v>
      </c>
      <c r="E6921" t="str">
        <f>VLOOKUP(C6921,Меню!A:E,4,0)</f>
        <v>Десерт</v>
      </c>
      <c r="F6921">
        <f>VLOOKUP(C6921,Меню!A:E,5,0)</f>
        <v>150</v>
      </c>
    </row>
    <row r="6922" spans="1:6" ht="15.75" hidden="1" customHeight="1" x14ac:dyDescent="0.35">
      <c r="A6922" s="1">
        <v>6921</v>
      </c>
      <c r="B6922" s="1">
        <v>1380</v>
      </c>
      <c r="C6922" s="1">
        <v>1</v>
      </c>
      <c r="D6922" t="str">
        <f>VLOOKUP(B6922,Заказы!A:C,3,0)</f>
        <v>2024-02-01 20:19:00</v>
      </c>
      <c r="E6922" t="str">
        <f>VLOOKUP(C6922,Меню!A:E,4,0)</f>
        <v>Завтрак</v>
      </c>
      <c r="F6922">
        <f>VLOOKUP(C6922,Меню!A:E,5,0)</f>
        <v>200</v>
      </c>
    </row>
    <row r="6923" spans="1:6" ht="15.75" hidden="1" customHeight="1" x14ac:dyDescent="0.35">
      <c r="A6923" s="1">
        <v>6922</v>
      </c>
      <c r="B6923" s="1">
        <v>1380</v>
      </c>
      <c r="C6923" s="1">
        <v>2</v>
      </c>
      <c r="D6923" t="str">
        <f>VLOOKUP(B6923,Заказы!A:C,3,0)</f>
        <v>2024-02-01 20:19:00</v>
      </c>
      <c r="E6923" t="str">
        <f>VLOOKUP(C6923,Меню!A:E,4,0)</f>
        <v>Завтрак</v>
      </c>
      <c r="F6923">
        <f>VLOOKUP(C6923,Меню!A:E,5,0)</f>
        <v>250</v>
      </c>
    </row>
    <row r="6924" spans="1:6" ht="15.75" hidden="1" customHeight="1" x14ac:dyDescent="0.35">
      <c r="A6924" s="1">
        <v>6923</v>
      </c>
      <c r="B6924" s="1">
        <v>1380</v>
      </c>
      <c r="C6924" s="1">
        <v>7</v>
      </c>
      <c r="D6924" t="str">
        <f>VLOOKUP(B6924,Заказы!A:C,3,0)</f>
        <v>2024-02-01 20:19:00</v>
      </c>
      <c r="E6924" t="str">
        <f>VLOOKUP(C6924,Меню!A:E,4,0)</f>
        <v>Завтрак</v>
      </c>
      <c r="F6924">
        <f>VLOOKUP(C6924,Меню!A:E,5,0)</f>
        <v>200</v>
      </c>
    </row>
    <row r="6925" spans="1:6" ht="15.75" hidden="1" customHeight="1" x14ac:dyDescent="0.35">
      <c r="A6925" s="1">
        <v>6924</v>
      </c>
      <c r="B6925" s="1">
        <v>1380</v>
      </c>
      <c r="C6925" s="1">
        <v>35</v>
      </c>
      <c r="D6925" t="str">
        <f>VLOOKUP(B6925,Заказы!A:C,3,0)</f>
        <v>2024-02-01 20:19:00</v>
      </c>
      <c r="E6925" t="str">
        <f>VLOOKUP(C6925,Меню!A:E,4,0)</f>
        <v>Десерт</v>
      </c>
      <c r="F6925">
        <f>VLOOKUP(C6925,Меню!A:E,5,0)</f>
        <v>150</v>
      </c>
    </row>
    <row r="6926" spans="1:6" ht="15.75" hidden="1" customHeight="1" x14ac:dyDescent="0.35">
      <c r="A6926" s="1">
        <v>6925</v>
      </c>
      <c r="B6926" s="1">
        <v>1381</v>
      </c>
      <c r="C6926" s="1">
        <v>7</v>
      </c>
      <c r="D6926" t="str">
        <f>VLOOKUP(B6926,Заказы!A:C,3,0)</f>
        <v>2024-02-01 20:57:00</v>
      </c>
      <c r="E6926" t="str">
        <f>VLOOKUP(C6926,Меню!A:E,4,0)</f>
        <v>Завтрак</v>
      </c>
      <c r="F6926">
        <f>VLOOKUP(C6926,Меню!A:E,5,0)</f>
        <v>200</v>
      </c>
    </row>
    <row r="6927" spans="1:6" ht="15.75" hidden="1" customHeight="1" x14ac:dyDescent="0.35">
      <c r="A6927" s="1">
        <v>6926</v>
      </c>
      <c r="B6927" s="1">
        <v>1381</v>
      </c>
      <c r="C6927" s="1">
        <v>54</v>
      </c>
      <c r="D6927" t="str">
        <f>VLOOKUP(B6927,Заказы!A:C,3,0)</f>
        <v>2024-02-01 20:57:00</v>
      </c>
      <c r="E6927" t="str">
        <f>VLOOKUP(C6927,Меню!A:E,4,0)</f>
        <v>Суши</v>
      </c>
      <c r="F6927">
        <f>VLOOKUP(C6927,Меню!A:E,5,0)</f>
        <v>100</v>
      </c>
    </row>
    <row r="6928" spans="1:6" ht="15.75" hidden="1" customHeight="1" x14ac:dyDescent="0.35">
      <c r="A6928" s="1">
        <v>6927</v>
      </c>
      <c r="B6928" s="1">
        <v>1381</v>
      </c>
      <c r="C6928" s="1">
        <v>22</v>
      </c>
      <c r="D6928" t="str">
        <f>VLOOKUP(B6928,Заказы!A:C,3,0)</f>
        <v>2024-02-01 20:57:00</v>
      </c>
      <c r="E6928" t="str">
        <f>VLOOKUP(C6928,Меню!A:E,4,0)</f>
        <v>Салат</v>
      </c>
      <c r="F6928">
        <f>VLOOKUP(C6928,Меню!A:E,5,0)</f>
        <v>250</v>
      </c>
    </row>
    <row r="6929" spans="1:6" ht="15.75" hidden="1" customHeight="1" x14ac:dyDescent="0.35">
      <c r="A6929" s="1">
        <v>6928</v>
      </c>
      <c r="B6929" s="1">
        <v>1381</v>
      </c>
      <c r="C6929" s="1">
        <v>30</v>
      </c>
      <c r="D6929" t="str">
        <f>VLOOKUP(B6929,Заказы!A:C,3,0)</f>
        <v>2024-02-01 20:57:00</v>
      </c>
      <c r="E6929" t="str">
        <f>VLOOKUP(C6929,Меню!A:E,4,0)</f>
        <v>Салат</v>
      </c>
      <c r="F6929">
        <f>VLOOKUP(C6929,Меню!A:E,5,0)</f>
        <v>250</v>
      </c>
    </row>
    <row r="6930" spans="1:6" ht="15.75" hidden="1" customHeight="1" x14ac:dyDescent="0.35">
      <c r="A6930" s="1">
        <v>6929</v>
      </c>
      <c r="B6930" s="1">
        <v>1382</v>
      </c>
      <c r="C6930" s="1">
        <v>56</v>
      </c>
      <c r="D6930" t="str">
        <f>VLOOKUP(B6930,Заказы!A:C,3,0)</f>
        <v>2024-02-01 21:05:00</v>
      </c>
      <c r="E6930" t="str">
        <f>VLOOKUP(C6930,Меню!A:E,4,0)</f>
        <v>Суши</v>
      </c>
      <c r="F6930">
        <f>VLOOKUP(C6930,Меню!A:E,5,0)</f>
        <v>200</v>
      </c>
    </row>
    <row r="6931" spans="1:6" ht="15.75" hidden="1" customHeight="1" x14ac:dyDescent="0.35">
      <c r="A6931" s="1">
        <v>6930</v>
      </c>
      <c r="B6931" s="1">
        <v>1382</v>
      </c>
      <c r="C6931" s="1">
        <v>57</v>
      </c>
      <c r="D6931" t="str">
        <f>VLOOKUP(B6931,Заказы!A:C,3,0)</f>
        <v>2024-02-01 21:05:00</v>
      </c>
      <c r="E6931" t="str">
        <f>VLOOKUP(C6931,Меню!A:E,4,0)</f>
        <v>Суши</v>
      </c>
      <c r="F6931">
        <f>VLOOKUP(C6931,Меню!A:E,5,0)</f>
        <v>200</v>
      </c>
    </row>
    <row r="6932" spans="1:6" ht="15.75" hidden="1" customHeight="1" x14ac:dyDescent="0.35">
      <c r="A6932" s="1">
        <v>6931</v>
      </c>
      <c r="B6932" s="1">
        <v>1382</v>
      </c>
      <c r="C6932" s="1">
        <v>19</v>
      </c>
      <c r="D6932" t="str">
        <f>VLOOKUP(B6932,Заказы!A:C,3,0)</f>
        <v>2024-02-01 21:05:00</v>
      </c>
      <c r="E6932" t="str">
        <f>VLOOKUP(C6932,Меню!A:E,4,0)</f>
        <v>Первое</v>
      </c>
      <c r="F6932">
        <f>VLOOKUP(C6932,Меню!A:E,5,0)</f>
        <v>300</v>
      </c>
    </row>
    <row r="6933" spans="1:6" ht="15.75" hidden="1" customHeight="1" x14ac:dyDescent="0.35">
      <c r="A6933" s="1">
        <v>6932</v>
      </c>
      <c r="B6933" s="1">
        <v>1382</v>
      </c>
      <c r="C6933" s="1">
        <v>47</v>
      </c>
      <c r="D6933" t="str">
        <f>VLOOKUP(B6933,Заказы!A:C,3,0)</f>
        <v>2024-02-01 21:05:00</v>
      </c>
      <c r="E6933" t="str">
        <f>VLOOKUP(C6933,Меню!A:E,4,0)</f>
        <v>Суши</v>
      </c>
      <c r="F6933">
        <f>VLOOKUP(C6933,Меню!A:E,5,0)</f>
        <v>200</v>
      </c>
    </row>
    <row r="6934" spans="1:6" ht="15.75" hidden="1" customHeight="1" x14ac:dyDescent="0.35">
      <c r="A6934" s="1">
        <v>6933</v>
      </c>
      <c r="B6934" s="1">
        <v>1382</v>
      </c>
      <c r="C6934" s="1">
        <v>45</v>
      </c>
      <c r="D6934" t="str">
        <f>VLOOKUP(B6934,Заказы!A:C,3,0)</f>
        <v>2024-02-01 21:05:00</v>
      </c>
      <c r="E6934" t="str">
        <f>VLOOKUP(C6934,Меню!A:E,4,0)</f>
        <v>Суши</v>
      </c>
      <c r="F6934">
        <f>VLOOKUP(C6934,Меню!A:E,5,0)</f>
        <v>200</v>
      </c>
    </row>
    <row r="6935" spans="1:6" ht="15.75" hidden="1" customHeight="1" x14ac:dyDescent="0.35">
      <c r="A6935" s="1">
        <v>6934</v>
      </c>
      <c r="B6935" s="1">
        <v>1382</v>
      </c>
      <c r="C6935" s="1">
        <v>40</v>
      </c>
      <c r="D6935" t="str">
        <f>VLOOKUP(B6935,Заказы!A:C,3,0)</f>
        <v>2024-02-01 21:05:00</v>
      </c>
      <c r="E6935" t="str">
        <f>VLOOKUP(C6935,Меню!A:E,4,0)</f>
        <v>Десерт</v>
      </c>
      <c r="F6935">
        <f>VLOOKUP(C6935,Меню!A:E,5,0)</f>
        <v>150</v>
      </c>
    </row>
    <row r="6936" spans="1:6" ht="15.75" hidden="1" customHeight="1" x14ac:dyDescent="0.35">
      <c r="A6936" s="1">
        <v>6935</v>
      </c>
      <c r="B6936" s="1">
        <v>1383</v>
      </c>
      <c r="C6936" s="1">
        <v>24</v>
      </c>
      <c r="D6936" t="str">
        <f>VLOOKUP(B6936,Заказы!A:C,3,0)</f>
        <v>2024-02-02 15:02:00</v>
      </c>
      <c r="E6936" t="str">
        <f>VLOOKUP(C6936,Меню!A:E,4,0)</f>
        <v>Салат</v>
      </c>
      <c r="F6936">
        <f>VLOOKUP(C6936,Меню!A:E,5,0)</f>
        <v>250</v>
      </c>
    </row>
    <row r="6937" spans="1:6" ht="15.75" hidden="1" customHeight="1" x14ac:dyDescent="0.35">
      <c r="A6937" s="1">
        <v>6936</v>
      </c>
      <c r="B6937" s="1">
        <v>1383</v>
      </c>
      <c r="C6937" s="1">
        <v>36</v>
      </c>
      <c r="D6937" t="str">
        <f>VLOOKUP(B6937,Заказы!A:C,3,0)</f>
        <v>2024-02-02 15:02:00</v>
      </c>
      <c r="E6937" t="str">
        <f>VLOOKUP(C6937,Меню!A:E,4,0)</f>
        <v>Десерт</v>
      </c>
      <c r="F6937">
        <f>VLOOKUP(C6937,Меню!A:E,5,0)</f>
        <v>150</v>
      </c>
    </row>
    <row r="6938" spans="1:6" ht="15.75" hidden="1" customHeight="1" x14ac:dyDescent="0.35">
      <c r="A6938" s="1">
        <v>6937</v>
      </c>
      <c r="B6938" s="1">
        <v>1383</v>
      </c>
      <c r="C6938" s="1">
        <v>21</v>
      </c>
      <c r="D6938" t="str">
        <f>VLOOKUP(B6938,Заказы!A:C,3,0)</f>
        <v>2024-02-02 15:02:00</v>
      </c>
      <c r="E6938" t="str">
        <f>VLOOKUP(C6938,Меню!A:E,4,0)</f>
        <v>Салат</v>
      </c>
      <c r="F6938">
        <f>VLOOKUP(C6938,Меню!A:E,5,0)</f>
        <v>250</v>
      </c>
    </row>
    <row r="6939" spans="1:6" ht="15.75" hidden="1" customHeight="1" x14ac:dyDescent="0.35">
      <c r="A6939" s="1">
        <v>6938</v>
      </c>
      <c r="B6939" s="1">
        <v>1383</v>
      </c>
      <c r="C6939" s="1">
        <v>7</v>
      </c>
      <c r="D6939" t="str">
        <f>VLOOKUP(B6939,Заказы!A:C,3,0)</f>
        <v>2024-02-02 15:02:00</v>
      </c>
      <c r="E6939" t="str">
        <f>VLOOKUP(C6939,Меню!A:E,4,0)</f>
        <v>Завтрак</v>
      </c>
      <c r="F6939">
        <f>VLOOKUP(C6939,Меню!A:E,5,0)</f>
        <v>200</v>
      </c>
    </row>
    <row r="6940" spans="1:6" ht="15.75" hidden="1" customHeight="1" x14ac:dyDescent="0.35">
      <c r="A6940" s="1">
        <v>6939</v>
      </c>
      <c r="B6940" s="1">
        <v>1383</v>
      </c>
      <c r="C6940" s="1">
        <v>4</v>
      </c>
      <c r="D6940" t="str">
        <f>VLOOKUP(B6940,Заказы!A:C,3,0)</f>
        <v>2024-02-02 15:02:00</v>
      </c>
      <c r="E6940" t="str">
        <f>VLOOKUP(C6940,Меню!A:E,4,0)</f>
        <v>Завтрак</v>
      </c>
      <c r="F6940">
        <f>VLOOKUP(C6940,Меню!A:E,5,0)</f>
        <v>180</v>
      </c>
    </row>
    <row r="6941" spans="1:6" ht="15.75" hidden="1" customHeight="1" x14ac:dyDescent="0.35">
      <c r="A6941" s="1">
        <v>6940</v>
      </c>
      <c r="B6941" s="1">
        <v>1384</v>
      </c>
      <c r="C6941" s="1">
        <v>33</v>
      </c>
      <c r="D6941" t="str">
        <f>VLOOKUP(B6941,Заказы!A:C,3,0)</f>
        <v>2024-02-02 16:20:00</v>
      </c>
      <c r="E6941" t="str">
        <f>VLOOKUP(C6941,Меню!A:E,4,0)</f>
        <v>Десерт</v>
      </c>
      <c r="F6941">
        <f>VLOOKUP(C6941,Меню!A:E,5,0)</f>
        <v>150</v>
      </c>
    </row>
    <row r="6942" spans="1:6" ht="15.75" hidden="1" customHeight="1" x14ac:dyDescent="0.35">
      <c r="A6942" s="1">
        <v>6941</v>
      </c>
      <c r="B6942" s="1">
        <v>1384</v>
      </c>
      <c r="C6942" s="1">
        <v>7</v>
      </c>
      <c r="D6942" t="str">
        <f>VLOOKUP(B6942,Заказы!A:C,3,0)</f>
        <v>2024-02-02 16:20:00</v>
      </c>
      <c r="E6942" t="str">
        <f>VLOOKUP(C6942,Меню!A:E,4,0)</f>
        <v>Завтрак</v>
      </c>
      <c r="F6942">
        <f>VLOOKUP(C6942,Меню!A:E,5,0)</f>
        <v>200</v>
      </c>
    </row>
    <row r="6943" spans="1:6" ht="15.75" hidden="1" customHeight="1" x14ac:dyDescent="0.35">
      <c r="A6943" s="1">
        <v>6942</v>
      </c>
      <c r="B6943" s="1">
        <v>1384</v>
      </c>
      <c r="C6943" s="1">
        <v>21</v>
      </c>
      <c r="D6943" t="str">
        <f>VLOOKUP(B6943,Заказы!A:C,3,0)</f>
        <v>2024-02-02 16:20:00</v>
      </c>
      <c r="E6943" t="str">
        <f>VLOOKUP(C6943,Меню!A:E,4,0)</f>
        <v>Салат</v>
      </c>
      <c r="F6943">
        <f>VLOOKUP(C6943,Меню!A:E,5,0)</f>
        <v>250</v>
      </c>
    </row>
    <row r="6944" spans="1:6" ht="15.75" hidden="1" customHeight="1" x14ac:dyDescent="0.35">
      <c r="A6944" s="1">
        <v>6943</v>
      </c>
      <c r="B6944" s="1">
        <v>1384</v>
      </c>
      <c r="C6944" s="1">
        <v>29</v>
      </c>
      <c r="D6944" t="str">
        <f>VLOOKUP(B6944,Заказы!A:C,3,0)</f>
        <v>2024-02-02 16:20:00</v>
      </c>
      <c r="E6944" t="str">
        <f>VLOOKUP(C6944,Меню!A:E,4,0)</f>
        <v>Салат</v>
      </c>
      <c r="F6944">
        <f>VLOOKUP(C6944,Меню!A:E,5,0)</f>
        <v>250</v>
      </c>
    </row>
    <row r="6945" spans="1:6" ht="15.75" hidden="1" customHeight="1" x14ac:dyDescent="0.35">
      <c r="A6945" s="1">
        <v>6944</v>
      </c>
      <c r="B6945" s="1">
        <v>1384</v>
      </c>
      <c r="C6945" s="1">
        <v>33</v>
      </c>
      <c r="D6945" t="str">
        <f>VLOOKUP(B6945,Заказы!A:C,3,0)</f>
        <v>2024-02-02 16:20:00</v>
      </c>
      <c r="E6945" t="str">
        <f>VLOOKUP(C6945,Меню!A:E,4,0)</f>
        <v>Десерт</v>
      </c>
      <c r="F6945">
        <f>VLOOKUP(C6945,Меню!A:E,5,0)</f>
        <v>150</v>
      </c>
    </row>
    <row r="6946" spans="1:6" ht="15.75" hidden="1" customHeight="1" x14ac:dyDescent="0.35">
      <c r="A6946" s="1">
        <v>6945</v>
      </c>
      <c r="B6946" s="1">
        <v>1384</v>
      </c>
      <c r="C6946" s="1">
        <v>13</v>
      </c>
      <c r="D6946" t="str">
        <f>VLOOKUP(B6946,Заказы!A:C,3,0)</f>
        <v>2024-02-02 16:20:00</v>
      </c>
      <c r="E6946" t="str">
        <f>VLOOKUP(C6946,Меню!A:E,4,0)</f>
        <v>Первое</v>
      </c>
      <c r="F6946">
        <f>VLOOKUP(C6946,Меню!A:E,5,0)</f>
        <v>280</v>
      </c>
    </row>
    <row r="6947" spans="1:6" ht="15.75" hidden="1" customHeight="1" x14ac:dyDescent="0.35">
      <c r="A6947" s="1">
        <v>6946</v>
      </c>
      <c r="B6947" s="1">
        <v>1384</v>
      </c>
      <c r="C6947" s="1">
        <v>11</v>
      </c>
      <c r="D6947" t="str">
        <f>VLOOKUP(B6947,Заказы!A:C,3,0)</f>
        <v>2024-02-02 16:20:00</v>
      </c>
      <c r="E6947" t="str">
        <f>VLOOKUP(C6947,Меню!A:E,4,0)</f>
        <v>Первое</v>
      </c>
      <c r="F6947">
        <f>VLOOKUP(C6947,Меню!A:E,5,0)</f>
        <v>300</v>
      </c>
    </row>
    <row r="6948" spans="1:6" ht="15.75" hidden="1" customHeight="1" x14ac:dyDescent="0.35">
      <c r="A6948" s="1">
        <v>6947</v>
      </c>
      <c r="B6948" s="1">
        <v>1385</v>
      </c>
      <c r="C6948" s="1">
        <v>29</v>
      </c>
      <c r="D6948" t="str">
        <f>VLOOKUP(B6948,Заказы!A:C,3,0)</f>
        <v>2024-02-02 20:00:00</v>
      </c>
      <c r="E6948" t="str">
        <f>VLOOKUP(C6948,Меню!A:E,4,0)</f>
        <v>Салат</v>
      </c>
      <c r="F6948">
        <f>VLOOKUP(C6948,Меню!A:E,5,0)</f>
        <v>250</v>
      </c>
    </row>
    <row r="6949" spans="1:6" ht="15.75" hidden="1" customHeight="1" x14ac:dyDescent="0.35">
      <c r="A6949" s="1">
        <v>6948</v>
      </c>
      <c r="B6949" s="1">
        <v>1385</v>
      </c>
      <c r="C6949" s="1">
        <v>19</v>
      </c>
      <c r="D6949" t="str">
        <f>VLOOKUP(B6949,Заказы!A:C,3,0)</f>
        <v>2024-02-02 20:00:00</v>
      </c>
      <c r="E6949" t="str">
        <f>VLOOKUP(C6949,Меню!A:E,4,0)</f>
        <v>Первое</v>
      </c>
      <c r="F6949">
        <f>VLOOKUP(C6949,Меню!A:E,5,0)</f>
        <v>300</v>
      </c>
    </row>
    <row r="6950" spans="1:6" ht="15.75" hidden="1" customHeight="1" x14ac:dyDescent="0.35">
      <c r="A6950" s="1">
        <v>6949</v>
      </c>
      <c r="B6950" s="1">
        <v>1386</v>
      </c>
      <c r="C6950" s="1">
        <v>9</v>
      </c>
      <c r="D6950" t="str">
        <f>VLOOKUP(B6950,Заказы!A:C,3,0)</f>
        <v>2024-02-02 20:36:00</v>
      </c>
      <c r="E6950" t="str">
        <f>VLOOKUP(C6950,Меню!A:E,4,0)</f>
        <v>Завтрак</v>
      </c>
      <c r="F6950">
        <f>VLOOKUP(C6950,Меню!A:E,5,0)</f>
        <v>220</v>
      </c>
    </row>
    <row r="6951" spans="1:6" ht="15.75" hidden="1" customHeight="1" x14ac:dyDescent="0.35">
      <c r="A6951" s="1">
        <v>6950</v>
      </c>
      <c r="B6951" s="1">
        <v>1386</v>
      </c>
      <c r="C6951" s="1">
        <v>33</v>
      </c>
      <c r="D6951" t="str">
        <f>VLOOKUP(B6951,Заказы!A:C,3,0)</f>
        <v>2024-02-02 20:36:00</v>
      </c>
      <c r="E6951" t="str">
        <f>VLOOKUP(C6951,Меню!A:E,4,0)</f>
        <v>Десерт</v>
      </c>
      <c r="F6951">
        <f>VLOOKUP(C6951,Меню!A:E,5,0)</f>
        <v>150</v>
      </c>
    </row>
    <row r="6952" spans="1:6" ht="15.75" hidden="1" customHeight="1" x14ac:dyDescent="0.35">
      <c r="A6952" s="1">
        <v>6951</v>
      </c>
      <c r="B6952" s="1">
        <v>1386</v>
      </c>
      <c r="C6952" s="1">
        <v>1</v>
      </c>
      <c r="D6952" t="str">
        <f>VLOOKUP(B6952,Заказы!A:C,3,0)</f>
        <v>2024-02-02 20:36:00</v>
      </c>
      <c r="E6952" t="str">
        <f>VLOOKUP(C6952,Меню!A:E,4,0)</f>
        <v>Завтрак</v>
      </c>
      <c r="F6952">
        <f>VLOOKUP(C6952,Меню!A:E,5,0)</f>
        <v>200</v>
      </c>
    </row>
    <row r="6953" spans="1:6" ht="15.75" hidden="1" customHeight="1" x14ac:dyDescent="0.35">
      <c r="A6953" s="1">
        <v>6952</v>
      </c>
      <c r="B6953" s="1">
        <v>1386</v>
      </c>
      <c r="C6953" s="1">
        <v>29</v>
      </c>
      <c r="D6953" t="str">
        <f>VLOOKUP(B6953,Заказы!A:C,3,0)</f>
        <v>2024-02-02 20:36:00</v>
      </c>
      <c r="E6953" t="str">
        <f>VLOOKUP(C6953,Меню!A:E,4,0)</f>
        <v>Салат</v>
      </c>
      <c r="F6953">
        <f>VLOOKUP(C6953,Меню!A:E,5,0)</f>
        <v>250</v>
      </c>
    </row>
    <row r="6954" spans="1:6" ht="15.75" hidden="1" customHeight="1" x14ac:dyDescent="0.35">
      <c r="A6954" s="1">
        <v>6953</v>
      </c>
      <c r="B6954" s="1">
        <v>1387</v>
      </c>
      <c r="C6954" s="1">
        <v>50</v>
      </c>
      <c r="D6954" t="str">
        <f>VLOOKUP(B6954,Заказы!A:C,3,0)</f>
        <v>2024-02-03 15:45:00</v>
      </c>
      <c r="E6954" t="str">
        <f>VLOOKUP(C6954,Меню!A:E,4,0)</f>
        <v>Суши</v>
      </c>
      <c r="F6954">
        <f>VLOOKUP(C6954,Меню!A:E,5,0)</f>
        <v>200</v>
      </c>
    </row>
    <row r="6955" spans="1:6" ht="15.75" hidden="1" customHeight="1" x14ac:dyDescent="0.35">
      <c r="A6955" s="1">
        <v>6954</v>
      </c>
      <c r="B6955" s="1">
        <v>1387</v>
      </c>
      <c r="C6955" s="1">
        <v>28</v>
      </c>
      <c r="D6955" t="str">
        <f>VLOOKUP(B6955,Заказы!A:C,3,0)</f>
        <v>2024-02-03 15:45:00</v>
      </c>
      <c r="E6955" t="str">
        <f>VLOOKUP(C6955,Меню!A:E,4,0)</f>
        <v>Салат</v>
      </c>
      <c r="F6955">
        <f>VLOOKUP(C6955,Меню!A:E,5,0)</f>
        <v>250</v>
      </c>
    </row>
    <row r="6956" spans="1:6" ht="15.75" hidden="1" customHeight="1" x14ac:dyDescent="0.35">
      <c r="A6956" s="1">
        <v>6955</v>
      </c>
      <c r="B6956" s="1">
        <v>1387</v>
      </c>
      <c r="C6956" s="1">
        <v>1</v>
      </c>
      <c r="D6956" t="str">
        <f>VLOOKUP(B6956,Заказы!A:C,3,0)</f>
        <v>2024-02-03 15:45:00</v>
      </c>
      <c r="E6956" t="str">
        <f>VLOOKUP(C6956,Меню!A:E,4,0)</f>
        <v>Завтрак</v>
      </c>
      <c r="F6956">
        <f>VLOOKUP(C6956,Меню!A:E,5,0)</f>
        <v>200</v>
      </c>
    </row>
    <row r="6957" spans="1:6" ht="15.75" hidden="1" customHeight="1" x14ac:dyDescent="0.35">
      <c r="A6957" s="1">
        <v>6956</v>
      </c>
      <c r="B6957" s="1">
        <v>1387</v>
      </c>
      <c r="C6957" s="1">
        <v>29</v>
      </c>
      <c r="D6957" t="str">
        <f>VLOOKUP(B6957,Заказы!A:C,3,0)</f>
        <v>2024-02-03 15:45:00</v>
      </c>
      <c r="E6957" t="str">
        <f>VLOOKUP(C6957,Меню!A:E,4,0)</f>
        <v>Салат</v>
      </c>
      <c r="F6957">
        <f>VLOOKUP(C6957,Меню!A:E,5,0)</f>
        <v>250</v>
      </c>
    </row>
    <row r="6958" spans="1:6" ht="15.75" hidden="1" customHeight="1" x14ac:dyDescent="0.35">
      <c r="A6958" s="1">
        <v>6957</v>
      </c>
      <c r="B6958" s="1">
        <v>1387</v>
      </c>
      <c r="C6958" s="1">
        <v>28</v>
      </c>
      <c r="D6958" t="str">
        <f>VLOOKUP(B6958,Заказы!A:C,3,0)</f>
        <v>2024-02-03 15:45:00</v>
      </c>
      <c r="E6958" t="str">
        <f>VLOOKUP(C6958,Меню!A:E,4,0)</f>
        <v>Салат</v>
      </c>
      <c r="F6958">
        <f>VLOOKUP(C6958,Меню!A:E,5,0)</f>
        <v>250</v>
      </c>
    </row>
    <row r="6959" spans="1:6" ht="15.75" hidden="1" customHeight="1" x14ac:dyDescent="0.35">
      <c r="A6959" s="1">
        <v>6958</v>
      </c>
      <c r="B6959" s="1">
        <v>1387</v>
      </c>
      <c r="C6959" s="1">
        <v>37</v>
      </c>
      <c r="D6959" t="str">
        <f>VLOOKUP(B6959,Заказы!A:C,3,0)</f>
        <v>2024-02-03 15:45:00</v>
      </c>
      <c r="E6959" t="str">
        <f>VLOOKUP(C6959,Меню!A:E,4,0)</f>
        <v>Десерт</v>
      </c>
      <c r="F6959">
        <f>VLOOKUP(C6959,Меню!A:E,5,0)</f>
        <v>100</v>
      </c>
    </row>
    <row r="6960" spans="1:6" ht="15.75" hidden="1" customHeight="1" x14ac:dyDescent="0.35">
      <c r="A6960" s="1">
        <v>6959</v>
      </c>
      <c r="B6960" s="1">
        <v>1387</v>
      </c>
      <c r="C6960" s="1">
        <v>15</v>
      </c>
      <c r="D6960" t="str">
        <f>VLOOKUP(B6960,Заказы!A:C,3,0)</f>
        <v>2024-02-03 15:45:00</v>
      </c>
      <c r="E6960" t="str">
        <f>VLOOKUP(C6960,Меню!A:E,4,0)</f>
        <v>Первое</v>
      </c>
      <c r="F6960">
        <f>VLOOKUP(C6960,Меню!A:E,5,0)</f>
        <v>250</v>
      </c>
    </row>
    <row r="6961" spans="1:6" ht="15.75" hidden="1" customHeight="1" x14ac:dyDescent="0.35">
      <c r="A6961" s="1">
        <v>6960</v>
      </c>
      <c r="B6961" s="1">
        <v>1387</v>
      </c>
      <c r="C6961" s="1">
        <v>9</v>
      </c>
      <c r="D6961" t="str">
        <f>VLOOKUP(B6961,Заказы!A:C,3,0)</f>
        <v>2024-02-03 15:45:00</v>
      </c>
      <c r="E6961" t="str">
        <f>VLOOKUP(C6961,Меню!A:E,4,0)</f>
        <v>Завтрак</v>
      </c>
      <c r="F6961">
        <f>VLOOKUP(C6961,Меню!A:E,5,0)</f>
        <v>220</v>
      </c>
    </row>
    <row r="6962" spans="1:6" ht="15.75" hidden="1" customHeight="1" x14ac:dyDescent="0.35">
      <c r="A6962" s="1">
        <v>6961</v>
      </c>
      <c r="B6962" s="1">
        <v>1387</v>
      </c>
      <c r="C6962" s="1">
        <v>41</v>
      </c>
      <c r="D6962" t="str">
        <f>VLOOKUP(B6962,Заказы!A:C,3,0)</f>
        <v>2024-02-03 15:45:00</v>
      </c>
      <c r="E6962" t="str">
        <f>VLOOKUP(C6962,Меню!A:E,4,0)</f>
        <v>Суши</v>
      </c>
      <c r="F6962">
        <f>VLOOKUP(C6962,Меню!A:E,5,0)</f>
        <v>220</v>
      </c>
    </row>
    <row r="6963" spans="1:6" ht="15.75" hidden="1" customHeight="1" x14ac:dyDescent="0.35">
      <c r="A6963" s="1">
        <v>6962</v>
      </c>
      <c r="B6963" s="1">
        <v>1387</v>
      </c>
      <c r="C6963" s="1">
        <v>37</v>
      </c>
      <c r="D6963" t="str">
        <f>VLOOKUP(B6963,Заказы!A:C,3,0)</f>
        <v>2024-02-03 15:45:00</v>
      </c>
      <c r="E6963" t="str">
        <f>VLOOKUP(C6963,Меню!A:E,4,0)</f>
        <v>Десерт</v>
      </c>
      <c r="F6963">
        <f>VLOOKUP(C6963,Меню!A:E,5,0)</f>
        <v>100</v>
      </c>
    </row>
    <row r="6964" spans="1:6" ht="15.75" hidden="1" customHeight="1" x14ac:dyDescent="0.35">
      <c r="A6964" s="1">
        <v>6963</v>
      </c>
      <c r="B6964" s="1">
        <v>1387</v>
      </c>
      <c r="C6964" s="1">
        <v>20</v>
      </c>
      <c r="D6964" t="str">
        <f>VLOOKUP(B6964,Заказы!A:C,3,0)</f>
        <v>2024-02-03 15:45:00</v>
      </c>
      <c r="E6964" t="str">
        <f>VLOOKUP(C6964,Меню!A:E,4,0)</f>
        <v>Первое</v>
      </c>
      <c r="F6964">
        <f>VLOOKUP(C6964,Меню!A:E,5,0)</f>
        <v>250</v>
      </c>
    </row>
    <row r="6965" spans="1:6" ht="15.75" hidden="1" customHeight="1" x14ac:dyDescent="0.35">
      <c r="A6965" s="1">
        <v>6964</v>
      </c>
      <c r="B6965" s="1">
        <v>1388</v>
      </c>
      <c r="C6965" s="1">
        <v>50</v>
      </c>
      <c r="D6965" t="str">
        <f>VLOOKUP(B6965,Заказы!A:C,3,0)</f>
        <v>2024-02-03 21:42:00</v>
      </c>
      <c r="E6965" t="str">
        <f>VLOOKUP(C6965,Меню!A:E,4,0)</f>
        <v>Суши</v>
      </c>
      <c r="F6965">
        <f>VLOOKUP(C6965,Меню!A:E,5,0)</f>
        <v>200</v>
      </c>
    </row>
    <row r="6966" spans="1:6" ht="15.75" hidden="1" customHeight="1" x14ac:dyDescent="0.35">
      <c r="A6966" s="1">
        <v>6965</v>
      </c>
      <c r="B6966" s="1">
        <v>1388</v>
      </c>
      <c r="C6966" s="1">
        <v>10</v>
      </c>
      <c r="D6966" t="str">
        <f>VLOOKUP(B6966,Заказы!A:C,3,0)</f>
        <v>2024-02-03 21:42:00</v>
      </c>
      <c r="E6966" t="str">
        <f>VLOOKUP(C6966,Меню!A:E,4,0)</f>
        <v>Завтрак</v>
      </c>
      <c r="F6966">
        <f>VLOOKUP(C6966,Меню!A:E,5,0)</f>
        <v>200</v>
      </c>
    </row>
    <row r="6967" spans="1:6" ht="15.75" hidden="1" customHeight="1" x14ac:dyDescent="0.35">
      <c r="A6967" s="1">
        <v>6966</v>
      </c>
      <c r="B6967" s="1">
        <v>1388</v>
      </c>
      <c r="C6967" s="1">
        <v>55</v>
      </c>
      <c r="D6967" t="str">
        <f>VLOOKUP(B6967,Заказы!A:C,3,0)</f>
        <v>2024-02-03 21:42:00</v>
      </c>
      <c r="E6967" t="str">
        <f>VLOOKUP(C6967,Меню!A:E,4,0)</f>
        <v>Суши</v>
      </c>
      <c r="F6967">
        <f>VLOOKUP(C6967,Меню!A:E,5,0)</f>
        <v>100</v>
      </c>
    </row>
    <row r="6968" spans="1:6" ht="15.75" hidden="1" customHeight="1" x14ac:dyDescent="0.35">
      <c r="A6968" s="1">
        <v>6967</v>
      </c>
      <c r="B6968" s="1">
        <v>1388</v>
      </c>
      <c r="C6968" s="1">
        <v>2</v>
      </c>
      <c r="D6968" t="str">
        <f>VLOOKUP(B6968,Заказы!A:C,3,0)</f>
        <v>2024-02-03 21:42:00</v>
      </c>
      <c r="E6968" t="str">
        <f>VLOOKUP(C6968,Меню!A:E,4,0)</f>
        <v>Завтрак</v>
      </c>
      <c r="F6968">
        <f>VLOOKUP(C6968,Меню!A:E,5,0)</f>
        <v>250</v>
      </c>
    </row>
    <row r="6969" spans="1:6" ht="15.75" hidden="1" customHeight="1" x14ac:dyDescent="0.35">
      <c r="A6969" s="1">
        <v>6968</v>
      </c>
      <c r="B6969" s="1">
        <v>1388</v>
      </c>
      <c r="C6969" s="1">
        <v>31</v>
      </c>
      <c r="D6969" t="str">
        <f>VLOOKUP(B6969,Заказы!A:C,3,0)</f>
        <v>2024-02-03 21:42:00</v>
      </c>
      <c r="E6969" t="str">
        <f>VLOOKUP(C6969,Меню!A:E,4,0)</f>
        <v>Десерт</v>
      </c>
      <c r="F6969">
        <f>VLOOKUP(C6969,Меню!A:E,5,0)</f>
        <v>150</v>
      </c>
    </row>
    <row r="6970" spans="1:6" ht="15.75" hidden="1" customHeight="1" x14ac:dyDescent="0.35">
      <c r="A6970" s="1">
        <v>6969</v>
      </c>
      <c r="B6970" s="1">
        <v>1388</v>
      </c>
      <c r="C6970" s="1">
        <v>51</v>
      </c>
      <c r="D6970" t="str">
        <f>VLOOKUP(B6970,Заказы!A:C,3,0)</f>
        <v>2024-02-03 21:42:00</v>
      </c>
      <c r="E6970" t="str">
        <f>VLOOKUP(C6970,Меню!A:E,4,0)</f>
        <v>Суши</v>
      </c>
      <c r="F6970">
        <f>VLOOKUP(C6970,Меню!A:E,5,0)</f>
        <v>100</v>
      </c>
    </row>
    <row r="6971" spans="1:6" ht="15.75" hidden="1" customHeight="1" x14ac:dyDescent="0.35">
      <c r="A6971" s="1">
        <v>6970</v>
      </c>
      <c r="B6971" s="1">
        <v>1388</v>
      </c>
      <c r="C6971" s="1">
        <v>1</v>
      </c>
      <c r="D6971" t="str">
        <f>VLOOKUP(B6971,Заказы!A:C,3,0)</f>
        <v>2024-02-03 21:42:00</v>
      </c>
      <c r="E6971" t="str">
        <f>VLOOKUP(C6971,Меню!A:E,4,0)</f>
        <v>Завтрак</v>
      </c>
      <c r="F6971">
        <f>VLOOKUP(C6971,Меню!A:E,5,0)</f>
        <v>200</v>
      </c>
    </row>
    <row r="6972" spans="1:6" ht="15.75" hidden="1" customHeight="1" x14ac:dyDescent="0.35">
      <c r="A6972" s="1">
        <v>6971</v>
      </c>
      <c r="B6972" s="1">
        <v>1389</v>
      </c>
      <c r="C6972" s="1">
        <v>21</v>
      </c>
      <c r="D6972" t="str">
        <f>VLOOKUP(B6972,Заказы!A:C,3,0)</f>
        <v>2024-02-03 22:13:00</v>
      </c>
      <c r="E6972" t="str">
        <f>VLOOKUP(C6972,Меню!A:E,4,0)</f>
        <v>Салат</v>
      </c>
      <c r="F6972">
        <f>VLOOKUP(C6972,Меню!A:E,5,0)</f>
        <v>250</v>
      </c>
    </row>
    <row r="6973" spans="1:6" ht="15.75" hidden="1" customHeight="1" x14ac:dyDescent="0.35">
      <c r="A6973" s="1">
        <v>6972</v>
      </c>
      <c r="B6973" s="1">
        <v>1390</v>
      </c>
      <c r="C6973" s="1">
        <v>60</v>
      </c>
      <c r="D6973" t="str">
        <f>VLOOKUP(B6973,Заказы!A:C,3,0)</f>
        <v>2024-02-03 22:30:00</v>
      </c>
      <c r="E6973" t="str">
        <f>VLOOKUP(C6973,Меню!A:E,4,0)</f>
        <v>Суши</v>
      </c>
      <c r="F6973">
        <f>VLOOKUP(C6973,Меню!A:E,5,0)</f>
        <v>250</v>
      </c>
    </row>
    <row r="6974" spans="1:6" ht="15.75" hidden="1" customHeight="1" x14ac:dyDescent="0.35">
      <c r="A6974" s="1">
        <v>6973</v>
      </c>
      <c r="B6974" s="1">
        <v>1390</v>
      </c>
      <c r="C6974" s="1">
        <v>40</v>
      </c>
      <c r="D6974" t="str">
        <f>VLOOKUP(B6974,Заказы!A:C,3,0)</f>
        <v>2024-02-03 22:30:00</v>
      </c>
      <c r="E6974" t="str">
        <f>VLOOKUP(C6974,Меню!A:E,4,0)</f>
        <v>Десерт</v>
      </c>
      <c r="F6974">
        <f>VLOOKUP(C6974,Меню!A:E,5,0)</f>
        <v>150</v>
      </c>
    </row>
    <row r="6975" spans="1:6" ht="15.75" hidden="1" customHeight="1" x14ac:dyDescent="0.35">
      <c r="A6975" s="1">
        <v>6974</v>
      </c>
      <c r="B6975" s="1">
        <v>1390</v>
      </c>
      <c r="C6975" s="1">
        <v>15</v>
      </c>
      <c r="D6975" t="str">
        <f>VLOOKUP(B6975,Заказы!A:C,3,0)</f>
        <v>2024-02-03 22:30:00</v>
      </c>
      <c r="E6975" t="str">
        <f>VLOOKUP(C6975,Меню!A:E,4,0)</f>
        <v>Первое</v>
      </c>
      <c r="F6975">
        <f>VLOOKUP(C6975,Меню!A:E,5,0)</f>
        <v>250</v>
      </c>
    </row>
    <row r="6976" spans="1:6" ht="15.75" hidden="1" customHeight="1" x14ac:dyDescent="0.35">
      <c r="A6976" s="1">
        <v>6975</v>
      </c>
      <c r="B6976" s="1">
        <v>1390</v>
      </c>
      <c r="C6976" s="1">
        <v>29</v>
      </c>
      <c r="D6976" t="str">
        <f>VLOOKUP(B6976,Заказы!A:C,3,0)</f>
        <v>2024-02-03 22:30:00</v>
      </c>
      <c r="E6976" t="str">
        <f>VLOOKUP(C6976,Меню!A:E,4,0)</f>
        <v>Салат</v>
      </c>
      <c r="F6976">
        <f>VLOOKUP(C6976,Меню!A:E,5,0)</f>
        <v>250</v>
      </c>
    </row>
    <row r="6977" spans="1:6" ht="15.75" hidden="1" customHeight="1" x14ac:dyDescent="0.35">
      <c r="A6977" s="1">
        <v>6976</v>
      </c>
      <c r="B6977" s="1">
        <v>1390</v>
      </c>
      <c r="C6977" s="1">
        <v>12</v>
      </c>
      <c r="D6977" t="str">
        <f>VLOOKUP(B6977,Заказы!A:C,3,0)</f>
        <v>2024-02-03 22:30:00</v>
      </c>
      <c r="E6977" t="str">
        <f>VLOOKUP(C6977,Меню!A:E,4,0)</f>
        <v>Первое</v>
      </c>
      <c r="F6977">
        <f>VLOOKUP(C6977,Меню!A:E,5,0)</f>
        <v>300</v>
      </c>
    </row>
    <row r="6978" spans="1:6" ht="15.75" hidden="1" customHeight="1" x14ac:dyDescent="0.35">
      <c r="A6978" s="1">
        <v>6977</v>
      </c>
      <c r="B6978" s="1">
        <v>1390</v>
      </c>
      <c r="C6978" s="1">
        <v>53</v>
      </c>
      <c r="D6978" t="str">
        <f>VLOOKUP(B6978,Заказы!A:C,3,0)</f>
        <v>2024-02-03 22:30:00</v>
      </c>
      <c r="E6978" t="str">
        <f>VLOOKUP(C6978,Меню!A:E,4,0)</f>
        <v>Суши</v>
      </c>
      <c r="F6978">
        <f>VLOOKUP(C6978,Меню!A:E,5,0)</f>
        <v>100</v>
      </c>
    </row>
    <row r="6979" spans="1:6" ht="15.75" hidden="1" customHeight="1" x14ac:dyDescent="0.35">
      <c r="A6979" s="1">
        <v>6978</v>
      </c>
      <c r="B6979" s="1">
        <v>1391</v>
      </c>
      <c r="C6979" s="1">
        <v>47</v>
      </c>
      <c r="D6979" t="str">
        <f>VLOOKUP(B6979,Заказы!A:C,3,0)</f>
        <v>2024-02-04 16:20:00</v>
      </c>
      <c r="E6979" t="str">
        <f>VLOOKUP(C6979,Меню!A:E,4,0)</f>
        <v>Суши</v>
      </c>
      <c r="F6979">
        <f>VLOOKUP(C6979,Меню!A:E,5,0)</f>
        <v>200</v>
      </c>
    </row>
    <row r="6980" spans="1:6" ht="15.75" hidden="1" customHeight="1" x14ac:dyDescent="0.35">
      <c r="A6980" s="1">
        <v>6979</v>
      </c>
      <c r="B6980" s="1">
        <v>1391</v>
      </c>
      <c r="C6980" s="1">
        <v>26</v>
      </c>
      <c r="D6980" t="str">
        <f>VLOOKUP(B6980,Заказы!A:C,3,0)</f>
        <v>2024-02-04 16:20:00</v>
      </c>
      <c r="E6980" t="str">
        <f>VLOOKUP(C6980,Меню!A:E,4,0)</f>
        <v>Салат</v>
      </c>
      <c r="F6980">
        <f>VLOOKUP(C6980,Меню!A:E,5,0)</f>
        <v>250</v>
      </c>
    </row>
    <row r="6981" spans="1:6" ht="15.75" hidden="1" customHeight="1" x14ac:dyDescent="0.35">
      <c r="A6981" s="1">
        <v>6980</v>
      </c>
      <c r="B6981" s="1">
        <v>1391</v>
      </c>
      <c r="C6981" s="1">
        <v>20</v>
      </c>
      <c r="D6981" t="str">
        <f>VLOOKUP(B6981,Заказы!A:C,3,0)</f>
        <v>2024-02-04 16:20:00</v>
      </c>
      <c r="E6981" t="str">
        <f>VLOOKUP(C6981,Меню!A:E,4,0)</f>
        <v>Первое</v>
      </c>
      <c r="F6981">
        <f>VLOOKUP(C6981,Меню!A:E,5,0)</f>
        <v>250</v>
      </c>
    </row>
    <row r="6982" spans="1:6" ht="15.75" hidden="1" customHeight="1" x14ac:dyDescent="0.35">
      <c r="A6982" s="1">
        <v>6981</v>
      </c>
      <c r="B6982" s="1">
        <v>1391</v>
      </c>
      <c r="C6982" s="1">
        <v>43</v>
      </c>
      <c r="D6982" t="str">
        <f>VLOOKUP(B6982,Заказы!A:C,3,0)</f>
        <v>2024-02-04 16:20:00</v>
      </c>
      <c r="E6982" t="str">
        <f>VLOOKUP(C6982,Меню!A:E,4,0)</f>
        <v>Суши</v>
      </c>
      <c r="F6982">
        <f>VLOOKUP(C6982,Меню!A:E,5,0)</f>
        <v>250</v>
      </c>
    </row>
    <row r="6983" spans="1:6" ht="15.75" hidden="1" customHeight="1" x14ac:dyDescent="0.35">
      <c r="A6983" s="1">
        <v>6982</v>
      </c>
      <c r="B6983" s="1">
        <v>1391</v>
      </c>
      <c r="C6983" s="1">
        <v>57</v>
      </c>
      <c r="D6983" t="str">
        <f>VLOOKUP(B6983,Заказы!A:C,3,0)</f>
        <v>2024-02-04 16:20:00</v>
      </c>
      <c r="E6983" t="str">
        <f>VLOOKUP(C6983,Меню!A:E,4,0)</f>
        <v>Суши</v>
      </c>
      <c r="F6983">
        <f>VLOOKUP(C6983,Меню!A:E,5,0)</f>
        <v>200</v>
      </c>
    </row>
    <row r="6984" spans="1:6" ht="15.75" hidden="1" customHeight="1" x14ac:dyDescent="0.35">
      <c r="A6984" s="1">
        <v>6983</v>
      </c>
      <c r="B6984" s="1">
        <v>1391</v>
      </c>
      <c r="C6984" s="1">
        <v>49</v>
      </c>
      <c r="D6984" t="str">
        <f>VLOOKUP(B6984,Заказы!A:C,3,0)</f>
        <v>2024-02-04 16:20:00</v>
      </c>
      <c r="E6984" t="str">
        <f>VLOOKUP(C6984,Меню!A:E,4,0)</f>
        <v>Суши</v>
      </c>
      <c r="F6984">
        <f>VLOOKUP(C6984,Меню!A:E,5,0)</f>
        <v>200</v>
      </c>
    </row>
    <row r="6985" spans="1:6" ht="15.75" hidden="1" customHeight="1" x14ac:dyDescent="0.35">
      <c r="A6985" s="1">
        <v>6984</v>
      </c>
      <c r="B6985" s="1">
        <v>1391</v>
      </c>
      <c r="C6985" s="1">
        <v>43</v>
      </c>
      <c r="D6985" t="str">
        <f>VLOOKUP(B6985,Заказы!A:C,3,0)</f>
        <v>2024-02-04 16:20:00</v>
      </c>
      <c r="E6985" t="str">
        <f>VLOOKUP(C6985,Меню!A:E,4,0)</f>
        <v>Суши</v>
      </c>
      <c r="F6985">
        <f>VLOOKUP(C6985,Меню!A:E,5,0)</f>
        <v>250</v>
      </c>
    </row>
    <row r="6986" spans="1:6" ht="15.75" hidden="1" customHeight="1" x14ac:dyDescent="0.35">
      <c r="A6986" s="1">
        <v>6985</v>
      </c>
      <c r="B6986" s="1">
        <v>1391</v>
      </c>
      <c r="C6986" s="1">
        <v>43</v>
      </c>
      <c r="D6986" t="str">
        <f>VLOOKUP(B6986,Заказы!A:C,3,0)</f>
        <v>2024-02-04 16:20:00</v>
      </c>
      <c r="E6986" t="str">
        <f>VLOOKUP(C6986,Меню!A:E,4,0)</f>
        <v>Суши</v>
      </c>
      <c r="F6986">
        <f>VLOOKUP(C6986,Меню!A:E,5,0)</f>
        <v>250</v>
      </c>
    </row>
    <row r="6987" spans="1:6" ht="15.75" hidden="1" customHeight="1" x14ac:dyDescent="0.35">
      <c r="A6987" s="1">
        <v>6986</v>
      </c>
      <c r="B6987" s="1">
        <v>1391</v>
      </c>
      <c r="C6987" s="1">
        <v>37</v>
      </c>
      <c r="D6987" t="str">
        <f>VLOOKUP(B6987,Заказы!A:C,3,0)</f>
        <v>2024-02-04 16:20:00</v>
      </c>
      <c r="E6987" t="str">
        <f>VLOOKUP(C6987,Меню!A:E,4,0)</f>
        <v>Десерт</v>
      </c>
      <c r="F6987">
        <f>VLOOKUP(C6987,Меню!A:E,5,0)</f>
        <v>100</v>
      </c>
    </row>
    <row r="6988" spans="1:6" ht="15.75" hidden="1" customHeight="1" x14ac:dyDescent="0.35">
      <c r="A6988" s="1">
        <v>6987</v>
      </c>
      <c r="B6988" s="1">
        <v>1392</v>
      </c>
      <c r="C6988" s="1">
        <v>26</v>
      </c>
      <c r="D6988" t="str">
        <f>VLOOKUP(B6988,Заказы!A:C,3,0)</f>
        <v>2024-02-04 19:52:00</v>
      </c>
      <c r="E6988" t="str">
        <f>VLOOKUP(C6988,Меню!A:E,4,0)</f>
        <v>Салат</v>
      </c>
      <c r="F6988">
        <f>VLOOKUP(C6988,Меню!A:E,5,0)</f>
        <v>250</v>
      </c>
    </row>
    <row r="6989" spans="1:6" ht="15.75" hidden="1" customHeight="1" x14ac:dyDescent="0.35">
      <c r="A6989" s="1">
        <v>6988</v>
      </c>
      <c r="B6989" s="1">
        <v>1392</v>
      </c>
      <c r="C6989" s="1">
        <v>58</v>
      </c>
      <c r="D6989" t="str">
        <f>VLOOKUP(B6989,Заказы!A:C,3,0)</f>
        <v>2024-02-04 19:52:00</v>
      </c>
      <c r="E6989" t="str">
        <f>VLOOKUP(C6989,Меню!A:E,4,0)</f>
        <v>Суши</v>
      </c>
      <c r="F6989">
        <f>VLOOKUP(C6989,Меню!A:E,5,0)</f>
        <v>200</v>
      </c>
    </row>
    <row r="6990" spans="1:6" ht="15.75" hidden="1" customHeight="1" x14ac:dyDescent="0.35">
      <c r="A6990" s="1">
        <v>6989</v>
      </c>
      <c r="B6990" s="1">
        <v>1392</v>
      </c>
      <c r="C6990" s="1">
        <v>48</v>
      </c>
      <c r="D6990" t="str">
        <f>VLOOKUP(B6990,Заказы!A:C,3,0)</f>
        <v>2024-02-04 19:52:00</v>
      </c>
      <c r="E6990" t="str">
        <f>VLOOKUP(C6990,Меню!A:E,4,0)</f>
        <v>Суши</v>
      </c>
      <c r="F6990">
        <f>VLOOKUP(C6990,Меню!A:E,5,0)</f>
        <v>200</v>
      </c>
    </row>
    <row r="6991" spans="1:6" ht="15.75" hidden="1" customHeight="1" x14ac:dyDescent="0.35">
      <c r="A6991" s="1">
        <v>6990</v>
      </c>
      <c r="B6991" s="1">
        <v>1392</v>
      </c>
      <c r="C6991" s="1">
        <v>19</v>
      </c>
      <c r="D6991" t="str">
        <f>VLOOKUP(B6991,Заказы!A:C,3,0)</f>
        <v>2024-02-04 19:52:00</v>
      </c>
      <c r="E6991" t="str">
        <f>VLOOKUP(C6991,Меню!A:E,4,0)</f>
        <v>Первое</v>
      </c>
      <c r="F6991">
        <f>VLOOKUP(C6991,Меню!A:E,5,0)</f>
        <v>300</v>
      </c>
    </row>
    <row r="6992" spans="1:6" ht="15.75" hidden="1" customHeight="1" x14ac:dyDescent="0.35">
      <c r="A6992" s="1">
        <v>6991</v>
      </c>
      <c r="B6992" s="1">
        <v>1393</v>
      </c>
      <c r="C6992" s="1">
        <v>36</v>
      </c>
      <c r="D6992" t="str">
        <f>VLOOKUP(B6992,Заказы!A:C,3,0)</f>
        <v>2024-02-05 19:07:00</v>
      </c>
      <c r="E6992" t="str">
        <f>VLOOKUP(C6992,Меню!A:E,4,0)</f>
        <v>Десерт</v>
      </c>
      <c r="F6992">
        <f>VLOOKUP(C6992,Меню!A:E,5,0)</f>
        <v>150</v>
      </c>
    </row>
    <row r="6993" spans="1:6" ht="15.75" hidden="1" customHeight="1" x14ac:dyDescent="0.35">
      <c r="A6993" s="1">
        <v>6992</v>
      </c>
      <c r="B6993" s="1">
        <v>1393</v>
      </c>
      <c r="C6993" s="1">
        <v>20</v>
      </c>
      <c r="D6993" t="str">
        <f>VLOOKUP(B6993,Заказы!A:C,3,0)</f>
        <v>2024-02-05 19:07:00</v>
      </c>
      <c r="E6993" t="str">
        <f>VLOOKUP(C6993,Меню!A:E,4,0)</f>
        <v>Первое</v>
      </c>
      <c r="F6993">
        <f>VLOOKUP(C6993,Меню!A:E,5,0)</f>
        <v>250</v>
      </c>
    </row>
    <row r="6994" spans="1:6" ht="15.75" hidden="1" customHeight="1" x14ac:dyDescent="0.35">
      <c r="A6994" s="1">
        <v>6993</v>
      </c>
      <c r="B6994" s="1">
        <v>1393</v>
      </c>
      <c r="C6994" s="1">
        <v>31</v>
      </c>
      <c r="D6994" t="str">
        <f>VLOOKUP(B6994,Заказы!A:C,3,0)</f>
        <v>2024-02-05 19:07:00</v>
      </c>
      <c r="E6994" t="str">
        <f>VLOOKUP(C6994,Меню!A:E,4,0)</f>
        <v>Десерт</v>
      </c>
      <c r="F6994">
        <f>VLOOKUP(C6994,Меню!A:E,5,0)</f>
        <v>150</v>
      </c>
    </row>
    <row r="6995" spans="1:6" ht="15.75" hidden="1" customHeight="1" x14ac:dyDescent="0.35">
      <c r="A6995" s="1">
        <v>6994</v>
      </c>
      <c r="B6995" s="1">
        <v>1393</v>
      </c>
      <c r="C6995" s="1">
        <v>20</v>
      </c>
      <c r="D6995" t="str">
        <f>VLOOKUP(B6995,Заказы!A:C,3,0)</f>
        <v>2024-02-05 19:07:00</v>
      </c>
      <c r="E6995" t="str">
        <f>VLOOKUP(C6995,Меню!A:E,4,0)</f>
        <v>Первое</v>
      </c>
      <c r="F6995">
        <f>VLOOKUP(C6995,Меню!A:E,5,0)</f>
        <v>250</v>
      </c>
    </row>
    <row r="6996" spans="1:6" ht="15.75" hidden="1" customHeight="1" x14ac:dyDescent="0.35">
      <c r="A6996" s="1">
        <v>6995</v>
      </c>
      <c r="B6996" s="1">
        <v>1393</v>
      </c>
      <c r="C6996" s="1">
        <v>38</v>
      </c>
      <c r="D6996" t="str">
        <f>VLOOKUP(B6996,Заказы!A:C,3,0)</f>
        <v>2024-02-05 19:07:00</v>
      </c>
      <c r="E6996" t="str">
        <f>VLOOKUP(C6996,Меню!A:E,4,0)</f>
        <v>Десерт</v>
      </c>
      <c r="F6996">
        <f>VLOOKUP(C6996,Меню!A:E,5,0)</f>
        <v>150</v>
      </c>
    </row>
    <row r="6997" spans="1:6" ht="15.75" hidden="1" customHeight="1" x14ac:dyDescent="0.35">
      <c r="A6997" s="1">
        <v>6996</v>
      </c>
      <c r="B6997" s="1">
        <v>1393</v>
      </c>
      <c r="C6997" s="1">
        <v>17</v>
      </c>
      <c r="D6997" t="str">
        <f>VLOOKUP(B6997,Заказы!A:C,3,0)</f>
        <v>2024-02-05 19:07:00</v>
      </c>
      <c r="E6997" t="str">
        <f>VLOOKUP(C6997,Меню!A:E,4,0)</f>
        <v>Первое</v>
      </c>
      <c r="F6997">
        <f>VLOOKUP(C6997,Меню!A:E,5,0)</f>
        <v>250</v>
      </c>
    </row>
    <row r="6998" spans="1:6" ht="15.75" hidden="1" customHeight="1" x14ac:dyDescent="0.35">
      <c r="A6998" s="1">
        <v>6997</v>
      </c>
      <c r="B6998" s="1">
        <v>1394</v>
      </c>
      <c r="C6998" s="1">
        <v>56</v>
      </c>
      <c r="D6998" t="str">
        <f>VLOOKUP(B6998,Заказы!A:C,3,0)</f>
        <v>2024-02-05 20:12:00</v>
      </c>
      <c r="E6998" t="str">
        <f>VLOOKUP(C6998,Меню!A:E,4,0)</f>
        <v>Суши</v>
      </c>
      <c r="F6998">
        <f>VLOOKUP(C6998,Меню!A:E,5,0)</f>
        <v>200</v>
      </c>
    </row>
    <row r="6999" spans="1:6" ht="15.75" hidden="1" customHeight="1" x14ac:dyDescent="0.35">
      <c r="A6999" s="1">
        <v>6998</v>
      </c>
      <c r="B6999" s="1">
        <v>1394</v>
      </c>
      <c r="C6999" s="1">
        <v>36</v>
      </c>
      <c r="D6999" t="str">
        <f>VLOOKUP(B6999,Заказы!A:C,3,0)</f>
        <v>2024-02-05 20:12:00</v>
      </c>
      <c r="E6999" t="str">
        <f>VLOOKUP(C6999,Меню!A:E,4,0)</f>
        <v>Десерт</v>
      </c>
      <c r="F6999">
        <f>VLOOKUP(C6999,Меню!A:E,5,0)</f>
        <v>150</v>
      </c>
    </row>
    <row r="7000" spans="1:6" ht="15.75" hidden="1" customHeight="1" x14ac:dyDescent="0.35">
      <c r="A7000" s="1">
        <v>6999</v>
      </c>
      <c r="B7000" s="1">
        <v>1394</v>
      </c>
      <c r="C7000" s="1">
        <v>60</v>
      </c>
      <c r="D7000" t="str">
        <f>VLOOKUP(B7000,Заказы!A:C,3,0)</f>
        <v>2024-02-05 20:12:00</v>
      </c>
      <c r="E7000" t="str">
        <f>VLOOKUP(C7000,Меню!A:E,4,0)</f>
        <v>Суши</v>
      </c>
      <c r="F7000">
        <f>VLOOKUP(C7000,Меню!A:E,5,0)</f>
        <v>250</v>
      </c>
    </row>
    <row r="7001" spans="1:6" ht="15.75" hidden="1" customHeight="1" x14ac:dyDescent="0.35">
      <c r="A7001" s="1">
        <v>7000</v>
      </c>
      <c r="B7001" s="1">
        <v>1394</v>
      </c>
      <c r="C7001" s="1">
        <v>23</v>
      </c>
      <c r="D7001" t="str">
        <f>VLOOKUP(B7001,Заказы!A:C,3,0)</f>
        <v>2024-02-05 20:12:00</v>
      </c>
      <c r="E7001" t="str">
        <f>VLOOKUP(C7001,Меню!A:E,4,0)</f>
        <v>Салат</v>
      </c>
      <c r="F7001">
        <f>VLOOKUP(C7001,Меню!A:E,5,0)</f>
        <v>250</v>
      </c>
    </row>
    <row r="7002" spans="1:6" ht="15.75" hidden="1" customHeight="1" x14ac:dyDescent="0.35">
      <c r="A7002" s="1">
        <v>7001</v>
      </c>
      <c r="B7002" s="1">
        <v>1395</v>
      </c>
      <c r="C7002" s="1">
        <v>48</v>
      </c>
      <c r="D7002" t="str">
        <f>VLOOKUP(B7002,Заказы!A:C,3,0)</f>
        <v>2024-02-06 16:02:00</v>
      </c>
      <c r="E7002" t="str">
        <f>VLOOKUP(C7002,Меню!A:E,4,0)</f>
        <v>Суши</v>
      </c>
      <c r="F7002">
        <f>VLOOKUP(C7002,Меню!A:E,5,0)</f>
        <v>200</v>
      </c>
    </row>
    <row r="7003" spans="1:6" ht="15.75" hidden="1" customHeight="1" x14ac:dyDescent="0.35">
      <c r="A7003" s="1">
        <v>7002</v>
      </c>
      <c r="B7003" s="1">
        <v>1395</v>
      </c>
      <c r="C7003" s="1">
        <v>49</v>
      </c>
      <c r="D7003" t="str">
        <f>VLOOKUP(B7003,Заказы!A:C,3,0)</f>
        <v>2024-02-06 16:02:00</v>
      </c>
      <c r="E7003" t="str">
        <f>VLOOKUP(C7003,Меню!A:E,4,0)</f>
        <v>Суши</v>
      </c>
      <c r="F7003">
        <f>VLOOKUP(C7003,Меню!A:E,5,0)</f>
        <v>200</v>
      </c>
    </row>
    <row r="7004" spans="1:6" ht="15.75" hidden="1" customHeight="1" x14ac:dyDescent="0.35">
      <c r="A7004" s="1">
        <v>7003</v>
      </c>
      <c r="B7004" s="1">
        <v>1395</v>
      </c>
      <c r="C7004" s="1">
        <v>42</v>
      </c>
      <c r="D7004" t="str">
        <f>VLOOKUP(B7004,Заказы!A:C,3,0)</f>
        <v>2024-02-06 16:02:00</v>
      </c>
      <c r="E7004" t="str">
        <f>VLOOKUP(C7004,Меню!A:E,4,0)</f>
        <v>Суши</v>
      </c>
      <c r="F7004">
        <f>VLOOKUP(C7004,Меню!A:E,5,0)</f>
        <v>250</v>
      </c>
    </row>
    <row r="7005" spans="1:6" ht="15.75" hidden="1" customHeight="1" x14ac:dyDescent="0.35">
      <c r="A7005" s="1">
        <v>7004</v>
      </c>
      <c r="B7005" s="1">
        <v>1395</v>
      </c>
      <c r="C7005" s="1">
        <v>22</v>
      </c>
      <c r="D7005" t="str">
        <f>VLOOKUP(B7005,Заказы!A:C,3,0)</f>
        <v>2024-02-06 16:02:00</v>
      </c>
      <c r="E7005" t="str">
        <f>VLOOKUP(C7005,Меню!A:E,4,0)</f>
        <v>Салат</v>
      </c>
      <c r="F7005">
        <f>VLOOKUP(C7005,Меню!A:E,5,0)</f>
        <v>250</v>
      </c>
    </row>
    <row r="7006" spans="1:6" ht="15.75" hidden="1" customHeight="1" x14ac:dyDescent="0.35">
      <c r="A7006" s="1">
        <v>7005</v>
      </c>
      <c r="B7006" s="1">
        <v>1396</v>
      </c>
      <c r="C7006" s="1">
        <v>16</v>
      </c>
      <c r="D7006" t="str">
        <f>VLOOKUP(B7006,Заказы!A:C,3,0)</f>
        <v>2024-02-06 20:58:00</v>
      </c>
      <c r="E7006" t="str">
        <f>VLOOKUP(C7006,Меню!A:E,4,0)</f>
        <v>Первое</v>
      </c>
      <c r="F7006">
        <f>VLOOKUP(C7006,Меню!A:E,5,0)</f>
        <v>250</v>
      </c>
    </row>
    <row r="7007" spans="1:6" ht="15.75" hidden="1" customHeight="1" x14ac:dyDescent="0.35">
      <c r="A7007" s="1">
        <v>7006</v>
      </c>
      <c r="B7007" s="1">
        <v>1396</v>
      </c>
      <c r="C7007" s="1">
        <v>21</v>
      </c>
      <c r="D7007" t="str">
        <f>VLOOKUP(B7007,Заказы!A:C,3,0)</f>
        <v>2024-02-06 20:58:00</v>
      </c>
      <c r="E7007" t="str">
        <f>VLOOKUP(C7007,Меню!A:E,4,0)</f>
        <v>Салат</v>
      </c>
      <c r="F7007">
        <f>VLOOKUP(C7007,Меню!A:E,5,0)</f>
        <v>250</v>
      </c>
    </row>
    <row r="7008" spans="1:6" ht="15.75" hidden="1" customHeight="1" x14ac:dyDescent="0.35">
      <c r="A7008" s="1">
        <v>7007</v>
      </c>
      <c r="B7008" s="1">
        <v>1396</v>
      </c>
      <c r="C7008" s="1">
        <v>11</v>
      </c>
      <c r="D7008" t="str">
        <f>VLOOKUP(B7008,Заказы!A:C,3,0)</f>
        <v>2024-02-06 20:58:00</v>
      </c>
      <c r="E7008" t="str">
        <f>VLOOKUP(C7008,Меню!A:E,4,0)</f>
        <v>Первое</v>
      </c>
      <c r="F7008">
        <f>VLOOKUP(C7008,Меню!A:E,5,0)</f>
        <v>300</v>
      </c>
    </row>
    <row r="7009" spans="1:6" ht="15.75" hidden="1" customHeight="1" x14ac:dyDescent="0.35">
      <c r="A7009" s="1">
        <v>7008</v>
      </c>
      <c r="B7009" s="1">
        <v>1396</v>
      </c>
      <c r="C7009" s="1">
        <v>7</v>
      </c>
      <c r="D7009" t="str">
        <f>VLOOKUP(B7009,Заказы!A:C,3,0)</f>
        <v>2024-02-06 20:58:00</v>
      </c>
      <c r="E7009" t="str">
        <f>VLOOKUP(C7009,Меню!A:E,4,0)</f>
        <v>Завтрак</v>
      </c>
      <c r="F7009">
        <f>VLOOKUP(C7009,Меню!A:E,5,0)</f>
        <v>200</v>
      </c>
    </row>
    <row r="7010" spans="1:6" ht="15.75" hidden="1" customHeight="1" x14ac:dyDescent="0.35">
      <c r="A7010" s="1">
        <v>7009</v>
      </c>
      <c r="B7010" s="1">
        <v>1396</v>
      </c>
      <c r="C7010" s="1">
        <v>6</v>
      </c>
      <c r="D7010" t="str">
        <f>VLOOKUP(B7010,Заказы!A:C,3,0)</f>
        <v>2024-02-06 20:58:00</v>
      </c>
      <c r="E7010" t="str">
        <f>VLOOKUP(C7010,Меню!A:E,4,0)</f>
        <v>Завтрак</v>
      </c>
      <c r="F7010">
        <f>VLOOKUP(C7010,Меню!A:E,5,0)</f>
        <v>300</v>
      </c>
    </row>
    <row r="7011" spans="1:6" ht="15.75" hidden="1" customHeight="1" x14ac:dyDescent="0.35">
      <c r="A7011" s="1">
        <v>7010</v>
      </c>
      <c r="B7011" s="1">
        <v>1396</v>
      </c>
      <c r="C7011" s="1">
        <v>22</v>
      </c>
      <c r="D7011" t="str">
        <f>VLOOKUP(B7011,Заказы!A:C,3,0)</f>
        <v>2024-02-06 20:58:00</v>
      </c>
      <c r="E7011" t="str">
        <f>VLOOKUP(C7011,Меню!A:E,4,0)</f>
        <v>Салат</v>
      </c>
      <c r="F7011">
        <f>VLOOKUP(C7011,Меню!A:E,5,0)</f>
        <v>250</v>
      </c>
    </row>
    <row r="7012" spans="1:6" ht="15.75" hidden="1" customHeight="1" x14ac:dyDescent="0.35">
      <c r="A7012" s="1">
        <v>7011</v>
      </c>
      <c r="B7012" s="1">
        <v>1396</v>
      </c>
      <c r="C7012" s="1">
        <v>19</v>
      </c>
      <c r="D7012" t="str">
        <f>VLOOKUP(B7012,Заказы!A:C,3,0)</f>
        <v>2024-02-06 20:58:00</v>
      </c>
      <c r="E7012" t="str">
        <f>VLOOKUP(C7012,Меню!A:E,4,0)</f>
        <v>Первое</v>
      </c>
      <c r="F7012">
        <f>VLOOKUP(C7012,Меню!A:E,5,0)</f>
        <v>300</v>
      </c>
    </row>
    <row r="7013" spans="1:6" ht="15.75" hidden="1" customHeight="1" x14ac:dyDescent="0.35">
      <c r="A7013" s="1">
        <v>7012</v>
      </c>
      <c r="B7013" s="1">
        <v>1396</v>
      </c>
      <c r="C7013" s="1">
        <v>12</v>
      </c>
      <c r="D7013" t="str">
        <f>VLOOKUP(B7013,Заказы!A:C,3,0)</f>
        <v>2024-02-06 20:58:00</v>
      </c>
      <c r="E7013" t="str">
        <f>VLOOKUP(C7013,Меню!A:E,4,0)</f>
        <v>Первое</v>
      </c>
      <c r="F7013">
        <f>VLOOKUP(C7013,Меню!A:E,5,0)</f>
        <v>300</v>
      </c>
    </row>
    <row r="7014" spans="1:6" ht="15.75" hidden="1" customHeight="1" x14ac:dyDescent="0.35">
      <c r="A7014" s="1">
        <v>7013</v>
      </c>
      <c r="B7014" s="1">
        <v>1396</v>
      </c>
      <c r="C7014" s="1">
        <v>2</v>
      </c>
      <c r="D7014" t="str">
        <f>VLOOKUP(B7014,Заказы!A:C,3,0)</f>
        <v>2024-02-06 20:58:00</v>
      </c>
      <c r="E7014" t="str">
        <f>VLOOKUP(C7014,Меню!A:E,4,0)</f>
        <v>Завтрак</v>
      </c>
      <c r="F7014">
        <f>VLOOKUP(C7014,Меню!A:E,5,0)</f>
        <v>250</v>
      </c>
    </row>
    <row r="7015" spans="1:6" ht="15.75" hidden="1" customHeight="1" x14ac:dyDescent="0.35">
      <c r="A7015" s="1">
        <v>7014</v>
      </c>
      <c r="B7015" s="1">
        <v>1397</v>
      </c>
      <c r="C7015" s="1">
        <v>35</v>
      </c>
      <c r="D7015" t="str">
        <f>VLOOKUP(B7015,Заказы!A:C,3,0)</f>
        <v>2024-02-07 17:14:00</v>
      </c>
      <c r="E7015" t="str">
        <f>VLOOKUP(C7015,Меню!A:E,4,0)</f>
        <v>Десерт</v>
      </c>
      <c r="F7015">
        <f>VLOOKUP(C7015,Меню!A:E,5,0)</f>
        <v>150</v>
      </c>
    </row>
    <row r="7016" spans="1:6" ht="15.75" hidden="1" customHeight="1" x14ac:dyDescent="0.35">
      <c r="A7016" s="1">
        <v>7015</v>
      </c>
      <c r="B7016" s="1">
        <v>1397</v>
      </c>
      <c r="C7016" s="1">
        <v>3</v>
      </c>
      <c r="D7016" t="str">
        <f>VLOOKUP(B7016,Заказы!A:C,3,0)</f>
        <v>2024-02-07 17:14:00</v>
      </c>
      <c r="E7016" t="str">
        <f>VLOOKUP(C7016,Меню!A:E,4,0)</f>
        <v>Завтрак</v>
      </c>
      <c r="F7016">
        <f>VLOOKUP(C7016,Меню!A:E,5,0)</f>
        <v>150</v>
      </c>
    </row>
    <row r="7017" spans="1:6" ht="15.75" hidden="1" customHeight="1" x14ac:dyDescent="0.35">
      <c r="A7017" s="1">
        <v>7016</v>
      </c>
      <c r="B7017" s="1">
        <v>1397</v>
      </c>
      <c r="C7017" s="1">
        <v>44</v>
      </c>
      <c r="D7017" t="str">
        <f>VLOOKUP(B7017,Заказы!A:C,3,0)</f>
        <v>2024-02-07 17:14:00</v>
      </c>
      <c r="E7017" t="str">
        <f>VLOOKUP(C7017,Меню!A:E,4,0)</f>
        <v>Суши</v>
      </c>
      <c r="F7017">
        <f>VLOOKUP(C7017,Меню!A:E,5,0)</f>
        <v>250</v>
      </c>
    </row>
    <row r="7018" spans="1:6" ht="15.75" hidden="1" customHeight="1" x14ac:dyDescent="0.35">
      <c r="A7018" s="1">
        <v>7017</v>
      </c>
      <c r="B7018" s="1">
        <v>1397</v>
      </c>
      <c r="C7018" s="1">
        <v>6</v>
      </c>
      <c r="D7018" t="str">
        <f>VLOOKUP(B7018,Заказы!A:C,3,0)</f>
        <v>2024-02-07 17:14:00</v>
      </c>
      <c r="E7018" t="str">
        <f>VLOOKUP(C7018,Меню!A:E,4,0)</f>
        <v>Завтрак</v>
      </c>
      <c r="F7018">
        <f>VLOOKUP(C7018,Меню!A:E,5,0)</f>
        <v>300</v>
      </c>
    </row>
    <row r="7019" spans="1:6" ht="15.75" hidden="1" customHeight="1" x14ac:dyDescent="0.35">
      <c r="A7019" s="1">
        <v>7018</v>
      </c>
      <c r="B7019" s="1">
        <v>1397</v>
      </c>
      <c r="C7019" s="1">
        <v>21</v>
      </c>
      <c r="D7019" t="str">
        <f>VLOOKUP(B7019,Заказы!A:C,3,0)</f>
        <v>2024-02-07 17:14:00</v>
      </c>
      <c r="E7019" t="str">
        <f>VLOOKUP(C7019,Меню!A:E,4,0)</f>
        <v>Салат</v>
      </c>
      <c r="F7019">
        <f>VLOOKUP(C7019,Меню!A:E,5,0)</f>
        <v>250</v>
      </c>
    </row>
    <row r="7020" spans="1:6" ht="15.75" hidden="1" customHeight="1" x14ac:dyDescent="0.35">
      <c r="A7020" s="1">
        <v>7019</v>
      </c>
      <c r="B7020" s="1">
        <v>1397</v>
      </c>
      <c r="C7020" s="1">
        <v>22</v>
      </c>
      <c r="D7020" t="str">
        <f>VLOOKUP(B7020,Заказы!A:C,3,0)</f>
        <v>2024-02-07 17:14:00</v>
      </c>
      <c r="E7020" t="str">
        <f>VLOOKUP(C7020,Меню!A:E,4,0)</f>
        <v>Салат</v>
      </c>
      <c r="F7020">
        <f>VLOOKUP(C7020,Меню!A:E,5,0)</f>
        <v>250</v>
      </c>
    </row>
    <row r="7021" spans="1:6" ht="15.75" hidden="1" customHeight="1" x14ac:dyDescent="0.35">
      <c r="A7021" s="1">
        <v>7020</v>
      </c>
      <c r="B7021" s="1">
        <v>1397</v>
      </c>
      <c r="C7021" s="1">
        <v>35</v>
      </c>
      <c r="D7021" t="str">
        <f>VLOOKUP(B7021,Заказы!A:C,3,0)</f>
        <v>2024-02-07 17:14:00</v>
      </c>
      <c r="E7021" t="str">
        <f>VLOOKUP(C7021,Меню!A:E,4,0)</f>
        <v>Десерт</v>
      </c>
      <c r="F7021">
        <f>VLOOKUP(C7021,Меню!A:E,5,0)</f>
        <v>150</v>
      </c>
    </row>
    <row r="7022" spans="1:6" ht="15.75" hidden="1" customHeight="1" x14ac:dyDescent="0.35">
      <c r="A7022" s="1">
        <v>7021</v>
      </c>
      <c r="B7022" s="1">
        <v>1397</v>
      </c>
      <c r="C7022" s="1">
        <v>35</v>
      </c>
      <c r="D7022" t="str">
        <f>VLOOKUP(B7022,Заказы!A:C,3,0)</f>
        <v>2024-02-07 17:14:00</v>
      </c>
      <c r="E7022" t="str">
        <f>VLOOKUP(C7022,Меню!A:E,4,0)</f>
        <v>Десерт</v>
      </c>
      <c r="F7022">
        <f>VLOOKUP(C7022,Меню!A:E,5,0)</f>
        <v>150</v>
      </c>
    </row>
    <row r="7023" spans="1:6" ht="15.75" hidden="1" customHeight="1" x14ac:dyDescent="0.35">
      <c r="A7023" s="1">
        <v>7022</v>
      </c>
      <c r="B7023" s="1">
        <v>1398</v>
      </c>
      <c r="C7023" s="1">
        <v>7</v>
      </c>
      <c r="D7023" t="str">
        <f>VLOOKUP(B7023,Заказы!A:C,3,0)</f>
        <v>2024-02-07 17:59:00</v>
      </c>
      <c r="E7023" t="str">
        <f>VLOOKUP(C7023,Меню!A:E,4,0)</f>
        <v>Завтрак</v>
      </c>
      <c r="F7023">
        <f>VLOOKUP(C7023,Меню!A:E,5,0)</f>
        <v>200</v>
      </c>
    </row>
    <row r="7024" spans="1:6" ht="15.75" hidden="1" customHeight="1" x14ac:dyDescent="0.35">
      <c r="A7024" s="1">
        <v>7023</v>
      </c>
      <c r="B7024" s="1">
        <v>1398</v>
      </c>
      <c r="C7024" s="1">
        <v>30</v>
      </c>
      <c r="D7024" t="str">
        <f>VLOOKUP(B7024,Заказы!A:C,3,0)</f>
        <v>2024-02-07 17:59:00</v>
      </c>
      <c r="E7024" t="str">
        <f>VLOOKUP(C7024,Меню!A:E,4,0)</f>
        <v>Салат</v>
      </c>
      <c r="F7024">
        <f>VLOOKUP(C7024,Меню!A:E,5,0)</f>
        <v>250</v>
      </c>
    </row>
    <row r="7025" spans="1:6" ht="15.75" hidden="1" customHeight="1" x14ac:dyDescent="0.35">
      <c r="A7025" s="1">
        <v>7024</v>
      </c>
      <c r="B7025" s="1">
        <v>1398</v>
      </c>
      <c r="C7025" s="1">
        <v>52</v>
      </c>
      <c r="D7025" t="str">
        <f>VLOOKUP(B7025,Заказы!A:C,3,0)</f>
        <v>2024-02-07 17:59:00</v>
      </c>
      <c r="E7025" t="str">
        <f>VLOOKUP(C7025,Меню!A:E,4,0)</f>
        <v>Суши</v>
      </c>
      <c r="F7025">
        <f>VLOOKUP(C7025,Меню!A:E,5,0)</f>
        <v>100</v>
      </c>
    </row>
    <row r="7026" spans="1:6" ht="15.75" hidden="1" customHeight="1" x14ac:dyDescent="0.35">
      <c r="A7026" s="1">
        <v>7025</v>
      </c>
      <c r="B7026" s="1">
        <v>1398</v>
      </c>
      <c r="C7026" s="1">
        <v>44</v>
      </c>
      <c r="D7026" t="str">
        <f>VLOOKUP(B7026,Заказы!A:C,3,0)</f>
        <v>2024-02-07 17:59:00</v>
      </c>
      <c r="E7026" t="str">
        <f>VLOOKUP(C7026,Меню!A:E,4,0)</f>
        <v>Суши</v>
      </c>
      <c r="F7026">
        <f>VLOOKUP(C7026,Меню!A:E,5,0)</f>
        <v>250</v>
      </c>
    </row>
    <row r="7027" spans="1:6" ht="15.75" hidden="1" customHeight="1" x14ac:dyDescent="0.35">
      <c r="A7027" s="1">
        <v>7026</v>
      </c>
      <c r="B7027" s="1">
        <v>1398</v>
      </c>
      <c r="C7027" s="1">
        <v>30</v>
      </c>
      <c r="D7027" t="str">
        <f>VLOOKUP(B7027,Заказы!A:C,3,0)</f>
        <v>2024-02-07 17:59:00</v>
      </c>
      <c r="E7027" t="str">
        <f>VLOOKUP(C7027,Меню!A:E,4,0)</f>
        <v>Салат</v>
      </c>
      <c r="F7027">
        <f>VLOOKUP(C7027,Меню!A:E,5,0)</f>
        <v>250</v>
      </c>
    </row>
    <row r="7028" spans="1:6" ht="15.75" hidden="1" customHeight="1" x14ac:dyDescent="0.35">
      <c r="A7028" s="1">
        <v>7027</v>
      </c>
      <c r="B7028" s="1">
        <v>1398</v>
      </c>
      <c r="C7028" s="1">
        <v>43</v>
      </c>
      <c r="D7028" t="str">
        <f>VLOOKUP(B7028,Заказы!A:C,3,0)</f>
        <v>2024-02-07 17:59:00</v>
      </c>
      <c r="E7028" t="str">
        <f>VLOOKUP(C7028,Меню!A:E,4,0)</f>
        <v>Суши</v>
      </c>
      <c r="F7028">
        <f>VLOOKUP(C7028,Меню!A:E,5,0)</f>
        <v>250</v>
      </c>
    </row>
    <row r="7029" spans="1:6" ht="15.75" hidden="1" customHeight="1" x14ac:dyDescent="0.35">
      <c r="A7029" s="1">
        <v>7028</v>
      </c>
      <c r="B7029" s="1">
        <v>1398</v>
      </c>
      <c r="C7029" s="1">
        <v>39</v>
      </c>
      <c r="D7029" t="str">
        <f>VLOOKUP(B7029,Заказы!A:C,3,0)</f>
        <v>2024-02-07 17:59:00</v>
      </c>
      <c r="E7029" t="str">
        <f>VLOOKUP(C7029,Меню!A:E,4,0)</f>
        <v>Десерт</v>
      </c>
      <c r="F7029">
        <f>VLOOKUP(C7029,Меню!A:E,5,0)</f>
        <v>150</v>
      </c>
    </row>
    <row r="7030" spans="1:6" ht="15.75" hidden="1" customHeight="1" x14ac:dyDescent="0.35">
      <c r="A7030" s="1">
        <v>7029</v>
      </c>
      <c r="B7030" s="1">
        <v>1398</v>
      </c>
      <c r="C7030" s="1">
        <v>44</v>
      </c>
      <c r="D7030" t="str">
        <f>VLOOKUP(B7030,Заказы!A:C,3,0)</f>
        <v>2024-02-07 17:59:00</v>
      </c>
      <c r="E7030" t="str">
        <f>VLOOKUP(C7030,Меню!A:E,4,0)</f>
        <v>Суши</v>
      </c>
      <c r="F7030">
        <f>VLOOKUP(C7030,Меню!A:E,5,0)</f>
        <v>250</v>
      </c>
    </row>
    <row r="7031" spans="1:6" ht="15.75" hidden="1" customHeight="1" x14ac:dyDescent="0.35">
      <c r="A7031" s="1">
        <v>7030</v>
      </c>
      <c r="B7031" s="1">
        <v>1399</v>
      </c>
      <c r="C7031" s="1">
        <v>26</v>
      </c>
      <c r="D7031" t="str">
        <f>VLOOKUP(B7031,Заказы!A:C,3,0)</f>
        <v>2024-02-07 19:12:00</v>
      </c>
      <c r="E7031" t="str">
        <f>VLOOKUP(C7031,Меню!A:E,4,0)</f>
        <v>Салат</v>
      </c>
      <c r="F7031">
        <f>VLOOKUP(C7031,Меню!A:E,5,0)</f>
        <v>250</v>
      </c>
    </row>
    <row r="7032" spans="1:6" ht="15.75" hidden="1" customHeight="1" x14ac:dyDescent="0.35">
      <c r="A7032" s="1">
        <v>7031</v>
      </c>
      <c r="B7032" s="1">
        <v>1399</v>
      </c>
      <c r="C7032" s="1">
        <v>60</v>
      </c>
      <c r="D7032" t="str">
        <f>VLOOKUP(B7032,Заказы!A:C,3,0)</f>
        <v>2024-02-07 19:12:00</v>
      </c>
      <c r="E7032" t="str">
        <f>VLOOKUP(C7032,Меню!A:E,4,0)</f>
        <v>Суши</v>
      </c>
      <c r="F7032">
        <f>VLOOKUP(C7032,Меню!A:E,5,0)</f>
        <v>250</v>
      </c>
    </row>
    <row r="7033" spans="1:6" ht="15.75" hidden="1" customHeight="1" x14ac:dyDescent="0.35">
      <c r="A7033" s="1">
        <v>7032</v>
      </c>
      <c r="B7033" s="1">
        <v>1399</v>
      </c>
      <c r="C7033" s="1">
        <v>3</v>
      </c>
      <c r="D7033" t="str">
        <f>VLOOKUP(B7033,Заказы!A:C,3,0)</f>
        <v>2024-02-07 19:12:00</v>
      </c>
      <c r="E7033" t="str">
        <f>VLOOKUP(C7033,Меню!A:E,4,0)</f>
        <v>Завтрак</v>
      </c>
      <c r="F7033">
        <f>VLOOKUP(C7033,Меню!A:E,5,0)</f>
        <v>150</v>
      </c>
    </row>
    <row r="7034" spans="1:6" ht="15.75" hidden="1" customHeight="1" x14ac:dyDescent="0.35">
      <c r="A7034" s="1">
        <v>7033</v>
      </c>
      <c r="B7034" s="1">
        <v>1399</v>
      </c>
      <c r="C7034" s="1">
        <v>59</v>
      </c>
      <c r="D7034" t="str">
        <f>VLOOKUP(B7034,Заказы!A:C,3,0)</f>
        <v>2024-02-07 19:12:00</v>
      </c>
      <c r="E7034" t="str">
        <f>VLOOKUP(C7034,Меню!A:E,4,0)</f>
        <v>Суши</v>
      </c>
      <c r="F7034">
        <f>VLOOKUP(C7034,Меню!A:E,5,0)</f>
        <v>300</v>
      </c>
    </row>
    <row r="7035" spans="1:6" ht="15.75" hidden="1" customHeight="1" x14ac:dyDescent="0.35">
      <c r="A7035" s="1">
        <v>7034</v>
      </c>
      <c r="B7035" s="1">
        <v>1399</v>
      </c>
      <c r="C7035" s="1">
        <v>30</v>
      </c>
      <c r="D7035" t="str">
        <f>VLOOKUP(B7035,Заказы!A:C,3,0)</f>
        <v>2024-02-07 19:12:00</v>
      </c>
      <c r="E7035" t="str">
        <f>VLOOKUP(C7035,Меню!A:E,4,0)</f>
        <v>Салат</v>
      </c>
      <c r="F7035">
        <f>VLOOKUP(C7035,Меню!A:E,5,0)</f>
        <v>250</v>
      </c>
    </row>
    <row r="7036" spans="1:6" ht="15.75" hidden="1" customHeight="1" x14ac:dyDescent="0.35">
      <c r="A7036" s="1">
        <v>7035</v>
      </c>
      <c r="B7036" s="1">
        <v>1399</v>
      </c>
      <c r="C7036" s="1">
        <v>18</v>
      </c>
      <c r="D7036" t="str">
        <f>VLOOKUP(B7036,Заказы!A:C,3,0)</f>
        <v>2024-02-07 19:12:00</v>
      </c>
      <c r="E7036" t="str">
        <f>VLOOKUP(C7036,Меню!A:E,4,0)</f>
        <v>Первое</v>
      </c>
      <c r="F7036">
        <f>VLOOKUP(C7036,Меню!A:E,5,0)</f>
        <v>300</v>
      </c>
    </row>
    <row r="7037" spans="1:6" ht="15.75" hidden="1" customHeight="1" x14ac:dyDescent="0.35">
      <c r="A7037" s="1">
        <v>7036</v>
      </c>
      <c r="B7037" s="1">
        <v>1399</v>
      </c>
      <c r="C7037" s="1">
        <v>29</v>
      </c>
      <c r="D7037" t="str">
        <f>VLOOKUP(B7037,Заказы!A:C,3,0)</f>
        <v>2024-02-07 19:12:00</v>
      </c>
      <c r="E7037" t="str">
        <f>VLOOKUP(C7037,Меню!A:E,4,0)</f>
        <v>Салат</v>
      </c>
      <c r="F7037">
        <f>VLOOKUP(C7037,Меню!A:E,5,0)</f>
        <v>250</v>
      </c>
    </row>
    <row r="7038" spans="1:6" ht="15.75" hidden="1" customHeight="1" x14ac:dyDescent="0.35">
      <c r="A7038" s="1">
        <v>7037</v>
      </c>
      <c r="B7038" s="1">
        <v>1399</v>
      </c>
      <c r="C7038" s="1">
        <v>34</v>
      </c>
      <c r="D7038" t="str">
        <f>VLOOKUP(B7038,Заказы!A:C,3,0)</f>
        <v>2024-02-07 19:12:00</v>
      </c>
      <c r="E7038" t="str">
        <f>VLOOKUP(C7038,Меню!A:E,4,0)</f>
        <v>Десерт</v>
      </c>
      <c r="F7038">
        <f>VLOOKUP(C7038,Меню!A:E,5,0)</f>
        <v>150</v>
      </c>
    </row>
    <row r="7039" spans="1:6" ht="15.75" hidden="1" customHeight="1" x14ac:dyDescent="0.35">
      <c r="A7039" s="1">
        <v>7038</v>
      </c>
      <c r="B7039" s="1">
        <v>1400</v>
      </c>
      <c r="C7039" s="1">
        <v>53</v>
      </c>
      <c r="D7039" t="str">
        <f>VLOOKUP(B7039,Заказы!A:C,3,0)</f>
        <v>2024-02-07 19:28:00</v>
      </c>
      <c r="E7039" t="str">
        <f>VLOOKUP(C7039,Меню!A:E,4,0)</f>
        <v>Суши</v>
      </c>
      <c r="F7039">
        <f>VLOOKUP(C7039,Меню!A:E,5,0)</f>
        <v>100</v>
      </c>
    </row>
    <row r="7040" spans="1:6" ht="15.75" hidden="1" customHeight="1" x14ac:dyDescent="0.35">
      <c r="A7040" s="1">
        <v>7039</v>
      </c>
      <c r="B7040" s="1">
        <v>1400</v>
      </c>
      <c r="C7040" s="1">
        <v>35</v>
      </c>
      <c r="D7040" t="str">
        <f>VLOOKUP(B7040,Заказы!A:C,3,0)</f>
        <v>2024-02-07 19:28:00</v>
      </c>
      <c r="E7040" t="str">
        <f>VLOOKUP(C7040,Меню!A:E,4,0)</f>
        <v>Десерт</v>
      </c>
      <c r="F7040">
        <f>VLOOKUP(C7040,Меню!A:E,5,0)</f>
        <v>150</v>
      </c>
    </row>
    <row r="7041" spans="1:6" ht="15.75" hidden="1" customHeight="1" x14ac:dyDescent="0.35">
      <c r="A7041" s="1">
        <v>7040</v>
      </c>
      <c r="B7041" s="1">
        <v>1400</v>
      </c>
      <c r="C7041" s="1">
        <v>49</v>
      </c>
      <c r="D7041" t="str">
        <f>VLOOKUP(B7041,Заказы!A:C,3,0)</f>
        <v>2024-02-07 19:28:00</v>
      </c>
      <c r="E7041" t="str">
        <f>VLOOKUP(C7041,Меню!A:E,4,0)</f>
        <v>Суши</v>
      </c>
      <c r="F7041">
        <f>VLOOKUP(C7041,Меню!A:E,5,0)</f>
        <v>200</v>
      </c>
    </row>
    <row r="7042" spans="1:6" ht="15.75" hidden="1" customHeight="1" x14ac:dyDescent="0.35">
      <c r="A7042" s="1">
        <v>7041</v>
      </c>
      <c r="B7042" s="1">
        <v>1400</v>
      </c>
      <c r="C7042" s="1">
        <v>58</v>
      </c>
      <c r="D7042" t="str">
        <f>VLOOKUP(B7042,Заказы!A:C,3,0)</f>
        <v>2024-02-07 19:28:00</v>
      </c>
      <c r="E7042" t="str">
        <f>VLOOKUP(C7042,Меню!A:E,4,0)</f>
        <v>Суши</v>
      </c>
      <c r="F7042">
        <f>VLOOKUP(C7042,Меню!A:E,5,0)</f>
        <v>200</v>
      </c>
    </row>
    <row r="7043" spans="1:6" ht="15.75" hidden="1" customHeight="1" x14ac:dyDescent="0.35">
      <c r="A7043" s="1">
        <v>7042</v>
      </c>
      <c r="B7043" s="1">
        <v>1400</v>
      </c>
      <c r="C7043" s="1">
        <v>26</v>
      </c>
      <c r="D7043" t="str">
        <f>VLOOKUP(B7043,Заказы!A:C,3,0)</f>
        <v>2024-02-07 19:28:00</v>
      </c>
      <c r="E7043" t="str">
        <f>VLOOKUP(C7043,Меню!A:E,4,0)</f>
        <v>Салат</v>
      </c>
      <c r="F7043">
        <f>VLOOKUP(C7043,Меню!A:E,5,0)</f>
        <v>250</v>
      </c>
    </row>
    <row r="7044" spans="1:6" ht="15.75" hidden="1" customHeight="1" x14ac:dyDescent="0.35">
      <c r="A7044" s="1">
        <v>7043</v>
      </c>
      <c r="B7044" s="1">
        <v>1400</v>
      </c>
      <c r="C7044" s="1">
        <v>58</v>
      </c>
      <c r="D7044" t="str">
        <f>VLOOKUP(B7044,Заказы!A:C,3,0)</f>
        <v>2024-02-07 19:28:00</v>
      </c>
      <c r="E7044" t="str">
        <f>VLOOKUP(C7044,Меню!A:E,4,0)</f>
        <v>Суши</v>
      </c>
      <c r="F7044">
        <f>VLOOKUP(C7044,Меню!A:E,5,0)</f>
        <v>200</v>
      </c>
    </row>
    <row r="7045" spans="1:6" ht="15.75" hidden="1" customHeight="1" x14ac:dyDescent="0.35">
      <c r="A7045" s="1">
        <v>7044</v>
      </c>
      <c r="B7045" s="1">
        <v>1400</v>
      </c>
      <c r="C7045" s="1">
        <v>39</v>
      </c>
      <c r="D7045" t="str">
        <f>VLOOKUP(B7045,Заказы!A:C,3,0)</f>
        <v>2024-02-07 19:28:00</v>
      </c>
      <c r="E7045" t="str">
        <f>VLOOKUP(C7045,Меню!A:E,4,0)</f>
        <v>Десерт</v>
      </c>
      <c r="F7045">
        <f>VLOOKUP(C7045,Меню!A:E,5,0)</f>
        <v>150</v>
      </c>
    </row>
    <row r="7046" spans="1:6" ht="15.75" hidden="1" customHeight="1" x14ac:dyDescent="0.35">
      <c r="A7046" s="1">
        <v>7045</v>
      </c>
      <c r="B7046" s="1">
        <v>1401</v>
      </c>
      <c r="C7046" s="1">
        <v>29</v>
      </c>
      <c r="D7046" t="str">
        <f>VLOOKUP(B7046,Заказы!A:C,3,0)</f>
        <v>2024-02-07 19:38:00</v>
      </c>
      <c r="E7046" t="str">
        <f>VLOOKUP(C7046,Меню!A:E,4,0)</f>
        <v>Салат</v>
      </c>
      <c r="F7046">
        <f>VLOOKUP(C7046,Меню!A:E,5,0)</f>
        <v>250</v>
      </c>
    </row>
    <row r="7047" spans="1:6" ht="15.75" hidden="1" customHeight="1" x14ac:dyDescent="0.35">
      <c r="A7047" s="1">
        <v>7046</v>
      </c>
      <c r="B7047" s="1">
        <v>1401</v>
      </c>
      <c r="C7047" s="1">
        <v>37</v>
      </c>
      <c r="D7047" t="str">
        <f>VLOOKUP(B7047,Заказы!A:C,3,0)</f>
        <v>2024-02-07 19:38:00</v>
      </c>
      <c r="E7047" t="str">
        <f>VLOOKUP(C7047,Меню!A:E,4,0)</f>
        <v>Десерт</v>
      </c>
      <c r="F7047">
        <f>VLOOKUP(C7047,Меню!A:E,5,0)</f>
        <v>100</v>
      </c>
    </row>
    <row r="7048" spans="1:6" ht="15.75" hidden="1" customHeight="1" x14ac:dyDescent="0.35">
      <c r="A7048" s="1">
        <v>7047</v>
      </c>
      <c r="B7048" s="1">
        <v>1401</v>
      </c>
      <c r="C7048" s="1">
        <v>22</v>
      </c>
      <c r="D7048" t="str">
        <f>VLOOKUP(B7048,Заказы!A:C,3,0)</f>
        <v>2024-02-07 19:38:00</v>
      </c>
      <c r="E7048" t="str">
        <f>VLOOKUP(C7048,Меню!A:E,4,0)</f>
        <v>Салат</v>
      </c>
      <c r="F7048">
        <f>VLOOKUP(C7048,Меню!A:E,5,0)</f>
        <v>250</v>
      </c>
    </row>
    <row r="7049" spans="1:6" ht="15.75" hidden="1" customHeight="1" x14ac:dyDescent="0.35">
      <c r="A7049" s="1">
        <v>7048</v>
      </c>
      <c r="B7049" s="1">
        <v>1401</v>
      </c>
      <c r="C7049" s="1">
        <v>35</v>
      </c>
      <c r="D7049" t="str">
        <f>VLOOKUP(B7049,Заказы!A:C,3,0)</f>
        <v>2024-02-07 19:38:00</v>
      </c>
      <c r="E7049" t="str">
        <f>VLOOKUP(C7049,Меню!A:E,4,0)</f>
        <v>Десерт</v>
      </c>
      <c r="F7049">
        <f>VLOOKUP(C7049,Меню!A:E,5,0)</f>
        <v>150</v>
      </c>
    </row>
    <row r="7050" spans="1:6" ht="15.75" hidden="1" customHeight="1" x14ac:dyDescent="0.35">
      <c r="A7050" s="1">
        <v>7049</v>
      </c>
      <c r="B7050" s="1">
        <v>1401</v>
      </c>
      <c r="C7050" s="1">
        <v>34</v>
      </c>
      <c r="D7050" t="str">
        <f>VLOOKUP(B7050,Заказы!A:C,3,0)</f>
        <v>2024-02-07 19:38:00</v>
      </c>
      <c r="E7050" t="str">
        <f>VLOOKUP(C7050,Меню!A:E,4,0)</f>
        <v>Десерт</v>
      </c>
      <c r="F7050">
        <f>VLOOKUP(C7050,Меню!A:E,5,0)</f>
        <v>150</v>
      </c>
    </row>
    <row r="7051" spans="1:6" ht="15.75" hidden="1" customHeight="1" x14ac:dyDescent="0.35">
      <c r="A7051" s="1">
        <v>7050</v>
      </c>
      <c r="B7051" s="1">
        <v>1401</v>
      </c>
      <c r="C7051" s="1">
        <v>18</v>
      </c>
      <c r="D7051" t="str">
        <f>VLOOKUP(B7051,Заказы!A:C,3,0)</f>
        <v>2024-02-07 19:38:00</v>
      </c>
      <c r="E7051" t="str">
        <f>VLOOKUP(C7051,Меню!A:E,4,0)</f>
        <v>Первое</v>
      </c>
      <c r="F7051">
        <f>VLOOKUP(C7051,Меню!A:E,5,0)</f>
        <v>300</v>
      </c>
    </row>
    <row r="7052" spans="1:6" ht="15.75" hidden="1" customHeight="1" x14ac:dyDescent="0.35">
      <c r="A7052" s="1">
        <v>7051</v>
      </c>
      <c r="B7052" s="1">
        <v>1401</v>
      </c>
      <c r="C7052" s="1">
        <v>47</v>
      </c>
      <c r="D7052" t="str">
        <f>VLOOKUP(B7052,Заказы!A:C,3,0)</f>
        <v>2024-02-07 19:38:00</v>
      </c>
      <c r="E7052" t="str">
        <f>VLOOKUP(C7052,Меню!A:E,4,0)</f>
        <v>Суши</v>
      </c>
      <c r="F7052">
        <f>VLOOKUP(C7052,Меню!A:E,5,0)</f>
        <v>200</v>
      </c>
    </row>
    <row r="7053" spans="1:6" ht="15.75" hidden="1" customHeight="1" x14ac:dyDescent="0.35">
      <c r="A7053" s="1">
        <v>7052</v>
      </c>
      <c r="B7053" s="1">
        <v>1401</v>
      </c>
      <c r="C7053" s="1">
        <v>49</v>
      </c>
      <c r="D7053" t="str">
        <f>VLOOKUP(B7053,Заказы!A:C,3,0)</f>
        <v>2024-02-07 19:38:00</v>
      </c>
      <c r="E7053" t="str">
        <f>VLOOKUP(C7053,Меню!A:E,4,0)</f>
        <v>Суши</v>
      </c>
      <c r="F7053">
        <f>VLOOKUP(C7053,Меню!A:E,5,0)</f>
        <v>200</v>
      </c>
    </row>
    <row r="7054" spans="1:6" ht="15.75" hidden="1" customHeight="1" x14ac:dyDescent="0.35">
      <c r="A7054" s="1">
        <v>7053</v>
      </c>
      <c r="B7054" s="1">
        <v>1402</v>
      </c>
      <c r="C7054" s="1">
        <v>59</v>
      </c>
      <c r="D7054" t="str">
        <f>VLOOKUP(B7054,Заказы!A:C,3,0)</f>
        <v>2024-02-07 21:09:00</v>
      </c>
      <c r="E7054" t="str">
        <f>VLOOKUP(C7054,Меню!A:E,4,0)</f>
        <v>Суши</v>
      </c>
      <c r="F7054">
        <f>VLOOKUP(C7054,Меню!A:E,5,0)</f>
        <v>300</v>
      </c>
    </row>
    <row r="7055" spans="1:6" ht="15.75" hidden="1" customHeight="1" x14ac:dyDescent="0.35">
      <c r="A7055" s="1">
        <v>7054</v>
      </c>
      <c r="B7055" s="1">
        <v>1402</v>
      </c>
      <c r="C7055" s="1">
        <v>9</v>
      </c>
      <c r="D7055" t="str">
        <f>VLOOKUP(B7055,Заказы!A:C,3,0)</f>
        <v>2024-02-07 21:09:00</v>
      </c>
      <c r="E7055" t="str">
        <f>VLOOKUP(C7055,Меню!A:E,4,0)</f>
        <v>Завтрак</v>
      </c>
      <c r="F7055">
        <f>VLOOKUP(C7055,Меню!A:E,5,0)</f>
        <v>220</v>
      </c>
    </row>
    <row r="7056" spans="1:6" ht="15.75" hidden="1" customHeight="1" x14ac:dyDescent="0.35">
      <c r="A7056" s="1">
        <v>7055</v>
      </c>
      <c r="B7056" s="1">
        <v>1403</v>
      </c>
      <c r="C7056" s="1">
        <v>51</v>
      </c>
      <c r="D7056" t="str">
        <f>VLOOKUP(B7056,Заказы!A:C,3,0)</f>
        <v>2024-02-07 21:11:00</v>
      </c>
      <c r="E7056" t="str">
        <f>VLOOKUP(C7056,Меню!A:E,4,0)</f>
        <v>Суши</v>
      </c>
      <c r="F7056">
        <f>VLOOKUP(C7056,Меню!A:E,5,0)</f>
        <v>100</v>
      </c>
    </row>
    <row r="7057" spans="1:6" ht="15.75" hidden="1" customHeight="1" x14ac:dyDescent="0.35">
      <c r="A7057" s="1">
        <v>7056</v>
      </c>
      <c r="B7057" s="1">
        <v>1403</v>
      </c>
      <c r="C7057" s="1">
        <v>33</v>
      </c>
      <c r="D7057" t="str">
        <f>VLOOKUP(B7057,Заказы!A:C,3,0)</f>
        <v>2024-02-07 21:11:00</v>
      </c>
      <c r="E7057" t="str">
        <f>VLOOKUP(C7057,Меню!A:E,4,0)</f>
        <v>Десерт</v>
      </c>
      <c r="F7057">
        <f>VLOOKUP(C7057,Меню!A:E,5,0)</f>
        <v>150</v>
      </c>
    </row>
    <row r="7058" spans="1:6" ht="15.75" hidden="1" customHeight="1" x14ac:dyDescent="0.35">
      <c r="A7058" s="1">
        <v>7057</v>
      </c>
      <c r="B7058" s="1">
        <v>1404</v>
      </c>
      <c r="C7058" s="1">
        <v>59</v>
      </c>
      <c r="D7058" t="str">
        <f>VLOOKUP(B7058,Заказы!A:C,3,0)</f>
        <v>2024-02-07 22:45:00</v>
      </c>
      <c r="E7058" t="str">
        <f>VLOOKUP(C7058,Меню!A:E,4,0)</f>
        <v>Суши</v>
      </c>
      <c r="F7058">
        <f>VLOOKUP(C7058,Меню!A:E,5,0)</f>
        <v>300</v>
      </c>
    </row>
    <row r="7059" spans="1:6" ht="15.75" hidden="1" customHeight="1" x14ac:dyDescent="0.35">
      <c r="A7059" s="1">
        <v>7058</v>
      </c>
      <c r="B7059" s="1">
        <v>1404</v>
      </c>
      <c r="C7059" s="1">
        <v>50</v>
      </c>
      <c r="D7059" t="str">
        <f>VLOOKUP(B7059,Заказы!A:C,3,0)</f>
        <v>2024-02-07 22:45:00</v>
      </c>
      <c r="E7059" t="str">
        <f>VLOOKUP(C7059,Меню!A:E,4,0)</f>
        <v>Суши</v>
      </c>
      <c r="F7059">
        <f>VLOOKUP(C7059,Меню!A:E,5,0)</f>
        <v>200</v>
      </c>
    </row>
    <row r="7060" spans="1:6" ht="15.75" hidden="1" customHeight="1" x14ac:dyDescent="0.35">
      <c r="A7060" s="1">
        <v>7059</v>
      </c>
      <c r="B7060" s="1">
        <v>1405</v>
      </c>
      <c r="C7060" s="1">
        <v>4</v>
      </c>
      <c r="D7060" t="str">
        <f>VLOOKUP(B7060,Заказы!A:C,3,0)</f>
        <v>2024-02-08 15:34:00</v>
      </c>
      <c r="E7060" t="str">
        <f>VLOOKUP(C7060,Меню!A:E,4,0)</f>
        <v>Завтрак</v>
      </c>
      <c r="F7060">
        <f>VLOOKUP(C7060,Меню!A:E,5,0)</f>
        <v>180</v>
      </c>
    </row>
    <row r="7061" spans="1:6" ht="15.75" hidden="1" customHeight="1" x14ac:dyDescent="0.35">
      <c r="A7061" s="1">
        <v>7060</v>
      </c>
      <c r="B7061" s="1">
        <v>1405</v>
      </c>
      <c r="C7061" s="1">
        <v>26</v>
      </c>
      <c r="D7061" t="str">
        <f>VLOOKUP(B7061,Заказы!A:C,3,0)</f>
        <v>2024-02-08 15:34:00</v>
      </c>
      <c r="E7061" t="str">
        <f>VLOOKUP(C7061,Меню!A:E,4,0)</f>
        <v>Салат</v>
      </c>
      <c r="F7061">
        <f>VLOOKUP(C7061,Меню!A:E,5,0)</f>
        <v>250</v>
      </c>
    </row>
    <row r="7062" spans="1:6" ht="15.75" hidden="1" customHeight="1" x14ac:dyDescent="0.35">
      <c r="A7062" s="1">
        <v>7061</v>
      </c>
      <c r="B7062" s="1">
        <v>1405</v>
      </c>
      <c r="C7062" s="1">
        <v>37</v>
      </c>
      <c r="D7062" t="str">
        <f>VLOOKUP(B7062,Заказы!A:C,3,0)</f>
        <v>2024-02-08 15:34:00</v>
      </c>
      <c r="E7062" t="str">
        <f>VLOOKUP(C7062,Меню!A:E,4,0)</f>
        <v>Десерт</v>
      </c>
      <c r="F7062">
        <f>VLOOKUP(C7062,Меню!A:E,5,0)</f>
        <v>100</v>
      </c>
    </row>
    <row r="7063" spans="1:6" ht="15.75" hidden="1" customHeight="1" x14ac:dyDescent="0.35">
      <c r="A7063" s="1">
        <v>7062</v>
      </c>
      <c r="B7063" s="1">
        <v>1405</v>
      </c>
      <c r="C7063" s="1">
        <v>46</v>
      </c>
      <c r="D7063" t="str">
        <f>VLOOKUP(B7063,Заказы!A:C,3,0)</f>
        <v>2024-02-08 15:34:00</v>
      </c>
      <c r="E7063" t="str">
        <f>VLOOKUP(C7063,Меню!A:E,4,0)</f>
        <v>Суши</v>
      </c>
      <c r="F7063">
        <f>VLOOKUP(C7063,Меню!A:E,5,0)</f>
        <v>200</v>
      </c>
    </row>
    <row r="7064" spans="1:6" ht="15.75" hidden="1" customHeight="1" x14ac:dyDescent="0.35">
      <c r="A7064" s="1">
        <v>7063</v>
      </c>
      <c r="B7064" s="1">
        <v>1406</v>
      </c>
      <c r="C7064" s="1">
        <v>17</v>
      </c>
      <c r="D7064" t="str">
        <f>VLOOKUP(B7064,Заказы!A:C,3,0)</f>
        <v>2024-02-08 18:14:00</v>
      </c>
      <c r="E7064" t="str">
        <f>VLOOKUP(C7064,Меню!A:E,4,0)</f>
        <v>Первое</v>
      </c>
      <c r="F7064">
        <f>VLOOKUP(C7064,Меню!A:E,5,0)</f>
        <v>250</v>
      </c>
    </row>
    <row r="7065" spans="1:6" ht="15.75" hidden="1" customHeight="1" x14ac:dyDescent="0.35">
      <c r="A7065" s="1">
        <v>7064</v>
      </c>
      <c r="B7065" s="1">
        <v>1406</v>
      </c>
      <c r="C7065" s="1">
        <v>56</v>
      </c>
      <c r="D7065" t="str">
        <f>VLOOKUP(B7065,Заказы!A:C,3,0)</f>
        <v>2024-02-08 18:14:00</v>
      </c>
      <c r="E7065" t="str">
        <f>VLOOKUP(C7065,Меню!A:E,4,0)</f>
        <v>Суши</v>
      </c>
      <c r="F7065">
        <f>VLOOKUP(C7065,Меню!A:E,5,0)</f>
        <v>200</v>
      </c>
    </row>
    <row r="7066" spans="1:6" ht="15.75" hidden="1" customHeight="1" x14ac:dyDescent="0.35">
      <c r="A7066" s="1">
        <v>7065</v>
      </c>
      <c r="B7066" s="1">
        <v>1406</v>
      </c>
      <c r="C7066" s="1">
        <v>38</v>
      </c>
      <c r="D7066" t="str">
        <f>VLOOKUP(B7066,Заказы!A:C,3,0)</f>
        <v>2024-02-08 18:14:00</v>
      </c>
      <c r="E7066" t="str">
        <f>VLOOKUP(C7066,Меню!A:E,4,0)</f>
        <v>Десерт</v>
      </c>
      <c r="F7066">
        <f>VLOOKUP(C7066,Меню!A:E,5,0)</f>
        <v>150</v>
      </c>
    </row>
    <row r="7067" spans="1:6" ht="15.75" hidden="1" customHeight="1" x14ac:dyDescent="0.35">
      <c r="A7067" s="1">
        <v>7066</v>
      </c>
      <c r="B7067" s="1">
        <v>1406</v>
      </c>
      <c r="C7067" s="1">
        <v>57</v>
      </c>
      <c r="D7067" t="str">
        <f>VLOOKUP(B7067,Заказы!A:C,3,0)</f>
        <v>2024-02-08 18:14:00</v>
      </c>
      <c r="E7067" t="str">
        <f>VLOOKUP(C7067,Меню!A:E,4,0)</f>
        <v>Суши</v>
      </c>
      <c r="F7067">
        <f>VLOOKUP(C7067,Меню!A:E,5,0)</f>
        <v>200</v>
      </c>
    </row>
    <row r="7068" spans="1:6" ht="15.75" hidden="1" customHeight="1" x14ac:dyDescent="0.35">
      <c r="A7068" s="1">
        <v>7067</v>
      </c>
      <c r="B7068" s="1">
        <v>1406</v>
      </c>
      <c r="C7068" s="1">
        <v>23</v>
      </c>
      <c r="D7068" t="str">
        <f>VLOOKUP(B7068,Заказы!A:C,3,0)</f>
        <v>2024-02-08 18:14:00</v>
      </c>
      <c r="E7068" t="str">
        <f>VLOOKUP(C7068,Меню!A:E,4,0)</f>
        <v>Салат</v>
      </c>
      <c r="F7068">
        <f>VLOOKUP(C7068,Меню!A:E,5,0)</f>
        <v>250</v>
      </c>
    </row>
    <row r="7069" spans="1:6" ht="15.75" hidden="1" customHeight="1" x14ac:dyDescent="0.35">
      <c r="A7069" s="1">
        <v>7068</v>
      </c>
      <c r="B7069" s="1">
        <v>1406</v>
      </c>
      <c r="C7069" s="1">
        <v>34</v>
      </c>
      <c r="D7069" t="str">
        <f>VLOOKUP(B7069,Заказы!A:C,3,0)</f>
        <v>2024-02-08 18:14:00</v>
      </c>
      <c r="E7069" t="str">
        <f>VLOOKUP(C7069,Меню!A:E,4,0)</f>
        <v>Десерт</v>
      </c>
      <c r="F7069">
        <f>VLOOKUP(C7069,Меню!A:E,5,0)</f>
        <v>150</v>
      </c>
    </row>
    <row r="7070" spans="1:6" ht="15.75" hidden="1" customHeight="1" x14ac:dyDescent="0.35">
      <c r="A7070" s="1">
        <v>7069</v>
      </c>
      <c r="B7070" s="1">
        <v>1407</v>
      </c>
      <c r="C7070" s="1">
        <v>16</v>
      </c>
      <c r="D7070" t="str">
        <f>VLOOKUP(B7070,Заказы!A:C,3,0)</f>
        <v>2024-02-08 18:52:00</v>
      </c>
      <c r="E7070" t="str">
        <f>VLOOKUP(C7070,Меню!A:E,4,0)</f>
        <v>Первое</v>
      </c>
      <c r="F7070">
        <f>VLOOKUP(C7070,Меню!A:E,5,0)</f>
        <v>250</v>
      </c>
    </row>
    <row r="7071" spans="1:6" ht="15.75" hidden="1" customHeight="1" x14ac:dyDescent="0.35">
      <c r="A7071" s="1">
        <v>7070</v>
      </c>
      <c r="B7071" s="1">
        <v>1407</v>
      </c>
      <c r="C7071" s="1">
        <v>2</v>
      </c>
      <c r="D7071" t="str">
        <f>VLOOKUP(B7071,Заказы!A:C,3,0)</f>
        <v>2024-02-08 18:52:00</v>
      </c>
      <c r="E7071" t="str">
        <f>VLOOKUP(C7071,Меню!A:E,4,0)</f>
        <v>Завтрак</v>
      </c>
      <c r="F7071">
        <f>VLOOKUP(C7071,Меню!A:E,5,0)</f>
        <v>250</v>
      </c>
    </row>
    <row r="7072" spans="1:6" ht="15.75" hidden="1" customHeight="1" x14ac:dyDescent="0.35">
      <c r="A7072" s="1">
        <v>7071</v>
      </c>
      <c r="B7072" s="1">
        <v>1407</v>
      </c>
      <c r="C7072" s="1">
        <v>31</v>
      </c>
      <c r="D7072" t="str">
        <f>VLOOKUP(B7072,Заказы!A:C,3,0)</f>
        <v>2024-02-08 18:52:00</v>
      </c>
      <c r="E7072" t="str">
        <f>VLOOKUP(C7072,Меню!A:E,4,0)</f>
        <v>Десерт</v>
      </c>
      <c r="F7072">
        <f>VLOOKUP(C7072,Меню!A:E,5,0)</f>
        <v>150</v>
      </c>
    </row>
    <row r="7073" spans="1:6" ht="15.75" hidden="1" customHeight="1" x14ac:dyDescent="0.35">
      <c r="A7073" s="1">
        <v>7072</v>
      </c>
      <c r="B7073" s="1">
        <v>1407</v>
      </c>
      <c r="C7073" s="1">
        <v>17</v>
      </c>
      <c r="D7073" t="str">
        <f>VLOOKUP(B7073,Заказы!A:C,3,0)</f>
        <v>2024-02-08 18:52:00</v>
      </c>
      <c r="E7073" t="str">
        <f>VLOOKUP(C7073,Меню!A:E,4,0)</f>
        <v>Первое</v>
      </c>
      <c r="F7073">
        <f>VLOOKUP(C7073,Меню!A:E,5,0)</f>
        <v>250</v>
      </c>
    </row>
    <row r="7074" spans="1:6" ht="15.75" hidden="1" customHeight="1" x14ac:dyDescent="0.35">
      <c r="A7074" s="1">
        <v>7073</v>
      </c>
      <c r="B7074" s="1">
        <v>1407</v>
      </c>
      <c r="C7074" s="1">
        <v>33</v>
      </c>
      <c r="D7074" t="str">
        <f>VLOOKUP(B7074,Заказы!A:C,3,0)</f>
        <v>2024-02-08 18:52:00</v>
      </c>
      <c r="E7074" t="str">
        <f>VLOOKUP(C7074,Меню!A:E,4,0)</f>
        <v>Десерт</v>
      </c>
      <c r="F7074">
        <f>VLOOKUP(C7074,Меню!A:E,5,0)</f>
        <v>150</v>
      </c>
    </row>
    <row r="7075" spans="1:6" ht="15.75" hidden="1" customHeight="1" x14ac:dyDescent="0.35">
      <c r="A7075" s="1">
        <v>7074</v>
      </c>
      <c r="B7075" s="1">
        <v>1407</v>
      </c>
      <c r="C7075" s="1">
        <v>36</v>
      </c>
      <c r="D7075" t="str">
        <f>VLOOKUP(B7075,Заказы!A:C,3,0)</f>
        <v>2024-02-08 18:52:00</v>
      </c>
      <c r="E7075" t="str">
        <f>VLOOKUP(C7075,Меню!A:E,4,0)</f>
        <v>Десерт</v>
      </c>
      <c r="F7075">
        <f>VLOOKUP(C7075,Меню!A:E,5,0)</f>
        <v>150</v>
      </c>
    </row>
    <row r="7076" spans="1:6" ht="15.75" hidden="1" customHeight="1" x14ac:dyDescent="0.35">
      <c r="A7076" s="1">
        <v>7075</v>
      </c>
      <c r="B7076" s="1">
        <v>1408</v>
      </c>
      <c r="C7076" s="1">
        <v>34</v>
      </c>
      <c r="D7076" t="str">
        <f>VLOOKUP(B7076,Заказы!A:C,3,0)</f>
        <v>2024-02-09 15:32:00</v>
      </c>
      <c r="E7076" t="str">
        <f>VLOOKUP(C7076,Меню!A:E,4,0)</f>
        <v>Десерт</v>
      </c>
      <c r="F7076">
        <f>VLOOKUP(C7076,Меню!A:E,5,0)</f>
        <v>150</v>
      </c>
    </row>
    <row r="7077" spans="1:6" ht="15.75" hidden="1" customHeight="1" x14ac:dyDescent="0.35">
      <c r="A7077" s="1">
        <v>7076</v>
      </c>
      <c r="B7077" s="1">
        <v>1408</v>
      </c>
      <c r="C7077" s="1">
        <v>58</v>
      </c>
      <c r="D7077" t="str">
        <f>VLOOKUP(B7077,Заказы!A:C,3,0)</f>
        <v>2024-02-09 15:32:00</v>
      </c>
      <c r="E7077" t="str">
        <f>VLOOKUP(C7077,Меню!A:E,4,0)</f>
        <v>Суши</v>
      </c>
      <c r="F7077">
        <f>VLOOKUP(C7077,Меню!A:E,5,0)</f>
        <v>200</v>
      </c>
    </row>
    <row r="7078" spans="1:6" ht="15.75" hidden="1" customHeight="1" x14ac:dyDescent="0.35">
      <c r="A7078" s="1">
        <v>7077</v>
      </c>
      <c r="B7078" s="1">
        <v>1408</v>
      </c>
      <c r="C7078" s="1">
        <v>23</v>
      </c>
      <c r="D7078" t="str">
        <f>VLOOKUP(B7078,Заказы!A:C,3,0)</f>
        <v>2024-02-09 15:32:00</v>
      </c>
      <c r="E7078" t="str">
        <f>VLOOKUP(C7078,Меню!A:E,4,0)</f>
        <v>Салат</v>
      </c>
      <c r="F7078">
        <f>VLOOKUP(C7078,Меню!A:E,5,0)</f>
        <v>250</v>
      </c>
    </row>
    <row r="7079" spans="1:6" ht="15.75" hidden="1" customHeight="1" x14ac:dyDescent="0.35">
      <c r="A7079" s="1">
        <v>7078</v>
      </c>
      <c r="B7079" s="1">
        <v>1409</v>
      </c>
      <c r="C7079" s="1">
        <v>8</v>
      </c>
      <c r="D7079" t="str">
        <f>VLOOKUP(B7079,Заказы!A:C,3,0)</f>
        <v>2024-02-10 15:18:00</v>
      </c>
      <c r="E7079" t="str">
        <f>VLOOKUP(C7079,Меню!A:E,4,0)</f>
        <v>Завтрак</v>
      </c>
      <c r="F7079">
        <f>VLOOKUP(C7079,Меню!A:E,5,0)</f>
        <v>180</v>
      </c>
    </row>
    <row r="7080" spans="1:6" ht="15.75" hidden="1" customHeight="1" x14ac:dyDescent="0.35">
      <c r="A7080" s="1">
        <v>7079</v>
      </c>
      <c r="B7080" s="1">
        <v>1409</v>
      </c>
      <c r="C7080" s="1">
        <v>22</v>
      </c>
      <c r="D7080" t="str">
        <f>VLOOKUP(B7080,Заказы!A:C,3,0)</f>
        <v>2024-02-10 15:18:00</v>
      </c>
      <c r="E7080" t="str">
        <f>VLOOKUP(C7080,Меню!A:E,4,0)</f>
        <v>Салат</v>
      </c>
      <c r="F7080">
        <f>VLOOKUP(C7080,Меню!A:E,5,0)</f>
        <v>250</v>
      </c>
    </row>
    <row r="7081" spans="1:6" ht="15.75" hidden="1" customHeight="1" x14ac:dyDescent="0.35">
      <c r="A7081" s="1">
        <v>7080</v>
      </c>
      <c r="B7081" s="1">
        <v>1409</v>
      </c>
      <c r="C7081" s="1">
        <v>36</v>
      </c>
      <c r="D7081" t="str">
        <f>VLOOKUP(B7081,Заказы!A:C,3,0)</f>
        <v>2024-02-10 15:18:00</v>
      </c>
      <c r="E7081" t="str">
        <f>VLOOKUP(C7081,Меню!A:E,4,0)</f>
        <v>Десерт</v>
      </c>
      <c r="F7081">
        <f>VLOOKUP(C7081,Меню!A:E,5,0)</f>
        <v>150</v>
      </c>
    </row>
    <row r="7082" spans="1:6" ht="15.75" hidden="1" customHeight="1" x14ac:dyDescent="0.35">
      <c r="A7082" s="1">
        <v>7081</v>
      </c>
      <c r="B7082" s="1">
        <v>1409</v>
      </c>
      <c r="C7082" s="1">
        <v>58</v>
      </c>
      <c r="D7082" t="str">
        <f>VLOOKUP(B7082,Заказы!A:C,3,0)</f>
        <v>2024-02-10 15:18:00</v>
      </c>
      <c r="E7082" t="str">
        <f>VLOOKUP(C7082,Меню!A:E,4,0)</f>
        <v>Суши</v>
      </c>
      <c r="F7082">
        <f>VLOOKUP(C7082,Меню!A:E,5,0)</f>
        <v>200</v>
      </c>
    </row>
    <row r="7083" spans="1:6" ht="15.75" hidden="1" customHeight="1" x14ac:dyDescent="0.35">
      <c r="A7083" s="1">
        <v>7082</v>
      </c>
      <c r="B7083" s="1">
        <v>1409</v>
      </c>
      <c r="C7083" s="1">
        <v>18</v>
      </c>
      <c r="D7083" t="str">
        <f>VLOOKUP(B7083,Заказы!A:C,3,0)</f>
        <v>2024-02-10 15:18:00</v>
      </c>
      <c r="E7083" t="str">
        <f>VLOOKUP(C7083,Меню!A:E,4,0)</f>
        <v>Первое</v>
      </c>
      <c r="F7083">
        <f>VLOOKUP(C7083,Меню!A:E,5,0)</f>
        <v>300</v>
      </c>
    </row>
    <row r="7084" spans="1:6" ht="15.75" hidden="1" customHeight="1" x14ac:dyDescent="0.35">
      <c r="A7084" s="1">
        <v>7083</v>
      </c>
      <c r="B7084" s="1">
        <v>1409</v>
      </c>
      <c r="C7084" s="1">
        <v>42</v>
      </c>
      <c r="D7084" t="str">
        <f>VLOOKUP(B7084,Заказы!A:C,3,0)</f>
        <v>2024-02-10 15:18:00</v>
      </c>
      <c r="E7084" t="str">
        <f>VLOOKUP(C7084,Меню!A:E,4,0)</f>
        <v>Суши</v>
      </c>
      <c r="F7084">
        <f>VLOOKUP(C7084,Меню!A:E,5,0)</f>
        <v>250</v>
      </c>
    </row>
    <row r="7085" spans="1:6" ht="15.75" hidden="1" customHeight="1" x14ac:dyDescent="0.35">
      <c r="A7085" s="1">
        <v>7084</v>
      </c>
      <c r="B7085" s="1">
        <v>1409</v>
      </c>
      <c r="C7085" s="1">
        <v>35</v>
      </c>
      <c r="D7085" t="str">
        <f>VLOOKUP(B7085,Заказы!A:C,3,0)</f>
        <v>2024-02-10 15:18:00</v>
      </c>
      <c r="E7085" t="str">
        <f>VLOOKUP(C7085,Меню!A:E,4,0)</f>
        <v>Десерт</v>
      </c>
      <c r="F7085">
        <f>VLOOKUP(C7085,Меню!A:E,5,0)</f>
        <v>150</v>
      </c>
    </row>
    <row r="7086" spans="1:6" ht="15.75" hidden="1" customHeight="1" x14ac:dyDescent="0.35">
      <c r="A7086" s="1">
        <v>7085</v>
      </c>
      <c r="B7086" s="1">
        <v>1410</v>
      </c>
      <c r="C7086" s="1">
        <v>37</v>
      </c>
      <c r="D7086" t="str">
        <f>VLOOKUP(B7086,Заказы!A:C,3,0)</f>
        <v>2024-02-10 15:23:00</v>
      </c>
      <c r="E7086" t="str">
        <f>VLOOKUP(C7086,Меню!A:E,4,0)</f>
        <v>Десерт</v>
      </c>
      <c r="F7086">
        <f>VLOOKUP(C7086,Меню!A:E,5,0)</f>
        <v>100</v>
      </c>
    </row>
    <row r="7087" spans="1:6" ht="15.75" hidden="1" customHeight="1" x14ac:dyDescent="0.35">
      <c r="A7087" s="1">
        <v>7086</v>
      </c>
      <c r="B7087" s="1">
        <v>1410</v>
      </c>
      <c r="C7087" s="1">
        <v>58</v>
      </c>
      <c r="D7087" t="str">
        <f>VLOOKUP(B7087,Заказы!A:C,3,0)</f>
        <v>2024-02-10 15:23:00</v>
      </c>
      <c r="E7087" t="str">
        <f>VLOOKUP(C7087,Меню!A:E,4,0)</f>
        <v>Суши</v>
      </c>
      <c r="F7087">
        <f>VLOOKUP(C7087,Меню!A:E,5,0)</f>
        <v>200</v>
      </c>
    </row>
    <row r="7088" spans="1:6" ht="15.75" hidden="1" customHeight="1" x14ac:dyDescent="0.35">
      <c r="A7088" s="1">
        <v>7087</v>
      </c>
      <c r="B7088" s="1">
        <v>1410</v>
      </c>
      <c r="C7088" s="1">
        <v>40</v>
      </c>
      <c r="D7088" t="str">
        <f>VLOOKUP(B7088,Заказы!A:C,3,0)</f>
        <v>2024-02-10 15:23:00</v>
      </c>
      <c r="E7088" t="str">
        <f>VLOOKUP(C7088,Меню!A:E,4,0)</f>
        <v>Десерт</v>
      </c>
      <c r="F7088">
        <f>VLOOKUP(C7088,Меню!A:E,5,0)</f>
        <v>150</v>
      </c>
    </row>
    <row r="7089" spans="1:6" ht="15.75" hidden="1" customHeight="1" x14ac:dyDescent="0.35">
      <c r="A7089" s="1">
        <v>7088</v>
      </c>
      <c r="B7089" s="1">
        <v>1411</v>
      </c>
      <c r="C7089" s="1">
        <v>55</v>
      </c>
      <c r="D7089" t="str">
        <f>VLOOKUP(B7089,Заказы!A:C,3,0)</f>
        <v>2024-02-10 20:32:00</v>
      </c>
      <c r="E7089" t="str">
        <f>VLOOKUP(C7089,Меню!A:E,4,0)</f>
        <v>Суши</v>
      </c>
      <c r="F7089">
        <f>VLOOKUP(C7089,Меню!A:E,5,0)</f>
        <v>100</v>
      </c>
    </row>
    <row r="7090" spans="1:6" ht="15.75" hidden="1" customHeight="1" x14ac:dyDescent="0.35">
      <c r="A7090" s="1">
        <v>7089</v>
      </c>
      <c r="B7090" s="1">
        <v>1411</v>
      </c>
      <c r="C7090" s="1">
        <v>53</v>
      </c>
      <c r="D7090" t="str">
        <f>VLOOKUP(B7090,Заказы!A:C,3,0)</f>
        <v>2024-02-10 20:32:00</v>
      </c>
      <c r="E7090" t="str">
        <f>VLOOKUP(C7090,Меню!A:E,4,0)</f>
        <v>Суши</v>
      </c>
      <c r="F7090">
        <f>VLOOKUP(C7090,Меню!A:E,5,0)</f>
        <v>100</v>
      </c>
    </row>
    <row r="7091" spans="1:6" ht="15.75" hidden="1" customHeight="1" x14ac:dyDescent="0.35">
      <c r="A7091" s="1">
        <v>7090</v>
      </c>
      <c r="B7091" s="1">
        <v>1411</v>
      </c>
      <c r="C7091" s="1">
        <v>11</v>
      </c>
      <c r="D7091" t="str">
        <f>VLOOKUP(B7091,Заказы!A:C,3,0)</f>
        <v>2024-02-10 20:32:00</v>
      </c>
      <c r="E7091" t="str">
        <f>VLOOKUP(C7091,Меню!A:E,4,0)</f>
        <v>Первое</v>
      </c>
      <c r="F7091">
        <f>VLOOKUP(C7091,Меню!A:E,5,0)</f>
        <v>300</v>
      </c>
    </row>
    <row r="7092" spans="1:6" ht="15.75" hidden="1" customHeight="1" x14ac:dyDescent="0.35">
      <c r="A7092" s="1">
        <v>7091</v>
      </c>
      <c r="B7092" s="1">
        <v>1412</v>
      </c>
      <c r="C7092" s="1">
        <v>42</v>
      </c>
      <c r="D7092" t="str">
        <f>VLOOKUP(B7092,Заказы!A:C,3,0)</f>
        <v>2024-02-10 20:59:00</v>
      </c>
      <c r="E7092" t="str">
        <f>VLOOKUP(C7092,Меню!A:E,4,0)</f>
        <v>Суши</v>
      </c>
      <c r="F7092">
        <f>VLOOKUP(C7092,Меню!A:E,5,0)</f>
        <v>250</v>
      </c>
    </row>
    <row r="7093" spans="1:6" ht="15.75" hidden="1" customHeight="1" x14ac:dyDescent="0.35">
      <c r="A7093" s="1">
        <v>7092</v>
      </c>
      <c r="B7093" s="1">
        <v>1412</v>
      </c>
      <c r="C7093" s="1">
        <v>27</v>
      </c>
      <c r="D7093" t="str">
        <f>VLOOKUP(B7093,Заказы!A:C,3,0)</f>
        <v>2024-02-10 20:59:00</v>
      </c>
      <c r="E7093" t="str">
        <f>VLOOKUP(C7093,Меню!A:E,4,0)</f>
        <v>Салат</v>
      </c>
      <c r="F7093">
        <f>VLOOKUP(C7093,Меню!A:E,5,0)</f>
        <v>250</v>
      </c>
    </row>
    <row r="7094" spans="1:6" ht="15.75" hidden="1" customHeight="1" x14ac:dyDescent="0.35">
      <c r="A7094" s="1">
        <v>7093</v>
      </c>
      <c r="B7094" s="1">
        <v>1412</v>
      </c>
      <c r="C7094" s="1">
        <v>4</v>
      </c>
      <c r="D7094" t="str">
        <f>VLOOKUP(B7094,Заказы!A:C,3,0)</f>
        <v>2024-02-10 20:59:00</v>
      </c>
      <c r="E7094" t="str">
        <f>VLOOKUP(C7094,Меню!A:E,4,0)</f>
        <v>Завтрак</v>
      </c>
      <c r="F7094">
        <f>VLOOKUP(C7094,Меню!A:E,5,0)</f>
        <v>180</v>
      </c>
    </row>
    <row r="7095" spans="1:6" ht="15.75" hidden="1" customHeight="1" x14ac:dyDescent="0.35">
      <c r="A7095" s="1">
        <v>7094</v>
      </c>
      <c r="B7095" s="1">
        <v>1412</v>
      </c>
      <c r="C7095" s="1">
        <v>45</v>
      </c>
      <c r="D7095" t="str">
        <f>VLOOKUP(B7095,Заказы!A:C,3,0)</f>
        <v>2024-02-10 20:59:00</v>
      </c>
      <c r="E7095" t="str">
        <f>VLOOKUP(C7095,Меню!A:E,4,0)</f>
        <v>Суши</v>
      </c>
      <c r="F7095">
        <f>VLOOKUP(C7095,Меню!A:E,5,0)</f>
        <v>200</v>
      </c>
    </row>
    <row r="7096" spans="1:6" ht="15.75" hidden="1" customHeight="1" x14ac:dyDescent="0.35">
      <c r="A7096" s="1">
        <v>7095</v>
      </c>
      <c r="B7096" s="1">
        <v>1412</v>
      </c>
      <c r="C7096" s="1">
        <v>45</v>
      </c>
      <c r="D7096" t="str">
        <f>VLOOKUP(B7096,Заказы!A:C,3,0)</f>
        <v>2024-02-10 20:59:00</v>
      </c>
      <c r="E7096" t="str">
        <f>VLOOKUP(C7096,Меню!A:E,4,0)</f>
        <v>Суши</v>
      </c>
      <c r="F7096">
        <f>VLOOKUP(C7096,Меню!A:E,5,0)</f>
        <v>200</v>
      </c>
    </row>
    <row r="7097" spans="1:6" ht="15.75" hidden="1" customHeight="1" x14ac:dyDescent="0.35">
      <c r="A7097" s="1">
        <v>7096</v>
      </c>
      <c r="B7097" s="1">
        <v>1412</v>
      </c>
      <c r="C7097" s="1">
        <v>55</v>
      </c>
      <c r="D7097" t="str">
        <f>VLOOKUP(B7097,Заказы!A:C,3,0)</f>
        <v>2024-02-10 20:59:00</v>
      </c>
      <c r="E7097" t="str">
        <f>VLOOKUP(C7097,Меню!A:E,4,0)</f>
        <v>Суши</v>
      </c>
      <c r="F7097">
        <f>VLOOKUP(C7097,Меню!A:E,5,0)</f>
        <v>100</v>
      </c>
    </row>
    <row r="7098" spans="1:6" ht="15.75" hidden="1" customHeight="1" x14ac:dyDescent="0.35">
      <c r="A7098" s="1">
        <v>7097</v>
      </c>
      <c r="B7098" s="1">
        <v>1412</v>
      </c>
      <c r="C7098" s="1">
        <v>9</v>
      </c>
      <c r="D7098" t="str">
        <f>VLOOKUP(B7098,Заказы!A:C,3,0)</f>
        <v>2024-02-10 20:59:00</v>
      </c>
      <c r="E7098" t="str">
        <f>VLOOKUP(C7098,Меню!A:E,4,0)</f>
        <v>Завтрак</v>
      </c>
      <c r="F7098">
        <f>VLOOKUP(C7098,Меню!A:E,5,0)</f>
        <v>220</v>
      </c>
    </row>
    <row r="7099" spans="1:6" ht="15.75" hidden="1" customHeight="1" x14ac:dyDescent="0.35">
      <c r="A7099" s="1">
        <v>7098</v>
      </c>
      <c r="B7099" s="1">
        <v>1413</v>
      </c>
      <c r="C7099" s="1">
        <v>8</v>
      </c>
      <c r="D7099" t="str">
        <f>VLOOKUP(B7099,Заказы!A:C,3,0)</f>
        <v>2024-02-11 15:03:00</v>
      </c>
      <c r="E7099" t="str">
        <f>VLOOKUP(C7099,Меню!A:E,4,0)</f>
        <v>Завтрак</v>
      </c>
      <c r="F7099">
        <f>VLOOKUP(C7099,Меню!A:E,5,0)</f>
        <v>180</v>
      </c>
    </row>
    <row r="7100" spans="1:6" ht="15.75" hidden="1" customHeight="1" x14ac:dyDescent="0.35">
      <c r="A7100" s="1">
        <v>7099</v>
      </c>
      <c r="B7100" s="1">
        <v>1413</v>
      </c>
      <c r="C7100" s="1">
        <v>28</v>
      </c>
      <c r="D7100" t="str">
        <f>VLOOKUP(B7100,Заказы!A:C,3,0)</f>
        <v>2024-02-11 15:03:00</v>
      </c>
      <c r="E7100" t="str">
        <f>VLOOKUP(C7100,Меню!A:E,4,0)</f>
        <v>Салат</v>
      </c>
      <c r="F7100">
        <f>VLOOKUP(C7100,Меню!A:E,5,0)</f>
        <v>250</v>
      </c>
    </row>
    <row r="7101" spans="1:6" ht="15.75" hidden="1" customHeight="1" x14ac:dyDescent="0.35">
      <c r="A7101" s="1">
        <v>7100</v>
      </c>
      <c r="B7101" s="1">
        <v>1413</v>
      </c>
      <c r="C7101" s="1">
        <v>58</v>
      </c>
      <c r="D7101" t="str">
        <f>VLOOKUP(B7101,Заказы!A:C,3,0)</f>
        <v>2024-02-11 15:03:00</v>
      </c>
      <c r="E7101" t="str">
        <f>VLOOKUP(C7101,Меню!A:E,4,0)</f>
        <v>Суши</v>
      </c>
      <c r="F7101">
        <f>VLOOKUP(C7101,Меню!A:E,5,0)</f>
        <v>200</v>
      </c>
    </row>
    <row r="7102" spans="1:6" ht="15.75" hidden="1" customHeight="1" x14ac:dyDescent="0.35">
      <c r="A7102" s="1">
        <v>7101</v>
      </c>
      <c r="B7102" s="1">
        <v>1414</v>
      </c>
      <c r="C7102" s="1">
        <v>25</v>
      </c>
      <c r="D7102" t="str">
        <f>VLOOKUP(B7102,Заказы!A:C,3,0)</f>
        <v>2024-02-11 22:27:00</v>
      </c>
      <c r="E7102" t="str">
        <f>VLOOKUP(C7102,Меню!A:E,4,0)</f>
        <v>Салат</v>
      </c>
      <c r="F7102">
        <f>VLOOKUP(C7102,Меню!A:E,5,0)</f>
        <v>250</v>
      </c>
    </row>
    <row r="7103" spans="1:6" ht="15.75" hidden="1" customHeight="1" x14ac:dyDescent="0.35">
      <c r="A7103" s="1">
        <v>7102</v>
      </c>
      <c r="B7103" s="1">
        <v>1415</v>
      </c>
      <c r="C7103" s="1">
        <v>44</v>
      </c>
      <c r="D7103" t="str">
        <f>VLOOKUP(B7103,Заказы!A:C,3,0)</f>
        <v>2024-02-12 15:37:00</v>
      </c>
      <c r="E7103" t="str">
        <f>VLOOKUP(C7103,Меню!A:E,4,0)</f>
        <v>Суши</v>
      </c>
      <c r="F7103">
        <f>VLOOKUP(C7103,Меню!A:E,5,0)</f>
        <v>250</v>
      </c>
    </row>
    <row r="7104" spans="1:6" ht="15.75" hidden="1" customHeight="1" x14ac:dyDescent="0.35">
      <c r="A7104" s="1">
        <v>7103</v>
      </c>
      <c r="B7104" s="1">
        <v>1415</v>
      </c>
      <c r="C7104" s="1">
        <v>44</v>
      </c>
      <c r="D7104" t="str">
        <f>VLOOKUP(B7104,Заказы!A:C,3,0)</f>
        <v>2024-02-12 15:37:00</v>
      </c>
      <c r="E7104" t="str">
        <f>VLOOKUP(C7104,Меню!A:E,4,0)</f>
        <v>Суши</v>
      </c>
      <c r="F7104">
        <f>VLOOKUP(C7104,Меню!A:E,5,0)</f>
        <v>250</v>
      </c>
    </row>
    <row r="7105" spans="1:6" ht="15.75" hidden="1" customHeight="1" x14ac:dyDescent="0.35">
      <c r="A7105" s="1">
        <v>7104</v>
      </c>
      <c r="B7105" s="1">
        <v>1415</v>
      </c>
      <c r="C7105" s="1">
        <v>53</v>
      </c>
      <c r="D7105" t="str">
        <f>VLOOKUP(B7105,Заказы!A:C,3,0)</f>
        <v>2024-02-12 15:37:00</v>
      </c>
      <c r="E7105" t="str">
        <f>VLOOKUP(C7105,Меню!A:E,4,0)</f>
        <v>Суши</v>
      </c>
      <c r="F7105">
        <f>VLOOKUP(C7105,Меню!A:E,5,0)</f>
        <v>100</v>
      </c>
    </row>
    <row r="7106" spans="1:6" ht="15.75" hidden="1" customHeight="1" x14ac:dyDescent="0.35">
      <c r="A7106" s="1">
        <v>7105</v>
      </c>
      <c r="B7106" s="1">
        <v>1415</v>
      </c>
      <c r="C7106" s="1">
        <v>45</v>
      </c>
      <c r="D7106" t="str">
        <f>VLOOKUP(B7106,Заказы!A:C,3,0)</f>
        <v>2024-02-12 15:37:00</v>
      </c>
      <c r="E7106" t="str">
        <f>VLOOKUP(C7106,Меню!A:E,4,0)</f>
        <v>Суши</v>
      </c>
      <c r="F7106">
        <f>VLOOKUP(C7106,Меню!A:E,5,0)</f>
        <v>200</v>
      </c>
    </row>
    <row r="7107" spans="1:6" ht="15.75" hidden="1" customHeight="1" x14ac:dyDescent="0.35">
      <c r="A7107" s="1">
        <v>7106</v>
      </c>
      <c r="B7107" s="1">
        <v>1415</v>
      </c>
      <c r="C7107" s="1">
        <v>30</v>
      </c>
      <c r="D7107" t="str">
        <f>VLOOKUP(B7107,Заказы!A:C,3,0)</f>
        <v>2024-02-12 15:37:00</v>
      </c>
      <c r="E7107" t="str">
        <f>VLOOKUP(C7107,Меню!A:E,4,0)</f>
        <v>Салат</v>
      </c>
      <c r="F7107">
        <f>VLOOKUP(C7107,Меню!A:E,5,0)</f>
        <v>250</v>
      </c>
    </row>
    <row r="7108" spans="1:6" ht="15.75" hidden="1" customHeight="1" x14ac:dyDescent="0.35">
      <c r="A7108" s="1">
        <v>7107</v>
      </c>
      <c r="B7108" s="1">
        <v>1416</v>
      </c>
      <c r="C7108" s="1">
        <v>6</v>
      </c>
      <c r="D7108" t="str">
        <f>VLOOKUP(B7108,Заказы!A:C,3,0)</f>
        <v>2024-02-12 16:00:00</v>
      </c>
      <c r="E7108" t="str">
        <f>VLOOKUP(C7108,Меню!A:E,4,0)</f>
        <v>Завтрак</v>
      </c>
      <c r="F7108">
        <f>VLOOKUP(C7108,Меню!A:E,5,0)</f>
        <v>300</v>
      </c>
    </row>
    <row r="7109" spans="1:6" ht="15.75" hidden="1" customHeight="1" x14ac:dyDescent="0.35">
      <c r="A7109" s="1">
        <v>7108</v>
      </c>
      <c r="B7109" s="1">
        <v>1416</v>
      </c>
      <c r="C7109" s="1">
        <v>34</v>
      </c>
      <c r="D7109" t="str">
        <f>VLOOKUP(B7109,Заказы!A:C,3,0)</f>
        <v>2024-02-12 16:00:00</v>
      </c>
      <c r="E7109" t="str">
        <f>VLOOKUP(C7109,Меню!A:E,4,0)</f>
        <v>Десерт</v>
      </c>
      <c r="F7109">
        <f>VLOOKUP(C7109,Меню!A:E,5,0)</f>
        <v>150</v>
      </c>
    </row>
    <row r="7110" spans="1:6" ht="15.75" hidden="1" customHeight="1" x14ac:dyDescent="0.35">
      <c r="A7110" s="1">
        <v>7109</v>
      </c>
      <c r="B7110" s="1">
        <v>1416</v>
      </c>
      <c r="C7110" s="1">
        <v>59</v>
      </c>
      <c r="D7110" t="str">
        <f>VLOOKUP(B7110,Заказы!A:C,3,0)</f>
        <v>2024-02-12 16:00:00</v>
      </c>
      <c r="E7110" t="str">
        <f>VLOOKUP(C7110,Меню!A:E,4,0)</f>
        <v>Суши</v>
      </c>
      <c r="F7110">
        <f>VLOOKUP(C7110,Меню!A:E,5,0)</f>
        <v>300</v>
      </c>
    </row>
    <row r="7111" spans="1:6" ht="15.75" hidden="1" customHeight="1" x14ac:dyDescent="0.35">
      <c r="A7111" s="1">
        <v>7110</v>
      </c>
      <c r="B7111" s="1">
        <v>1417</v>
      </c>
      <c r="C7111" s="1">
        <v>54</v>
      </c>
      <c r="D7111" t="str">
        <f>VLOOKUP(B7111,Заказы!A:C,3,0)</f>
        <v>2024-02-12 19:50:00</v>
      </c>
      <c r="E7111" t="str">
        <f>VLOOKUP(C7111,Меню!A:E,4,0)</f>
        <v>Суши</v>
      </c>
      <c r="F7111">
        <f>VLOOKUP(C7111,Меню!A:E,5,0)</f>
        <v>100</v>
      </c>
    </row>
    <row r="7112" spans="1:6" ht="15.75" hidden="1" customHeight="1" x14ac:dyDescent="0.35">
      <c r="A7112" s="1">
        <v>7111</v>
      </c>
      <c r="B7112" s="1">
        <v>1417</v>
      </c>
      <c r="C7112" s="1">
        <v>58</v>
      </c>
      <c r="D7112" t="str">
        <f>VLOOKUP(B7112,Заказы!A:C,3,0)</f>
        <v>2024-02-12 19:50:00</v>
      </c>
      <c r="E7112" t="str">
        <f>VLOOKUP(C7112,Меню!A:E,4,0)</f>
        <v>Суши</v>
      </c>
      <c r="F7112">
        <f>VLOOKUP(C7112,Меню!A:E,5,0)</f>
        <v>200</v>
      </c>
    </row>
    <row r="7113" spans="1:6" ht="15.75" hidden="1" customHeight="1" x14ac:dyDescent="0.35">
      <c r="A7113" s="1">
        <v>7112</v>
      </c>
      <c r="B7113" s="1">
        <v>1417</v>
      </c>
      <c r="C7113" s="1">
        <v>7</v>
      </c>
      <c r="D7113" t="str">
        <f>VLOOKUP(B7113,Заказы!A:C,3,0)</f>
        <v>2024-02-12 19:50:00</v>
      </c>
      <c r="E7113" t="str">
        <f>VLOOKUP(C7113,Меню!A:E,4,0)</f>
        <v>Завтрак</v>
      </c>
      <c r="F7113">
        <f>VLOOKUP(C7113,Меню!A:E,5,0)</f>
        <v>200</v>
      </c>
    </row>
    <row r="7114" spans="1:6" ht="15.75" hidden="1" customHeight="1" x14ac:dyDescent="0.35">
      <c r="A7114" s="1">
        <v>7113</v>
      </c>
      <c r="B7114" s="1">
        <v>1417</v>
      </c>
      <c r="C7114" s="1">
        <v>49</v>
      </c>
      <c r="D7114" t="str">
        <f>VLOOKUP(B7114,Заказы!A:C,3,0)</f>
        <v>2024-02-12 19:50:00</v>
      </c>
      <c r="E7114" t="str">
        <f>VLOOKUP(C7114,Меню!A:E,4,0)</f>
        <v>Суши</v>
      </c>
      <c r="F7114">
        <f>VLOOKUP(C7114,Меню!A:E,5,0)</f>
        <v>200</v>
      </c>
    </row>
    <row r="7115" spans="1:6" ht="15.75" hidden="1" customHeight="1" x14ac:dyDescent="0.35">
      <c r="A7115" s="1">
        <v>7114</v>
      </c>
      <c r="B7115" s="1">
        <v>1418</v>
      </c>
      <c r="C7115" s="1">
        <v>47</v>
      </c>
      <c r="D7115" t="str">
        <f>VLOOKUP(B7115,Заказы!A:C,3,0)</f>
        <v>2024-02-13 17:10:00</v>
      </c>
      <c r="E7115" t="str">
        <f>VLOOKUP(C7115,Меню!A:E,4,0)</f>
        <v>Суши</v>
      </c>
      <c r="F7115">
        <f>VLOOKUP(C7115,Меню!A:E,5,0)</f>
        <v>200</v>
      </c>
    </row>
    <row r="7116" spans="1:6" ht="15.75" hidden="1" customHeight="1" x14ac:dyDescent="0.35">
      <c r="A7116" s="1">
        <v>7115</v>
      </c>
      <c r="B7116" s="1">
        <v>1418</v>
      </c>
      <c r="C7116" s="1">
        <v>24</v>
      </c>
      <c r="D7116" t="str">
        <f>VLOOKUP(B7116,Заказы!A:C,3,0)</f>
        <v>2024-02-13 17:10:00</v>
      </c>
      <c r="E7116" t="str">
        <f>VLOOKUP(C7116,Меню!A:E,4,0)</f>
        <v>Салат</v>
      </c>
      <c r="F7116">
        <f>VLOOKUP(C7116,Меню!A:E,5,0)</f>
        <v>250</v>
      </c>
    </row>
    <row r="7117" spans="1:6" ht="15.75" hidden="1" customHeight="1" x14ac:dyDescent="0.35">
      <c r="A7117" s="1">
        <v>7116</v>
      </c>
      <c r="B7117" s="1">
        <v>1418</v>
      </c>
      <c r="C7117" s="1">
        <v>42</v>
      </c>
      <c r="D7117" t="str">
        <f>VLOOKUP(B7117,Заказы!A:C,3,0)</f>
        <v>2024-02-13 17:10:00</v>
      </c>
      <c r="E7117" t="str">
        <f>VLOOKUP(C7117,Меню!A:E,4,0)</f>
        <v>Суши</v>
      </c>
      <c r="F7117">
        <f>VLOOKUP(C7117,Меню!A:E,5,0)</f>
        <v>250</v>
      </c>
    </row>
    <row r="7118" spans="1:6" ht="15.75" hidden="1" customHeight="1" x14ac:dyDescent="0.35">
      <c r="A7118" s="1">
        <v>7117</v>
      </c>
      <c r="B7118" s="1">
        <v>1418</v>
      </c>
      <c r="C7118" s="1">
        <v>11</v>
      </c>
      <c r="D7118" t="str">
        <f>VLOOKUP(B7118,Заказы!A:C,3,0)</f>
        <v>2024-02-13 17:10:00</v>
      </c>
      <c r="E7118" t="str">
        <f>VLOOKUP(C7118,Меню!A:E,4,0)</f>
        <v>Первое</v>
      </c>
      <c r="F7118">
        <f>VLOOKUP(C7118,Меню!A:E,5,0)</f>
        <v>300</v>
      </c>
    </row>
    <row r="7119" spans="1:6" ht="15.75" hidden="1" customHeight="1" x14ac:dyDescent="0.35">
      <c r="A7119" s="1">
        <v>7118</v>
      </c>
      <c r="B7119" s="1">
        <v>1418</v>
      </c>
      <c r="C7119" s="1">
        <v>24</v>
      </c>
      <c r="D7119" t="str">
        <f>VLOOKUP(B7119,Заказы!A:C,3,0)</f>
        <v>2024-02-13 17:10:00</v>
      </c>
      <c r="E7119" t="str">
        <f>VLOOKUP(C7119,Меню!A:E,4,0)</f>
        <v>Салат</v>
      </c>
      <c r="F7119">
        <f>VLOOKUP(C7119,Меню!A:E,5,0)</f>
        <v>250</v>
      </c>
    </row>
    <row r="7120" spans="1:6" ht="15.75" hidden="1" customHeight="1" x14ac:dyDescent="0.35">
      <c r="A7120" s="1">
        <v>7119</v>
      </c>
      <c r="B7120" s="1">
        <v>1418</v>
      </c>
      <c r="C7120" s="1">
        <v>24</v>
      </c>
      <c r="D7120" t="str">
        <f>VLOOKUP(B7120,Заказы!A:C,3,0)</f>
        <v>2024-02-13 17:10:00</v>
      </c>
      <c r="E7120" t="str">
        <f>VLOOKUP(C7120,Меню!A:E,4,0)</f>
        <v>Салат</v>
      </c>
      <c r="F7120">
        <f>VLOOKUP(C7120,Меню!A:E,5,0)</f>
        <v>250</v>
      </c>
    </row>
    <row r="7121" spans="1:6" ht="15.75" hidden="1" customHeight="1" x14ac:dyDescent="0.35">
      <c r="A7121" s="1">
        <v>7120</v>
      </c>
      <c r="B7121" s="1">
        <v>1418</v>
      </c>
      <c r="C7121" s="1">
        <v>31</v>
      </c>
      <c r="D7121" t="str">
        <f>VLOOKUP(B7121,Заказы!A:C,3,0)</f>
        <v>2024-02-13 17:10:00</v>
      </c>
      <c r="E7121" t="str">
        <f>VLOOKUP(C7121,Меню!A:E,4,0)</f>
        <v>Десерт</v>
      </c>
      <c r="F7121">
        <f>VLOOKUP(C7121,Меню!A:E,5,0)</f>
        <v>150</v>
      </c>
    </row>
    <row r="7122" spans="1:6" ht="15.75" hidden="1" customHeight="1" x14ac:dyDescent="0.35">
      <c r="A7122" s="1">
        <v>7121</v>
      </c>
      <c r="B7122" s="1">
        <v>1419</v>
      </c>
      <c r="C7122" s="1">
        <v>44</v>
      </c>
      <c r="D7122" t="str">
        <f>VLOOKUP(B7122,Заказы!A:C,3,0)</f>
        <v>2024-02-13 17:33:00</v>
      </c>
      <c r="E7122" t="str">
        <f>VLOOKUP(C7122,Меню!A:E,4,0)</f>
        <v>Суши</v>
      </c>
      <c r="F7122">
        <f>VLOOKUP(C7122,Меню!A:E,5,0)</f>
        <v>250</v>
      </c>
    </row>
    <row r="7123" spans="1:6" ht="15.75" hidden="1" customHeight="1" x14ac:dyDescent="0.35">
      <c r="A7123" s="1">
        <v>7122</v>
      </c>
      <c r="B7123" s="1">
        <v>1419</v>
      </c>
      <c r="C7123" s="1">
        <v>57</v>
      </c>
      <c r="D7123" t="str">
        <f>VLOOKUP(B7123,Заказы!A:C,3,0)</f>
        <v>2024-02-13 17:33:00</v>
      </c>
      <c r="E7123" t="str">
        <f>VLOOKUP(C7123,Меню!A:E,4,0)</f>
        <v>Суши</v>
      </c>
      <c r="F7123">
        <f>VLOOKUP(C7123,Меню!A:E,5,0)</f>
        <v>200</v>
      </c>
    </row>
    <row r="7124" spans="1:6" ht="15.75" hidden="1" customHeight="1" x14ac:dyDescent="0.35">
      <c r="A7124" s="1">
        <v>7123</v>
      </c>
      <c r="B7124" s="1">
        <v>1419</v>
      </c>
      <c r="C7124" s="1">
        <v>13</v>
      </c>
      <c r="D7124" t="str">
        <f>VLOOKUP(B7124,Заказы!A:C,3,0)</f>
        <v>2024-02-13 17:33:00</v>
      </c>
      <c r="E7124" t="str">
        <f>VLOOKUP(C7124,Меню!A:E,4,0)</f>
        <v>Первое</v>
      </c>
      <c r="F7124">
        <f>VLOOKUP(C7124,Меню!A:E,5,0)</f>
        <v>280</v>
      </c>
    </row>
    <row r="7125" spans="1:6" ht="15.75" hidden="1" customHeight="1" x14ac:dyDescent="0.35">
      <c r="A7125" s="1">
        <v>7124</v>
      </c>
      <c r="B7125" s="1">
        <v>1419</v>
      </c>
      <c r="C7125" s="1">
        <v>26</v>
      </c>
      <c r="D7125" t="str">
        <f>VLOOKUP(B7125,Заказы!A:C,3,0)</f>
        <v>2024-02-13 17:33:00</v>
      </c>
      <c r="E7125" t="str">
        <f>VLOOKUP(C7125,Меню!A:E,4,0)</f>
        <v>Салат</v>
      </c>
      <c r="F7125">
        <f>VLOOKUP(C7125,Меню!A:E,5,0)</f>
        <v>250</v>
      </c>
    </row>
    <row r="7126" spans="1:6" ht="15.75" hidden="1" customHeight="1" x14ac:dyDescent="0.35">
      <c r="A7126" s="1">
        <v>7125</v>
      </c>
      <c r="B7126" s="1">
        <v>1419</v>
      </c>
      <c r="C7126" s="1">
        <v>31</v>
      </c>
      <c r="D7126" t="str">
        <f>VLOOKUP(B7126,Заказы!A:C,3,0)</f>
        <v>2024-02-13 17:33:00</v>
      </c>
      <c r="E7126" t="str">
        <f>VLOOKUP(C7126,Меню!A:E,4,0)</f>
        <v>Десерт</v>
      </c>
      <c r="F7126">
        <f>VLOOKUP(C7126,Меню!A:E,5,0)</f>
        <v>150</v>
      </c>
    </row>
    <row r="7127" spans="1:6" ht="15.75" hidden="1" customHeight="1" x14ac:dyDescent="0.35">
      <c r="A7127" s="1">
        <v>7126</v>
      </c>
      <c r="B7127" s="1">
        <v>1419</v>
      </c>
      <c r="C7127" s="1">
        <v>44</v>
      </c>
      <c r="D7127" t="str">
        <f>VLOOKUP(B7127,Заказы!A:C,3,0)</f>
        <v>2024-02-13 17:33:00</v>
      </c>
      <c r="E7127" t="str">
        <f>VLOOKUP(C7127,Меню!A:E,4,0)</f>
        <v>Суши</v>
      </c>
      <c r="F7127">
        <f>VLOOKUP(C7127,Меню!A:E,5,0)</f>
        <v>250</v>
      </c>
    </row>
    <row r="7128" spans="1:6" ht="15.75" hidden="1" customHeight="1" x14ac:dyDescent="0.35">
      <c r="A7128" s="1">
        <v>7127</v>
      </c>
      <c r="B7128" s="1">
        <v>1420</v>
      </c>
      <c r="C7128" s="1">
        <v>1</v>
      </c>
      <c r="D7128" t="str">
        <f>VLOOKUP(B7128,Заказы!A:C,3,0)</f>
        <v>2024-02-13 19:18:00</v>
      </c>
      <c r="E7128" t="str">
        <f>VLOOKUP(C7128,Меню!A:E,4,0)</f>
        <v>Завтрак</v>
      </c>
      <c r="F7128">
        <f>VLOOKUP(C7128,Меню!A:E,5,0)</f>
        <v>200</v>
      </c>
    </row>
    <row r="7129" spans="1:6" ht="15.75" hidden="1" customHeight="1" x14ac:dyDescent="0.35">
      <c r="A7129" s="1">
        <v>7128</v>
      </c>
      <c r="B7129" s="1">
        <v>1420</v>
      </c>
      <c r="C7129" s="1">
        <v>57</v>
      </c>
      <c r="D7129" t="str">
        <f>VLOOKUP(B7129,Заказы!A:C,3,0)</f>
        <v>2024-02-13 19:18:00</v>
      </c>
      <c r="E7129" t="str">
        <f>VLOOKUP(C7129,Меню!A:E,4,0)</f>
        <v>Суши</v>
      </c>
      <c r="F7129">
        <f>VLOOKUP(C7129,Меню!A:E,5,0)</f>
        <v>200</v>
      </c>
    </row>
    <row r="7130" spans="1:6" ht="15.75" hidden="1" customHeight="1" x14ac:dyDescent="0.35">
      <c r="A7130" s="1">
        <v>7129</v>
      </c>
      <c r="B7130" s="1">
        <v>1421</v>
      </c>
      <c r="C7130" s="1">
        <v>37</v>
      </c>
      <c r="D7130" t="str">
        <f>VLOOKUP(B7130,Заказы!A:C,3,0)</f>
        <v>2024-02-14 20:55:00</v>
      </c>
      <c r="E7130" t="str">
        <f>VLOOKUP(C7130,Меню!A:E,4,0)</f>
        <v>Десерт</v>
      </c>
      <c r="F7130">
        <f>VLOOKUP(C7130,Меню!A:E,5,0)</f>
        <v>100</v>
      </c>
    </row>
    <row r="7131" spans="1:6" ht="15.75" hidden="1" customHeight="1" x14ac:dyDescent="0.35">
      <c r="A7131" s="1">
        <v>7130</v>
      </c>
      <c r="B7131" s="1">
        <v>1421</v>
      </c>
      <c r="C7131" s="1">
        <v>49</v>
      </c>
      <c r="D7131" t="str">
        <f>VLOOKUP(B7131,Заказы!A:C,3,0)</f>
        <v>2024-02-14 20:55:00</v>
      </c>
      <c r="E7131" t="str">
        <f>VLOOKUP(C7131,Меню!A:E,4,0)</f>
        <v>Суши</v>
      </c>
      <c r="F7131">
        <f>VLOOKUP(C7131,Меню!A:E,5,0)</f>
        <v>200</v>
      </c>
    </row>
    <row r="7132" spans="1:6" ht="15.75" hidden="1" customHeight="1" x14ac:dyDescent="0.35">
      <c r="A7132" s="1">
        <v>7131</v>
      </c>
      <c r="B7132" s="1">
        <v>1421</v>
      </c>
      <c r="C7132" s="1">
        <v>37</v>
      </c>
      <c r="D7132" t="str">
        <f>VLOOKUP(B7132,Заказы!A:C,3,0)</f>
        <v>2024-02-14 20:55:00</v>
      </c>
      <c r="E7132" t="str">
        <f>VLOOKUP(C7132,Меню!A:E,4,0)</f>
        <v>Десерт</v>
      </c>
      <c r="F7132">
        <f>VLOOKUP(C7132,Меню!A:E,5,0)</f>
        <v>100</v>
      </c>
    </row>
    <row r="7133" spans="1:6" ht="15.75" hidden="1" customHeight="1" x14ac:dyDescent="0.35">
      <c r="A7133" s="1">
        <v>7132</v>
      </c>
      <c r="B7133" s="1">
        <v>1422</v>
      </c>
      <c r="C7133" s="1">
        <v>34</v>
      </c>
      <c r="D7133" t="str">
        <f>VLOOKUP(B7133,Заказы!A:C,3,0)</f>
        <v>2024-02-14 21:22:00</v>
      </c>
      <c r="E7133" t="str">
        <f>VLOOKUP(C7133,Меню!A:E,4,0)</f>
        <v>Десерт</v>
      </c>
      <c r="F7133">
        <f>VLOOKUP(C7133,Меню!A:E,5,0)</f>
        <v>150</v>
      </c>
    </row>
    <row r="7134" spans="1:6" ht="15.75" hidden="1" customHeight="1" x14ac:dyDescent="0.35">
      <c r="A7134" s="1">
        <v>7133</v>
      </c>
      <c r="B7134" s="1">
        <v>1423</v>
      </c>
      <c r="C7134" s="1">
        <v>3</v>
      </c>
      <c r="D7134" t="str">
        <f>VLOOKUP(B7134,Заказы!A:C,3,0)</f>
        <v>2024-02-14 21:37:00</v>
      </c>
      <c r="E7134" t="str">
        <f>VLOOKUP(C7134,Меню!A:E,4,0)</f>
        <v>Завтрак</v>
      </c>
      <c r="F7134">
        <f>VLOOKUP(C7134,Меню!A:E,5,0)</f>
        <v>150</v>
      </c>
    </row>
    <row r="7135" spans="1:6" ht="15.75" hidden="1" customHeight="1" x14ac:dyDescent="0.35">
      <c r="A7135" s="1">
        <v>7134</v>
      </c>
      <c r="B7135" s="1">
        <v>1423</v>
      </c>
      <c r="C7135" s="1">
        <v>58</v>
      </c>
      <c r="D7135" t="str">
        <f>VLOOKUP(B7135,Заказы!A:C,3,0)</f>
        <v>2024-02-14 21:37:00</v>
      </c>
      <c r="E7135" t="str">
        <f>VLOOKUP(C7135,Меню!A:E,4,0)</f>
        <v>Суши</v>
      </c>
      <c r="F7135">
        <f>VLOOKUP(C7135,Меню!A:E,5,0)</f>
        <v>200</v>
      </c>
    </row>
    <row r="7136" spans="1:6" ht="15.75" hidden="1" customHeight="1" x14ac:dyDescent="0.35">
      <c r="A7136" s="1">
        <v>7135</v>
      </c>
      <c r="B7136" s="1">
        <v>1423</v>
      </c>
      <c r="C7136" s="1">
        <v>12</v>
      </c>
      <c r="D7136" t="str">
        <f>VLOOKUP(B7136,Заказы!A:C,3,0)</f>
        <v>2024-02-14 21:37:00</v>
      </c>
      <c r="E7136" t="str">
        <f>VLOOKUP(C7136,Меню!A:E,4,0)</f>
        <v>Первое</v>
      </c>
      <c r="F7136">
        <f>VLOOKUP(C7136,Меню!A:E,5,0)</f>
        <v>300</v>
      </c>
    </row>
    <row r="7137" spans="1:6" ht="15.75" hidden="1" customHeight="1" x14ac:dyDescent="0.35">
      <c r="A7137" s="1">
        <v>7136</v>
      </c>
      <c r="B7137" s="1">
        <v>1423</v>
      </c>
      <c r="C7137" s="1">
        <v>12</v>
      </c>
      <c r="D7137" t="str">
        <f>VLOOKUP(B7137,Заказы!A:C,3,0)</f>
        <v>2024-02-14 21:37:00</v>
      </c>
      <c r="E7137" t="str">
        <f>VLOOKUP(C7137,Меню!A:E,4,0)</f>
        <v>Первое</v>
      </c>
      <c r="F7137">
        <f>VLOOKUP(C7137,Меню!A:E,5,0)</f>
        <v>300</v>
      </c>
    </row>
    <row r="7138" spans="1:6" ht="15.75" hidden="1" customHeight="1" x14ac:dyDescent="0.35">
      <c r="A7138" s="1">
        <v>7137</v>
      </c>
      <c r="B7138" s="1">
        <v>1423</v>
      </c>
      <c r="C7138" s="1">
        <v>3</v>
      </c>
      <c r="D7138" t="str">
        <f>VLOOKUP(B7138,Заказы!A:C,3,0)</f>
        <v>2024-02-14 21:37:00</v>
      </c>
      <c r="E7138" t="str">
        <f>VLOOKUP(C7138,Меню!A:E,4,0)</f>
        <v>Завтрак</v>
      </c>
      <c r="F7138">
        <f>VLOOKUP(C7138,Меню!A:E,5,0)</f>
        <v>150</v>
      </c>
    </row>
    <row r="7139" spans="1:6" ht="15.75" hidden="1" customHeight="1" x14ac:dyDescent="0.35">
      <c r="A7139" s="1">
        <v>7138</v>
      </c>
      <c r="B7139" s="1">
        <v>1423</v>
      </c>
      <c r="C7139" s="1">
        <v>39</v>
      </c>
      <c r="D7139" t="str">
        <f>VLOOKUP(B7139,Заказы!A:C,3,0)</f>
        <v>2024-02-14 21:37:00</v>
      </c>
      <c r="E7139" t="str">
        <f>VLOOKUP(C7139,Меню!A:E,4,0)</f>
        <v>Десерт</v>
      </c>
      <c r="F7139">
        <f>VLOOKUP(C7139,Меню!A:E,5,0)</f>
        <v>150</v>
      </c>
    </row>
    <row r="7140" spans="1:6" ht="15.75" hidden="1" customHeight="1" x14ac:dyDescent="0.35">
      <c r="A7140" s="1">
        <v>7139</v>
      </c>
      <c r="B7140" s="1">
        <v>1424</v>
      </c>
      <c r="C7140" s="1">
        <v>4</v>
      </c>
      <c r="D7140" t="str">
        <f>VLOOKUP(B7140,Заказы!A:C,3,0)</f>
        <v>2024-02-15 15:04:00</v>
      </c>
      <c r="E7140" t="str">
        <f>VLOOKUP(C7140,Меню!A:E,4,0)</f>
        <v>Завтрак</v>
      </c>
      <c r="F7140">
        <f>VLOOKUP(C7140,Меню!A:E,5,0)</f>
        <v>180</v>
      </c>
    </row>
    <row r="7141" spans="1:6" ht="15.75" hidden="1" customHeight="1" x14ac:dyDescent="0.35">
      <c r="A7141" s="1">
        <v>7140</v>
      </c>
      <c r="B7141" s="1">
        <v>1424</v>
      </c>
      <c r="C7141" s="1">
        <v>51</v>
      </c>
      <c r="D7141" t="str">
        <f>VLOOKUP(B7141,Заказы!A:C,3,0)</f>
        <v>2024-02-15 15:04:00</v>
      </c>
      <c r="E7141" t="str">
        <f>VLOOKUP(C7141,Меню!A:E,4,0)</f>
        <v>Суши</v>
      </c>
      <c r="F7141">
        <f>VLOOKUP(C7141,Меню!A:E,5,0)</f>
        <v>100</v>
      </c>
    </row>
    <row r="7142" spans="1:6" ht="15.75" hidden="1" customHeight="1" x14ac:dyDescent="0.35">
      <c r="A7142" s="1">
        <v>7141</v>
      </c>
      <c r="B7142" s="1">
        <v>1424</v>
      </c>
      <c r="C7142" s="1">
        <v>56</v>
      </c>
      <c r="D7142" t="str">
        <f>VLOOKUP(B7142,Заказы!A:C,3,0)</f>
        <v>2024-02-15 15:04:00</v>
      </c>
      <c r="E7142" t="str">
        <f>VLOOKUP(C7142,Меню!A:E,4,0)</f>
        <v>Суши</v>
      </c>
      <c r="F7142">
        <f>VLOOKUP(C7142,Меню!A:E,5,0)</f>
        <v>200</v>
      </c>
    </row>
    <row r="7143" spans="1:6" ht="15.75" hidden="1" customHeight="1" x14ac:dyDescent="0.35">
      <c r="A7143" s="1">
        <v>7142</v>
      </c>
      <c r="B7143" s="1">
        <v>1425</v>
      </c>
      <c r="C7143" s="1">
        <v>23</v>
      </c>
      <c r="D7143" t="str">
        <f>VLOOKUP(B7143,Заказы!A:C,3,0)</f>
        <v>2024-02-15 17:42:00</v>
      </c>
      <c r="E7143" t="str">
        <f>VLOOKUP(C7143,Меню!A:E,4,0)</f>
        <v>Салат</v>
      </c>
      <c r="F7143">
        <f>VLOOKUP(C7143,Меню!A:E,5,0)</f>
        <v>250</v>
      </c>
    </row>
    <row r="7144" spans="1:6" ht="15.75" hidden="1" customHeight="1" x14ac:dyDescent="0.35">
      <c r="A7144" s="1">
        <v>7143</v>
      </c>
      <c r="B7144" s="1">
        <v>1425</v>
      </c>
      <c r="C7144" s="1">
        <v>36</v>
      </c>
      <c r="D7144" t="str">
        <f>VLOOKUP(B7144,Заказы!A:C,3,0)</f>
        <v>2024-02-15 17:42:00</v>
      </c>
      <c r="E7144" t="str">
        <f>VLOOKUP(C7144,Меню!A:E,4,0)</f>
        <v>Десерт</v>
      </c>
      <c r="F7144">
        <f>VLOOKUP(C7144,Меню!A:E,5,0)</f>
        <v>150</v>
      </c>
    </row>
    <row r="7145" spans="1:6" ht="15.75" hidden="1" customHeight="1" x14ac:dyDescent="0.35">
      <c r="A7145" s="1">
        <v>7144</v>
      </c>
      <c r="B7145" s="1">
        <v>1425</v>
      </c>
      <c r="C7145" s="1">
        <v>50</v>
      </c>
      <c r="D7145" t="str">
        <f>VLOOKUP(B7145,Заказы!A:C,3,0)</f>
        <v>2024-02-15 17:42:00</v>
      </c>
      <c r="E7145" t="str">
        <f>VLOOKUP(C7145,Меню!A:E,4,0)</f>
        <v>Суши</v>
      </c>
      <c r="F7145">
        <f>VLOOKUP(C7145,Меню!A:E,5,0)</f>
        <v>200</v>
      </c>
    </row>
    <row r="7146" spans="1:6" ht="15.75" hidden="1" customHeight="1" x14ac:dyDescent="0.35">
      <c r="A7146" s="1">
        <v>7145</v>
      </c>
      <c r="B7146" s="1">
        <v>1426</v>
      </c>
      <c r="C7146" s="1">
        <v>58</v>
      </c>
      <c r="D7146" t="str">
        <f>VLOOKUP(B7146,Заказы!A:C,3,0)</f>
        <v>2024-02-15 19:01:00</v>
      </c>
      <c r="E7146" t="str">
        <f>VLOOKUP(C7146,Меню!A:E,4,0)</f>
        <v>Суши</v>
      </c>
      <c r="F7146">
        <f>VLOOKUP(C7146,Меню!A:E,5,0)</f>
        <v>200</v>
      </c>
    </row>
    <row r="7147" spans="1:6" ht="15.75" hidden="1" customHeight="1" x14ac:dyDescent="0.35">
      <c r="A7147" s="1">
        <v>7146</v>
      </c>
      <c r="B7147" s="1">
        <v>1426</v>
      </c>
      <c r="C7147" s="1">
        <v>38</v>
      </c>
      <c r="D7147" t="str">
        <f>VLOOKUP(B7147,Заказы!A:C,3,0)</f>
        <v>2024-02-15 19:01:00</v>
      </c>
      <c r="E7147" t="str">
        <f>VLOOKUP(C7147,Меню!A:E,4,0)</f>
        <v>Десерт</v>
      </c>
      <c r="F7147">
        <f>VLOOKUP(C7147,Меню!A:E,5,0)</f>
        <v>150</v>
      </c>
    </row>
    <row r="7148" spans="1:6" ht="15.75" hidden="1" customHeight="1" x14ac:dyDescent="0.35">
      <c r="A7148" s="1">
        <v>7147</v>
      </c>
      <c r="B7148" s="1">
        <v>1426</v>
      </c>
      <c r="C7148" s="1">
        <v>37</v>
      </c>
      <c r="D7148" t="str">
        <f>VLOOKUP(B7148,Заказы!A:C,3,0)</f>
        <v>2024-02-15 19:01:00</v>
      </c>
      <c r="E7148" t="str">
        <f>VLOOKUP(C7148,Меню!A:E,4,0)</f>
        <v>Десерт</v>
      </c>
      <c r="F7148">
        <f>VLOOKUP(C7148,Меню!A:E,5,0)</f>
        <v>100</v>
      </c>
    </row>
    <row r="7149" spans="1:6" ht="15.75" hidden="1" customHeight="1" x14ac:dyDescent="0.35">
      <c r="A7149" s="1">
        <v>7148</v>
      </c>
      <c r="B7149" s="1">
        <v>1426</v>
      </c>
      <c r="C7149" s="1">
        <v>55</v>
      </c>
      <c r="D7149" t="str">
        <f>VLOOKUP(B7149,Заказы!A:C,3,0)</f>
        <v>2024-02-15 19:01:00</v>
      </c>
      <c r="E7149" t="str">
        <f>VLOOKUP(C7149,Меню!A:E,4,0)</f>
        <v>Суши</v>
      </c>
      <c r="F7149">
        <f>VLOOKUP(C7149,Меню!A:E,5,0)</f>
        <v>100</v>
      </c>
    </row>
    <row r="7150" spans="1:6" ht="15.75" hidden="1" customHeight="1" x14ac:dyDescent="0.35">
      <c r="A7150" s="1">
        <v>7149</v>
      </c>
      <c r="B7150" s="1">
        <v>1427</v>
      </c>
      <c r="C7150" s="1">
        <v>32</v>
      </c>
      <c r="D7150" t="str">
        <f>VLOOKUP(B7150,Заказы!A:C,3,0)</f>
        <v>2024-02-15 20:13:00</v>
      </c>
      <c r="E7150" t="str">
        <f>VLOOKUP(C7150,Меню!A:E,4,0)</f>
        <v>Десерт</v>
      </c>
      <c r="F7150">
        <f>VLOOKUP(C7150,Меню!A:E,5,0)</f>
        <v>150</v>
      </c>
    </row>
    <row r="7151" spans="1:6" ht="15.75" hidden="1" customHeight="1" x14ac:dyDescent="0.35">
      <c r="A7151" s="1">
        <v>7150</v>
      </c>
      <c r="B7151" s="1">
        <v>1427</v>
      </c>
      <c r="C7151" s="1">
        <v>15</v>
      </c>
      <c r="D7151" t="str">
        <f>VLOOKUP(B7151,Заказы!A:C,3,0)</f>
        <v>2024-02-15 20:13:00</v>
      </c>
      <c r="E7151" t="str">
        <f>VLOOKUP(C7151,Меню!A:E,4,0)</f>
        <v>Первое</v>
      </c>
      <c r="F7151">
        <f>VLOOKUP(C7151,Меню!A:E,5,0)</f>
        <v>250</v>
      </c>
    </row>
    <row r="7152" spans="1:6" ht="15.75" hidden="1" customHeight="1" x14ac:dyDescent="0.35">
      <c r="A7152" s="1">
        <v>7151</v>
      </c>
      <c r="B7152" s="1">
        <v>1427</v>
      </c>
      <c r="C7152" s="1">
        <v>37</v>
      </c>
      <c r="D7152" t="str">
        <f>VLOOKUP(B7152,Заказы!A:C,3,0)</f>
        <v>2024-02-15 20:13:00</v>
      </c>
      <c r="E7152" t="str">
        <f>VLOOKUP(C7152,Меню!A:E,4,0)</f>
        <v>Десерт</v>
      </c>
      <c r="F7152">
        <f>VLOOKUP(C7152,Меню!A:E,5,0)</f>
        <v>100</v>
      </c>
    </row>
    <row r="7153" spans="1:6" ht="15.75" hidden="1" customHeight="1" x14ac:dyDescent="0.35">
      <c r="A7153" s="1">
        <v>7152</v>
      </c>
      <c r="B7153" s="1">
        <v>1427</v>
      </c>
      <c r="C7153" s="1">
        <v>52</v>
      </c>
      <c r="D7153" t="str">
        <f>VLOOKUP(B7153,Заказы!A:C,3,0)</f>
        <v>2024-02-15 20:13:00</v>
      </c>
      <c r="E7153" t="str">
        <f>VLOOKUP(C7153,Меню!A:E,4,0)</f>
        <v>Суши</v>
      </c>
      <c r="F7153">
        <f>VLOOKUP(C7153,Меню!A:E,5,0)</f>
        <v>100</v>
      </c>
    </row>
    <row r="7154" spans="1:6" ht="15.75" hidden="1" customHeight="1" x14ac:dyDescent="0.35">
      <c r="A7154" s="1">
        <v>7153</v>
      </c>
      <c r="B7154" s="1">
        <v>1427</v>
      </c>
      <c r="C7154" s="1">
        <v>3</v>
      </c>
      <c r="D7154" t="str">
        <f>VLOOKUP(B7154,Заказы!A:C,3,0)</f>
        <v>2024-02-15 20:13:00</v>
      </c>
      <c r="E7154" t="str">
        <f>VLOOKUP(C7154,Меню!A:E,4,0)</f>
        <v>Завтрак</v>
      </c>
      <c r="F7154">
        <f>VLOOKUP(C7154,Меню!A:E,5,0)</f>
        <v>150</v>
      </c>
    </row>
    <row r="7155" spans="1:6" ht="15.75" hidden="1" customHeight="1" x14ac:dyDescent="0.35">
      <c r="A7155" s="1">
        <v>7154</v>
      </c>
      <c r="B7155" s="1">
        <v>1427</v>
      </c>
      <c r="C7155" s="1">
        <v>22</v>
      </c>
      <c r="D7155" t="str">
        <f>VLOOKUP(B7155,Заказы!A:C,3,0)</f>
        <v>2024-02-15 20:13:00</v>
      </c>
      <c r="E7155" t="str">
        <f>VLOOKUP(C7155,Меню!A:E,4,0)</f>
        <v>Салат</v>
      </c>
      <c r="F7155">
        <f>VLOOKUP(C7155,Меню!A:E,5,0)</f>
        <v>250</v>
      </c>
    </row>
    <row r="7156" spans="1:6" ht="15.75" hidden="1" customHeight="1" x14ac:dyDescent="0.35">
      <c r="A7156" s="1">
        <v>7155</v>
      </c>
      <c r="B7156" s="1">
        <v>1427</v>
      </c>
      <c r="C7156" s="1">
        <v>36</v>
      </c>
      <c r="D7156" t="str">
        <f>VLOOKUP(B7156,Заказы!A:C,3,0)</f>
        <v>2024-02-15 20:13:00</v>
      </c>
      <c r="E7156" t="str">
        <f>VLOOKUP(C7156,Меню!A:E,4,0)</f>
        <v>Десерт</v>
      </c>
      <c r="F7156">
        <f>VLOOKUP(C7156,Меню!A:E,5,0)</f>
        <v>150</v>
      </c>
    </row>
    <row r="7157" spans="1:6" ht="15.75" hidden="1" customHeight="1" x14ac:dyDescent="0.35">
      <c r="A7157" s="1">
        <v>7156</v>
      </c>
      <c r="B7157" s="1">
        <v>1427</v>
      </c>
      <c r="C7157" s="1">
        <v>33</v>
      </c>
      <c r="D7157" t="str">
        <f>VLOOKUP(B7157,Заказы!A:C,3,0)</f>
        <v>2024-02-15 20:13:00</v>
      </c>
      <c r="E7157" t="str">
        <f>VLOOKUP(C7157,Меню!A:E,4,0)</f>
        <v>Десерт</v>
      </c>
      <c r="F7157">
        <f>VLOOKUP(C7157,Меню!A:E,5,0)</f>
        <v>150</v>
      </c>
    </row>
    <row r="7158" spans="1:6" ht="15.75" hidden="1" customHeight="1" x14ac:dyDescent="0.35">
      <c r="A7158" s="1">
        <v>7157</v>
      </c>
      <c r="B7158" s="1">
        <v>1428</v>
      </c>
      <c r="C7158" s="1">
        <v>45</v>
      </c>
      <c r="D7158" t="str">
        <f>VLOOKUP(B7158,Заказы!A:C,3,0)</f>
        <v>2024-02-15 20:37:00</v>
      </c>
      <c r="E7158" t="str">
        <f>VLOOKUP(C7158,Меню!A:E,4,0)</f>
        <v>Суши</v>
      </c>
      <c r="F7158">
        <f>VLOOKUP(C7158,Меню!A:E,5,0)</f>
        <v>200</v>
      </c>
    </row>
    <row r="7159" spans="1:6" ht="15.75" hidden="1" customHeight="1" x14ac:dyDescent="0.35">
      <c r="A7159" s="1">
        <v>7158</v>
      </c>
      <c r="B7159" s="1">
        <v>1428</v>
      </c>
      <c r="C7159" s="1">
        <v>19</v>
      </c>
      <c r="D7159" t="str">
        <f>VLOOKUP(B7159,Заказы!A:C,3,0)</f>
        <v>2024-02-15 20:37:00</v>
      </c>
      <c r="E7159" t="str">
        <f>VLOOKUP(C7159,Меню!A:E,4,0)</f>
        <v>Первое</v>
      </c>
      <c r="F7159">
        <f>VLOOKUP(C7159,Меню!A:E,5,0)</f>
        <v>300</v>
      </c>
    </row>
    <row r="7160" spans="1:6" ht="15.75" hidden="1" customHeight="1" x14ac:dyDescent="0.35">
      <c r="A7160" s="1">
        <v>7159</v>
      </c>
      <c r="B7160" s="1">
        <v>1428</v>
      </c>
      <c r="C7160" s="1">
        <v>15</v>
      </c>
      <c r="D7160" t="str">
        <f>VLOOKUP(B7160,Заказы!A:C,3,0)</f>
        <v>2024-02-15 20:37:00</v>
      </c>
      <c r="E7160" t="str">
        <f>VLOOKUP(C7160,Меню!A:E,4,0)</f>
        <v>Первое</v>
      </c>
      <c r="F7160">
        <f>VLOOKUP(C7160,Меню!A:E,5,0)</f>
        <v>250</v>
      </c>
    </row>
    <row r="7161" spans="1:6" ht="15.75" hidden="1" customHeight="1" x14ac:dyDescent="0.35">
      <c r="A7161" s="1">
        <v>7160</v>
      </c>
      <c r="B7161" s="1">
        <v>1428</v>
      </c>
      <c r="C7161" s="1">
        <v>19</v>
      </c>
      <c r="D7161" t="str">
        <f>VLOOKUP(B7161,Заказы!A:C,3,0)</f>
        <v>2024-02-15 20:37:00</v>
      </c>
      <c r="E7161" t="str">
        <f>VLOOKUP(C7161,Меню!A:E,4,0)</f>
        <v>Первое</v>
      </c>
      <c r="F7161">
        <f>VLOOKUP(C7161,Меню!A:E,5,0)</f>
        <v>300</v>
      </c>
    </row>
    <row r="7162" spans="1:6" ht="15.75" hidden="1" customHeight="1" x14ac:dyDescent="0.35">
      <c r="A7162" s="1">
        <v>7161</v>
      </c>
      <c r="B7162" s="1">
        <v>1428</v>
      </c>
      <c r="C7162" s="1">
        <v>40</v>
      </c>
      <c r="D7162" t="str">
        <f>VLOOKUP(B7162,Заказы!A:C,3,0)</f>
        <v>2024-02-15 20:37:00</v>
      </c>
      <c r="E7162" t="str">
        <f>VLOOKUP(C7162,Меню!A:E,4,0)</f>
        <v>Десерт</v>
      </c>
      <c r="F7162">
        <f>VLOOKUP(C7162,Меню!A:E,5,0)</f>
        <v>150</v>
      </c>
    </row>
    <row r="7163" spans="1:6" ht="15.75" hidden="1" customHeight="1" x14ac:dyDescent="0.35">
      <c r="A7163" s="1">
        <v>7162</v>
      </c>
      <c r="B7163" s="1">
        <v>1429</v>
      </c>
      <c r="C7163" s="1">
        <v>31</v>
      </c>
      <c r="D7163" t="str">
        <f>VLOOKUP(B7163,Заказы!A:C,3,0)</f>
        <v>2024-02-15 21:55:00</v>
      </c>
      <c r="E7163" t="str">
        <f>VLOOKUP(C7163,Меню!A:E,4,0)</f>
        <v>Десерт</v>
      </c>
      <c r="F7163">
        <f>VLOOKUP(C7163,Меню!A:E,5,0)</f>
        <v>150</v>
      </c>
    </row>
    <row r="7164" spans="1:6" ht="15.75" hidden="1" customHeight="1" x14ac:dyDescent="0.35">
      <c r="A7164" s="1">
        <v>7163</v>
      </c>
      <c r="B7164" s="1">
        <v>1429</v>
      </c>
      <c r="C7164" s="1">
        <v>3</v>
      </c>
      <c r="D7164" t="str">
        <f>VLOOKUP(B7164,Заказы!A:C,3,0)</f>
        <v>2024-02-15 21:55:00</v>
      </c>
      <c r="E7164" t="str">
        <f>VLOOKUP(C7164,Меню!A:E,4,0)</f>
        <v>Завтрак</v>
      </c>
      <c r="F7164">
        <f>VLOOKUP(C7164,Меню!A:E,5,0)</f>
        <v>150</v>
      </c>
    </row>
    <row r="7165" spans="1:6" ht="15.75" hidden="1" customHeight="1" x14ac:dyDescent="0.35">
      <c r="A7165" s="1">
        <v>7164</v>
      </c>
      <c r="B7165" s="1">
        <v>1429</v>
      </c>
      <c r="C7165" s="1">
        <v>47</v>
      </c>
      <c r="D7165" t="str">
        <f>VLOOKUP(B7165,Заказы!A:C,3,0)</f>
        <v>2024-02-15 21:55:00</v>
      </c>
      <c r="E7165" t="str">
        <f>VLOOKUP(C7165,Меню!A:E,4,0)</f>
        <v>Суши</v>
      </c>
      <c r="F7165">
        <f>VLOOKUP(C7165,Меню!A:E,5,0)</f>
        <v>200</v>
      </c>
    </row>
    <row r="7166" spans="1:6" ht="15.75" hidden="1" customHeight="1" x14ac:dyDescent="0.35">
      <c r="A7166" s="1">
        <v>7165</v>
      </c>
      <c r="B7166" s="1">
        <v>1429</v>
      </c>
      <c r="C7166" s="1">
        <v>38</v>
      </c>
      <c r="D7166" t="str">
        <f>VLOOKUP(B7166,Заказы!A:C,3,0)</f>
        <v>2024-02-15 21:55:00</v>
      </c>
      <c r="E7166" t="str">
        <f>VLOOKUP(C7166,Меню!A:E,4,0)</f>
        <v>Десерт</v>
      </c>
      <c r="F7166">
        <f>VLOOKUP(C7166,Меню!A:E,5,0)</f>
        <v>150</v>
      </c>
    </row>
    <row r="7167" spans="1:6" ht="15.75" hidden="1" customHeight="1" x14ac:dyDescent="0.35">
      <c r="A7167" s="1">
        <v>7166</v>
      </c>
      <c r="B7167" s="1">
        <v>1429</v>
      </c>
      <c r="C7167" s="1">
        <v>2</v>
      </c>
      <c r="D7167" t="str">
        <f>VLOOKUP(B7167,Заказы!A:C,3,0)</f>
        <v>2024-02-15 21:55:00</v>
      </c>
      <c r="E7167" t="str">
        <f>VLOOKUP(C7167,Меню!A:E,4,0)</f>
        <v>Завтрак</v>
      </c>
      <c r="F7167">
        <f>VLOOKUP(C7167,Меню!A:E,5,0)</f>
        <v>250</v>
      </c>
    </row>
    <row r="7168" spans="1:6" ht="15.75" hidden="1" customHeight="1" x14ac:dyDescent="0.35">
      <c r="A7168" s="1">
        <v>7167</v>
      </c>
      <c r="B7168" s="1">
        <v>1430</v>
      </c>
      <c r="C7168" s="1">
        <v>25</v>
      </c>
      <c r="D7168" t="str">
        <f>VLOOKUP(B7168,Заказы!A:C,3,0)</f>
        <v>2024-02-15 22:06:00</v>
      </c>
      <c r="E7168" t="str">
        <f>VLOOKUP(C7168,Меню!A:E,4,0)</f>
        <v>Салат</v>
      </c>
      <c r="F7168">
        <f>VLOOKUP(C7168,Меню!A:E,5,0)</f>
        <v>250</v>
      </c>
    </row>
    <row r="7169" spans="1:6" ht="15.75" hidden="1" customHeight="1" x14ac:dyDescent="0.35">
      <c r="A7169" s="1">
        <v>7168</v>
      </c>
      <c r="B7169" s="1">
        <v>1430</v>
      </c>
      <c r="C7169" s="1">
        <v>14</v>
      </c>
      <c r="D7169" t="str">
        <f>VLOOKUP(B7169,Заказы!A:C,3,0)</f>
        <v>2024-02-15 22:06:00</v>
      </c>
      <c r="E7169" t="str">
        <f>VLOOKUP(C7169,Меню!A:E,4,0)</f>
        <v>Первое</v>
      </c>
      <c r="F7169">
        <f>VLOOKUP(C7169,Меню!A:E,5,0)</f>
        <v>350</v>
      </c>
    </row>
    <row r="7170" spans="1:6" ht="15.75" hidden="1" customHeight="1" x14ac:dyDescent="0.35">
      <c r="A7170" s="1">
        <v>7169</v>
      </c>
      <c r="B7170" s="1">
        <v>1430</v>
      </c>
      <c r="C7170" s="1">
        <v>51</v>
      </c>
      <c r="D7170" t="str">
        <f>VLOOKUP(B7170,Заказы!A:C,3,0)</f>
        <v>2024-02-15 22:06:00</v>
      </c>
      <c r="E7170" t="str">
        <f>VLOOKUP(C7170,Меню!A:E,4,0)</f>
        <v>Суши</v>
      </c>
      <c r="F7170">
        <f>VLOOKUP(C7170,Меню!A:E,5,0)</f>
        <v>100</v>
      </c>
    </row>
    <row r="7171" spans="1:6" ht="15.75" hidden="1" customHeight="1" x14ac:dyDescent="0.35">
      <c r="A7171" s="1">
        <v>7170</v>
      </c>
      <c r="B7171" s="1">
        <v>1430</v>
      </c>
      <c r="C7171" s="1">
        <v>46</v>
      </c>
      <c r="D7171" t="str">
        <f>VLOOKUP(B7171,Заказы!A:C,3,0)</f>
        <v>2024-02-15 22:06:00</v>
      </c>
      <c r="E7171" t="str">
        <f>VLOOKUP(C7171,Меню!A:E,4,0)</f>
        <v>Суши</v>
      </c>
      <c r="F7171">
        <f>VLOOKUP(C7171,Меню!A:E,5,0)</f>
        <v>200</v>
      </c>
    </row>
    <row r="7172" spans="1:6" ht="15.75" hidden="1" customHeight="1" x14ac:dyDescent="0.35">
      <c r="A7172" s="1">
        <v>7171</v>
      </c>
      <c r="B7172" s="1">
        <v>1430</v>
      </c>
      <c r="C7172" s="1">
        <v>58</v>
      </c>
      <c r="D7172" t="str">
        <f>VLOOKUP(B7172,Заказы!A:C,3,0)</f>
        <v>2024-02-15 22:06:00</v>
      </c>
      <c r="E7172" t="str">
        <f>VLOOKUP(C7172,Меню!A:E,4,0)</f>
        <v>Суши</v>
      </c>
      <c r="F7172">
        <f>VLOOKUP(C7172,Меню!A:E,5,0)</f>
        <v>200</v>
      </c>
    </row>
    <row r="7173" spans="1:6" ht="15.75" hidden="1" customHeight="1" x14ac:dyDescent="0.35">
      <c r="A7173" s="1">
        <v>7172</v>
      </c>
      <c r="B7173" s="1">
        <v>1430</v>
      </c>
      <c r="C7173" s="1">
        <v>28</v>
      </c>
      <c r="D7173" t="str">
        <f>VLOOKUP(B7173,Заказы!A:C,3,0)</f>
        <v>2024-02-15 22:06:00</v>
      </c>
      <c r="E7173" t="str">
        <f>VLOOKUP(C7173,Меню!A:E,4,0)</f>
        <v>Салат</v>
      </c>
      <c r="F7173">
        <f>VLOOKUP(C7173,Меню!A:E,5,0)</f>
        <v>250</v>
      </c>
    </row>
    <row r="7174" spans="1:6" ht="15.75" hidden="1" customHeight="1" x14ac:dyDescent="0.35">
      <c r="A7174" s="1">
        <v>7173</v>
      </c>
      <c r="B7174" s="1">
        <v>1430</v>
      </c>
      <c r="C7174" s="1">
        <v>40</v>
      </c>
      <c r="D7174" t="str">
        <f>VLOOKUP(B7174,Заказы!A:C,3,0)</f>
        <v>2024-02-15 22:06:00</v>
      </c>
      <c r="E7174" t="str">
        <f>VLOOKUP(C7174,Меню!A:E,4,0)</f>
        <v>Десерт</v>
      </c>
      <c r="F7174">
        <f>VLOOKUP(C7174,Меню!A:E,5,0)</f>
        <v>150</v>
      </c>
    </row>
    <row r="7175" spans="1:6" ht="15.75" hidden="1" customHeight="1" x14ac:dyDescent="0.35">
      <c r="A7175" s="1">
        <v>7174</v>
      </c>
      <c r="B7175" s="1">
        <v>1430</v>
      </c>
      <c r="C7175" s="1">
        <v>36</v>
      </c>
      <c r="D7175" t="str">
        <f>VLOOKUP(B7175,Заказы!A:C,3,0)</f>
        <v>2024-02-15 22:06:00</v>
      </c>
      <c r="E7175" t="str">
        <f>VLOOKUP(C7175,Меню!A:E,4,0)</f>
        <v>Десерт</v>
      </c>
      <c r="F7175">
        <f>VLOOKUP(C7175,Меню!A:E,5,0)</f>
        <v>150</v>
      </c>
    </row>
    <row r="7176" spans="1:6" ht="15.75" hidden="1" customHeight="1" x14ac:dyDescent="0.35">
      <c r="A7176" s="1">
        <v>7175</v>
      </c>
      <c r="B7176" s="1">
        <v>1430</v>
      </c>
      <c r="C7176" s="1">
        <v>56</v>
      </c>
      <c r="D7176" t="str">
        <f>VLOOKUP(B7176,Заказы!A:C,3,0)</f>
        <v>2024-02-15 22:06:00</v>
      </c>
      <c r="E7176" t="str">
        <f>VLOOKUP(C7176,Меню!A:E,4,0)</f>
        <v>Суши</v>
      </c>
      <c r="F7176">
        <f>VLOOKUP(C7176,Меню!A:E,5,0)</f>
        <v>200</v>
      </c>
    </row>
    <row r="7177" spans="1:6" ht="15.75" hidden="1" customHeight="1" x14ac:dyDescent="0.35">
      <c r="A7177" s="1">
        <v>7176</v>
      </c>
      <c r="B7177" s="1">
        <v>1431</v>
      </c>
      <c r="C7177" s="1">
        <v>48</v>
      </c>
      <c r="D7177" t="str">
        <f>VLOOKUP(B7177,Заказы!A:C,3,0)</f>
        <v>2024-02-16 18:59:00</v>
      </c>
      <c r="E7177" t="str">
        <f>VLOOKUP(C7177,Меню!A:E,4,0)</f>
        <v>Суши</v>
      </c>
      <c r="F7177">
        <f>VLOOKUP(C7177,Меню!A:E,5,0)</f>
        <v>200</v>
      </c>
    </row>
    <row r="7178" spans="1:6" ht="15.75" hidden="1" customHeight="1" x14ac:dyDescent="0.35">
      <c r="A7178" s="1">
        <v>7177</v>
      </c>
      <c r="B7178" s="1">
        <v>1431</v>
      </c>
      <c r="C7178" s="1">
        <v>44</v>
      </c>
      <c r="D7178" t="str">
        <f>VLOOKUP(B7178,Заказы!A:C,3,0)</f>
        <v>2024-02-16 18:59:00</v>
      </c>
      <c r="E7178" t="str">
        <f>VLOOKUP(C7178,Меню!A:E,4,0)</f>
        <v>Суши</v>
      </c>
      <c r="F7178">
        <f>VLOOKUP(C7178,Меню!A:E,5,0)</f>
        <v>250</v>
      </c>
    </row>
    <row r="7179" spans="1:6" ht="15.75" hidden="1" customHeight="1" x14ac:dyDescent="0.35">
      <c r="A7179" s="1">
        <v>7178</v>
      </c>
      <c r="B7179" s="1">
        <v>1431</v>
      </c>
      <c r="C7179" s="1">
        <v>18</v>
      </c>
      <c r="D7179" t="str">
        <f>VLOOKUP(B7179,Заказы!A:C,3,0)</f>
        <v>2024-02-16 18:59:00</v>
      </c>
      <c r="E7179" t="str">
        <f>VLOOKUP(C7179,Меню!A:E,4,0)</f>
        <v>Первое</v>
      </c>
      <c r="F7179">
        <f>VLOOKUP(C7179,Меню!A:E,5,0)</f>
        <v>300</v>
      </c>
    </row>
    <row r="7180" spans="1:6" ht="15.75" hidden="1" customHeight="1" x14ac:dyDescent="0.35">
      <c r="A7180" s="1">
        <v>7179</v>
      </c>
      <c r="B7180" s="1">
        <v>1431</v>
      </c>
      <c r="C7180" s="1">
        <v>47</v>
      </c>
      <c r="D7180" t="str">
        <f>VLOOKUP(B7180,Заказы!A:C,3,0)</f>
        <v>2024-02-16 18:59:00</v>
      </c>
      <c r="E7180" t="str">
        <f>VLOOKUP(C7180,Меню!A:E,4,0)</f>
        <v>Суши</v>
      </c>
      <c r="F7180">
        <f>VLOOKUP(C7180,Меню!A:E,5,0)</f>
        <v>200</v>
      </c>
    </row>
    <row r="7181" spans="1:6" ht="15.75" hidden="1" customHeight="1" x14ac:dyDescent="0.35">
      <c r="A7181" s="1">
        <v>7180</v>
      </c>
      <c r="B7181" s="1">
        <v>1431</v>
      </c>
      <c r="C7181" s="1">
        <v>15</v>
      </c>
      <c r="D7181" t="str">
        <f>VLOOKUP(B7181,Заказы!A:C,3,0)</f>
        <v>2024-02-16 18:59:00</v>
      </c>
      <c r="E7181" t="str">
        <f>VLOOKUP(C7181,Меню!A:E,4,0)</f>
        <v>Первое</v>
      </c>
      <c r="F7181">
        <f>VLOOKUP(C7181,Меню!A:E,5,0)</f>
        <v>250</v>
      </c>
    </row>
    <row r="7182" spans="1:6" ht="15.75" hidden="1" customHeight="1" x14ac:dyDescent="0.35">
      <c r="A7182" s="1">
        <v>7181</v>
      </c>
      <c r="B7182" s="1">
        <v>1431</v>
      </c>
      <c r="C7182" s="1">
        <v>45</v>
      </c>
      <c r="D7182" t="str">
        <f>VLOOKUP(B7182,Заказы!A:C,3,0)</f>
        <v>2024-02-16 18:59:00</v>
      </c>
      <c r="E7182" t="str">
        <f>VLOOKUP(C7182,Меню!A:E,4,0)</f>
        <v>Суши</v>
      </c>
      <c r="F7182">
        <f>VLOOKUP(C7182,Меню!A:E,5,0)</f>
        <v>200</v>
      </c>
    </row>
    <row r="7183" spans="1:6" ht="15.75" hidden="1" customHeight="1" x14ac:dyDescent="0.35">
      <c r="A7183" s="1">
        <v>7182</v>
      </c>
      <c r="B7183" s="1">
        <v>1431</v>
      </c>
      <c r="C7183" s="1">
        <v>17</v>
      </c>
      <c r="D7183" t="str">
        <f>VLOOKUP(B7183,Заказы!A:C,3,0)</f>
        <v>2024-02-16 18:59:00</v>
      </c>
      <c r="E7183" t="str">
        <f>VLOOKUP(C7183,Меню!A:E,4,0)</f>
        <v>Первое</v>
      </c>
      <c r="F7183">
        <f>VLOOKUP(C7183,Меню!A:E,5,0)</f>
        <v>250</v>
      </c>
    </row>
    <row r="7184" spans="1:6" ht="15.75" hidden="1" customHeight="1" x14ac:dyDescent="0.35">
      <c r="A7184" s="1">
        <v>7183</v>
      </c>
      <c r="B7184" s="1">
        <v>1432</v>
      </c>
      <c r="C7184" s="1">
        <v>60</v>
      </c>
      <c r="D7184" t="str">
        <f>VLOOKUP(B7184,Заказы!A:C,3,0)</f>
        <v>2024-02-16 20:31:00</v>
      </c>
      <c r="E7184" t="str">
        <f>VLOOKUP(C7184,Меню!A:E,4,0)</f>
        <v>Суши</v>
      </c>
      <c r="F7184">
        <f>VLOOKUP(C7184,Меню!A:E,5,0)</f>
        <v>250</v>
      </c>
    </row>
    <row r="7185" spans="1:6" ht="15.75" hidden="1" customHeight="1" x14ac:dyDescent="0.35">
      <c r="A7185" s="1">
        <v>7184</v>
      </c>
      <c r="B7185" s="1">
        <v>1432</v>
      </c>
      <c r="C7185" s="1">
        <v>8</v>
      </c>
      <c r="D7185" t="str">
        <f>VLOOKUP(B7185,Заказы!A:C,3,0)</f>
        <v>2024-02-16 20:31:00</v>
      </c>
      <c r="E7185" t="str">
        <f>VLOOKUP(C7185,Меню!A:E,4,0)</f>
        <v>Завтрак</v>
      </c>
      <c r="F7185">
        <f>VLOOKUP(C7185,Меню!A:E,5,0)</f>
        <v>180</v>
      </c>
    </row>
    <row r="7186" spans="1:6" ht="15.75" hidden="1" customHeight="1" x14ac:dyDescent="0.35">
      <c r="A7186" s="1">
        <v>7185</v>
      </c>
      <c r="B7186" s="1">
        <v>1432</v>
      </c>
      <c r="C7186" s="1">
        <v>38</v>
      </c>
      <c r="D7186" t="str">
        <f>VLOOKUP(B7186,Заказы!A:C,3,0)</f>
        <v>2024-02-16 20:31:00</v>
      </c>
      <c r="E7186" t="str">
        <f>VLOOKUP(C7186,Меню!A:E,4,0)</f>
        <v>Десерт</v>
      </c>
      <c r="F7186">
        <f>VLOOKUP(C7186,Меню!A:E,5,0)</f>
        <v>150</v>
      </c>
    </row>
    <row r="7187" spans="1:6" ht="15.75" hidden="1" customHeight="1" x14ac:dyDescent="0.35">
      <c r="A7187" s="1">
        <v>7186</v>
      </c>
      <c r="B7187" s="1">
        <v>1432</v>
      </c>
      <c r="C7187" s="1">
        <v>48</v>
      </c>
      <c r="D7187" t="str">
        <f>VLOOKUP(B7187,Заказы!A:C,3,0)</f>
        <v>2024-02-16 20:31:00</v>
      </c>
      <c r="E7187" t="str">
        <f>VLOOKUP(C7187,Меню!A:E,4,0)</f>
        <v>Суши</v>
      </c>
      <c r="F7187">
        <f>VLOOKUP(C7187,Меню!A:E,5,0)</f>
        <v>200</v>
      </c>
    </row>
    <row r="7188" spans="1:6" ht="15.75" hidden="1" customHeight="1" x14ac:dyDescent="0.35">
      <c r="A7188" s="1">
        <v>7187</v>
      </c>
      <c r="B7188" s="1">
        <v>1432</v>
      </c>
      <c r="C7188" s="1">
        <v>30</v>
      </c>
      <c r="D7188" t="str">
        <f>VLOOKUP(B7188,Заказы!A:C,3,0)</f>
        <v>2024-02-16 20:31:00</v>
      </c>
      <c r="E7188" t="str">
        <f>VLOOKUP(C7188,Меню!A:E,4,0)</f>
        <v>Салат</v>
      </c>
      <c r="F7188">
        <f>VLOOKUP(C7188,Меню!A:E,5,0)</f>
        <v>250</v>
      </c>
    </row>
    <row r="7189" spans="1:6" ht="15.75" hidden="1" customHeight="1" x14ac:dyDescent="0.35">
      <c r="A7189" s="1">
        <v>7188</v>
      </c>
      <c r="B7189" s="1">
        <v>1432</v>
      </c>
      <c r="C7189" s="1">
        <v>50</v>
      </c>
      <c r="D7189" t="str">
        <f>VLOOKUP(B7189,Заказы!A:C,3,0)</f>
        <v>2024-02-16 20:31:00</v>
      </c>
      <c r="E7189" t="str">
        <f>VLOOKUP(C7189,Меню!A:E,4,0)</f>
        <v>Суши</v>
      </c>
      <c r="F7189">
        <f>VLOOKUP(C7189,Меню!A:E,5,0)</f>
        <v>200</v>
      </c>
    </row>
    <row r="7190" spans="1:6" ht="15.75" hidden="1" customHeight="1" x14ac:dyDescent="0.35">
      <c r="A7190" s="1">
        <v>7189</v>
      </c>
      <c r="B7190" s="1">
        <v>1432</v>
      </c>
      <c r="C7190" s="1">
        <v>57</v>
      </c>
      <c r="D7190" t="str">
        <f>VLOOKUP(B7190,Заказы!A:C,3,0)</f>
        <v>2024-02-16 20:31:00</v>
      </c>
      <c r="E7190" t="str">
        <f>VLOOKUP(C7190,Меню!A:E,4,0)</f>
        <v>Суши</v>
      </c>
      <c r="F7190">
        <f>VLOOKUP(C7190,Меню!A:E,5,0)</f>
        <v>200</v>
      </c>
    </row>
    <row r="7191" spans="1:6" ht="15.75" hidden="1" customHeight="1" x14ac:dyDescent="0.35">
      <c r="A7191" s="1">
        <v>7190</v>
      </c>
      <c r="B7191" s="1">
        <v>1433</v>
      </c>
      <c r="C7191" s="1">
        <v>54</v>
      </c>
      <c r="D7191" t="str">
        <f>VLOOKUP(B7191,Заказы!A:C,3,0)</f>
        <v>2024-02-16 22:56:00</v>
      </c>
      <c r="E7191" t="str">
        <f>VLOOKUP(C7191,Меню!A:E,4,0)</f>
        <v>Суши</v>
      </c>
      <c r="F7191">
        <f>VLOOKUP(C7191,Меню!A:E,5,0)</f>
        <v>100</v>
      </c>
    </row>
    <row r="7192" spans="1:6" ht="15.75" hidden="1" customHeight="1" x14ac:dyDescent="0.35">
      <c r="A7192" s="1">
        <v>7191</v>
      </c>
      <c r="B7192" s="1">
        <v>1433</v>
      </c>
      <c r="C7192" s="1">
        <v>23</v>
      </c>
      <c r="D7192" t="str">
        <f>VLOOKUP(B7192,Заказы!A:C,3,0)</f>
        <v>2024-02-16 22:56:00</v>
      </c>
      <c r="E7192" t="str">
        <f>VLOOKUP(C7192,Меню!A:E,4,0)</f>
        <v>Салат</v>
      </c>
      <c r="F7192">
        <f>VLOOKUP(C7192,Меню!A:E,5,0)</f>
        <v>250</v>
      </c>
    </row>
    <row r="7193" spans="1:6" ht="15.75" hidden="1" customHeight="1" x14ac:dyDescent="0.35">
      <c r="A7193" s="1">
        <v>7192</v>
      </c>
      <c r="B7193" s="1">
        <v>1433</v>
      </c>
      <c r="C7193" s="1">
        <v>2</v>
      </c>
      <c r="D7193" t="str">
        <f>VLOOKUP(B7193,Заказы!A:C,3,0)</f>
        <v>2024-02-16 22:56:00</v>
      </c>
      <c r="E7193" t="str">
        <f>VLOOKUP(C7193,Меню!A:E,4,0)</f>
        <v>Завтрак</v>
      </c>
      <c r="F7193">
        <f>VLOOKUP(C7193,Меню!A:E,5,0)</f>
        <v>250</v>
      </c>
    </row>
    <row r="7194" spans="1:6" ht="15.75" hidden="1" customHeight="1" x14ac:dyDescent="0.35">
      <c r="A7194" s="1">
        <v>7193</v>
      </c>
      <c r="B7194" s="1">
        <v>1433</v>
      </c>
      <c r="C7194" s="1">
        <v>51</v>
      </c>
      <c r="D7194" t="str">
        <f>VLOOKUP(B7194,Заказы!A:C,3,0)</f>
        <v>2024-02-16 22:56:00</v>
      </c>
      <c r="E7194" t="str">
        <f>VLOOKUP(C7194,Меню!A:E,4,0)</f>
        <v>Суши</v>
      </c>
      <c r="F7194">
        <f>VLOOKUP(C7194,Меню!A:E,5,0)</f>
        <v>100</v>
      </c>
    </row>
    <row r="7195" spans="1:6" ht="15.75" hidden="1" customHeight="1" x14ac:dyDescent="0.35">
      <c r="A7195" s="1">
        <v>7194</v>
      </c>
      <c r="B7195" s="1">
        <v>1433</v>
      </c>
      <c r="C7195" s="1">
        <v>48</v>
      </c>
      <c r="D7195" t="str">
        <f>VLOOKUP(B7195,Заказы!A:C,3,0)</f>
        <v>2024-02-16 22:56:00</v>
      </c>
      <c r="E7195" t="str">
        <f>VLOOKUP(C7195,Меню!A:E,4,0)</f>
        <v>Суши</v>
      </c>
      <c r="F7195">
        <f>VLOOKUP(C7195,Меню!A:E,5,0)</f>
        <v>200</v>
      </c>
    </row>
    <row r="7196" spans="1:6" ht="15.75" hidden="1" customHeight="1" x14ac:dyDescent="0.35">
      <c r="A7196" s="1">
        <v>7195</v>
      </c>
      <c r="B7196" s="1">
        <v>1434</v>
      </c>
      <c r="C7196" s="1">
        <v>34</v>
      </c>
      <c r="D7196" t="str">
        <f>VLOOKUP(B7196,Заказы!A:C,3,0)</f>
        <v>2024-02-17 21:19:00</v>
      </c>
      <c r="E7196" t="str">
        <f>VLOOKUP(C7196,Меню!A:E,4,0)</f>
        <v>Десерт</v>
      </c>
      <c r="F7196">
        <f>VLOOKUP(C7196,Меню!A:E,5,0)</f>
        <v>150</v>
      </c>
    </row>
    <row r="7197" spans="1:6" ht="15.75" hidden="1" customHeight="1" x14ac:dyDescent="0.35">
      <c r="A7197" s="1">
        <v>7196</v>
      </c>
      <c r="B7197" s="1">
        <v>1434</v>
      </c>
      <c r="C7197" s="1">
        <v>9</v>
      </c>
      <c r="D7197" t="str">
        <f>VLOOKUP(B7197,Заказы!A:C,3,0)</f>
        <v>2024-02-17 21:19:00</v>
      </c>
      <c r="E7197" t="str">
        <f>VLOOKUP(C7197,Меню!A:E,4,0)</f>
        <v>Завтрак</v>
      </c>
      <c r="F7197">
        <f>VLOOKUP(C7197,Меню!A:E,5,0)</f>
        <v>220</v>
      </c>
    </row>
    <row r="7198" spans="1:6" ht="15.75" hidden="1" customHeight="1" x14ac:dyDescent="0.35">
      <c r="A7198" s="1">
        <v>7197</v>
      </c>
      <c r="B7198" s="1">
        <v>1434</v>
      </c>
      <c r="C7198" s="1">
        <v>30</v>
      </c>
      <c r="D7198" t="str">
        <f>VLOOKUP(B7198,Заказы!A:C,3,0)</f>
        <v>2024-02-17 21:19:00</v>
      </c>
      <c r="E7198" t="str">
        <f>VLOOKUP(C7198,Меню!A:E,4,0)</f>
        <v>Салат</v>
      </c>
      <c r="F7198">
        <f>VLOOKUP(C7198,Меню!A:E,5,0)</f>
        <v>250</v>
      </c>
    </row>
    <row r="7199" spans="1:6" ht="15.75" hidden="1" customHeight="1" x14ac:dyDescent="0.35">
      <c r="A7199" s="1">
        <v>7198</v>
      </c>
      <c r="B7199" s="1">
        <v>1434</v>
      </c>
      <c r="C7199" s="1">
        <v>44</v>
      </c>
      <c r="D7199" t="str">
        <f>VLOOKUP(B7199,Заказы!A:C,3,0)</f>
        <v>2024-02-17 21:19:00</v>
      </c>
      <c r="E7199" t="str">
        <f>VLOOKUP(C7199,Меню!A:E,4,0)</f>
        <v>Суши</v>
      </c>
      <c r="F7199">
        <f>VLOOKUP(C7199,Меню!A:E,5,0)</f>
        <v>250</v>
      </c>
    </row>
    <row r="7200" spans="1:6" ht="15.75" hidden="1" customHeight="1" x14ac:dyDescent="0.35">
      <c r="A7200" s="1">
        <v>7199</v>
      </c>
      <c r="B7200" s="1">
        <v>1434</v>
      </c>
      <c r="C7200" s="1">
        <v>14</v>
      </c>
      <c r="D7200" t="str">
        <f>VLOOKUP(B7200,Заказы!A:C,3,0)</f>
        <v>2024-02-17 21:19:00</v>
      </c>
      <c r="E7200" t="str">
        <f>VLOOKUP(C7200,Меню!A:E,4,0)</f>
        <v>Первое</v>
      </c>
      <c r="F7200">
        <f>VLOOKUP(C7200,Меню!A:E,5,0)</f>
        <v>350</v>
      </c>
    </row>
    <row r="7201" spans="1:6" ht="15.75" hidden="1" customHeight="1" x14ac:dyDescent="0.35">
      <c r="A7201" s="1">
        <v>7200</v>
      </c>
      <c r="B7201" s="1">
        <v>1434</v>
      </c>
      <c r="C7201" s="1">
        <v>33</v>
      </c>
      <c r="D7201" t="str">
        <f>VLOOKUP(B7201,Заказы!A:C,3,0)</f>
        <v>2024-02-17 21:19:00</v>
      </c>
      <c r="E7201" t="str">
        <f>VLOOKUP(C7201,Меню!A:E,4,0)</f>
        <v>Десерт</v>
      </c>
      <c r="F7201">
        <f>VLOOKUP(C7201,Меню!A:E,5,0)</f>
        <v>150</v>
      </c>
    </row>
    <row r="7202" spans="1:6" ht="15.75" hidden="1" customHeight="1" x14ac:dyDescent="0.35">
      <c r="A7202" s="1">
        <v>7201</v>
      </c>
      <c r="B7202" s="1">
        <v>1434</v>
      </c>
      <c r="C7202" s="1">
        <v>37</v>
      </c>
      <c r="D7202" t="str">
        <f>VLOOKUP(B7202,Заказы!A:C,3,0)</f>
        <v>2024-02-17 21:19:00</v>
      </c>
      <c r="E7202" t="str">
        <f>VLOOKUP(C7202,Меню!A:E,4,0)</f>
        <v>Десерт</v>
      </c>
      <c r="F7202">
        <f>VLOOKUP(C7202,Меню!A:E,5,0)</f>
        <v>100</v>
      </c>
    </row>
    <row r="7203" spans="1:6" ht="15.75" hidden="1" customHeight="1" x14ac:dyDescent="0.35">
      <c r="A7203" s="1">
        <v>7202</v>
      </c>
      <c r="B7203" s="1">
        <v>1434</v>
      </c>
      <c r="C7203" s="1">
        <v>10</v>
      </c>
      <c r="D7203" t="str">
        <f>VLOOKUP(B7203,Заказы!A:C,3,0)</f>
        <v>2024-02-17 21:19:00</v>
      </c>
      <c r="E7203" t="str">
        <f>VLOOKUP(C7203,Меню!A:E,4,0)</f>
        <v>Завтрак</v>
      </c>
      <c r="F7203">
        <f>VLOOKUP(C7203,Меню!A:E,5,0)</f>
        <v>200</v>
      </c>
    </row>
    <row r="7204" spans="1:6" ht="15.75" hidden="1" customHeight="1" x14ac:dyDescent="0.35">
      <c r="A7204" s="1">
        <v>7203</v>
      </c>
      <c r="B7204" s="1">
        <v>1434</v>
      </c>
      <c r="C7204" s="1">
        <v>47</v>
      </c>
      <c r="D7204" t="str">
        <f>VLOOKUP(B7204,Заказы!A:C,3,0)</f>
        <v>2024-02-17 21:19:00</v>
      </c>
      <c r="E7204" t="str">
        <f>VLOOKUP(C7204,Меню!A:E,4,0)</f>
        <v>Суши</v>
      </c>
      <c r="F7204">
        <f>VLOOKUP(C7204,Меню!A:E,5,0)</f>
        <v>200</v>
      </c>
    </row>
    <row r="7205" spans="1:6" ht="15.75" hidden="1" customHeight="1" x14ac:dyDescent="0.35">
      <c r="A7205" s="1">
        <v>7204</v>
      </c>
      <c r="B7205" s="1">
        <v>1435</v>
      </c>
      <c r="C7205" s="1">
        <v>10</v>
      </c>
      <c r="D7205" t="str">
        <f>VLOOKUP(B7205,Заказы!A:C,3,0)</f>
        <v>2024-02-18 18:11:00</v>
      </c>
      <c r="E7205" t="str">
        <f>VLOOKUP(C7205,Меню!A:E,4,0)</f>
        <v>Завтрак</v>
      </c>
      <c r="F7205">
        <f>VLOOKUP(C7205,Меню!A:E,5,0)</f>
        <v>200</v>
      </c>
    </row>
    <row r="7206" spans="1:6" ht="15.75" hidden="1" customHeight="1" x14ac:dyDescent="0.35">
      <c r="A7206" s="1">
        <v>7205</v>
      </c>
      <c r="B7206" s="1">
        <v>1435</v>
      </c>
      <c r="C7206" s="1">
        <v>48</v>
      </c>
      <c r="D7206" t="str">
        <f>VLOOKUP(B7206,Заказы!A:C,3,0)</f>
        <v>2024-02-18 18:11:00</v>
      </c>
      <c r="E7206" t="str">
        <f>VLOOKUP(C7206,Меню!A:E,4,0)</f>
        <v>Суши</v>
      </c>
      <c r="F7206">
        <f>VLOOKUP(C7206,Меню!A:E,5,0)</f>
        <v>200</v>
      </c>
    </row>
    <row r="7207" spans="1:6" ht="15.75" hidden="1" customHeight="1" x14ac:dyDescent="0.35">
      <c r="A7207" s="1">
        <v>7206</v>
      </c>
      <c r="B7207" s="1">
        <v>1435</v>
      </c>
      <c r="C7207" s="1">
        <v>60</v>
      </c>
      <c r="D7207" t="str">
        <f>VLOOKUP(B7207,Заказы!A:C,3,0)</f>
        <v>2024-02-18 18:11:00</v>
      </c>
      <c r="E7207" t="str">
        <f>VLOOKUP(C7207,Меню!A:E,4,0)</f>
        <v>Суши</v>
      </c>
      <c r="F7207">
        <f>VLOOKUP(C7207,Меню!A:E,5,0)</f>
        <v>250</v>
      </c>
    </row>
    <row r="7208" spans="1:6" ht="15.75" hidden="1" customHeight="1" x14ac:dyDescent="0.35">
      <c r="A7208" s="1">
        <v>7207</v>
      </c>
      <c r="B7208" s="1">
        <v>1435</v>
      </c>
      <c r="C7208" s="1">
        <v>26</v>
      </c>
      <c r="D7208" t="str">
        <f>VLOOKUP(B7208,Заказы!A:C,3,0)</f>
        <v>2024-02-18 18:11:00</v>
      </c>
      <c r="E7208" t="str">
        <f>VLOOKUP(C7208,Меню!A:E,4,0)</f>
        <v>Салат</v>
      </c>
      <c r="F7208">
        <f>VLOOKUP(C7208,Меню!A:E,5,0)</f>
        <v>250</v>
      </c>
    </row>
    <row r="7209" spans="1:6" ht="15.75" hidden="1" customHeight="1" x14ac:dyDescent="0.35">
      <c r="A7209" s="1">
        <v>7208</v>
      </c>
      <c r="B7209" s="1">
        <v>1435</v>
      </c>
      <c r="C7209" s="1">
        <v>11</v>
      </c>
      <c r="D7209" t="str">
        <f>VLOOKUP(B7209,Заказы!A:C,3,0)</f>
        <v>2024-02-18 18:11:00</v>
      </c>
      <c r="E7209" t="str">
        <f>VLOOKUP(C7209,Меню!A:E,4,0)</f>
        <v>Первое</v>
      </c>
      <c r="F7209">
        <f>VLOOKUP(C7209,Меню!A:E,5,0)</f>
        <v>300</v>
      </c>
    </row>
    <row r="7210" spans="1:6" ht="15.75" hidden="1" customHeight="1" x14ac:dyDescent="0.35">
      <c r="A7210" s="1">
        <v>7209</v>
      </c>
      <c r="B7210" s="1">
        <v>1435</v>
      </c>
      <c r="C7210" s="1">
        <v>56</v>
      </c>
      <c r="D7210" t="str">
        <f>VLOOKUP(B7210,Заказы!A:C,3,0)</f>
        <v>2024-02-18 18:11:00</v>
      </c>
      <c r="E7210" t="str">
        <f>VLOOKUP(C7210,Меню!A:E,4,0)</f>
        <v>Суши</v>
      </c>
      <c r="F7210">
        <f>VLOOKUP(C7210,Меню!A:E,5,0)</f>
        <v>200</v>
      </c>
    </row>
    <row r="7211" spans="1:6" ht="15.75" hidden="1" customHeight="1" x14ac:dyDescent="0.35">
      <c r="A7211" s="1">
        <v>7210</v>
      </c>
      <c r="B7211" s="1">
        <v>1435</v>
      </c>
      <c r="C7211" s="1">
        <v>7</v>
      </c>
      <c r="D7211" t="str">
        <f>VLOOKUP(B7211,Заказы!A:C,3,0)</f>
        <v>2024-02-18 18:11:00</v>
      </c>
      <c r="E7211" t="str">
        <f>VLOOKUP(C7211,Меню!A:E,4,0)</f>
        <v>Завтрак</v>
      </c>
      <c r="F7211">
        <f>VLOOKUP(C7211,Меню!A:E,5,0)</f>
        <v>200</v>
      </c>
    </row>
    <row r="7212" spans="1:6" ht="15.75" hidden="1" customHeight="1" x14ac:dyDescent="0.35">
      <c r="A7212" s="1">
        <v>7211</v>
      </c>
      <c r="B7212" s="1">
        <v>1435</v>
      </c>
      <c r="C7212" s="1">
        <v>11</v>
      </c>
      <c r="D7212" t="str">
        <f>VLOOKUP(B7212,Заказы!A:C,3,0)</f>
        <v>2024-02-18 18:11:00</v>
      </c>
      <c r="E7212" t="str">
        <f>VLOOKUP(C7212,Меню!A:E,4,0)</f>
        <v>Первое</v>
      </c>
      <c r="F7212">
        <f>VLOOKUP(C7212,Меню!A:E,5,0)</f>
        <v>300</v>
      </c>
    </row>
    <row r="7213" spans="1:6" ht="15.75" hidden="1" customHeight="1" x14ac:dyDescent="0.35">
      <c r="A7213" s="1">
        <v>7212</v>
      </c>
      <c r="B7213" s="1">
        <v>1436</v>
      </c>
      <c r="C7213" s="1">
        <v>16</v>
      </c>
      <c r="D7213" t="str">
        <f>VLOOKUP(B7213,Заказы!A:C,3,0)</f>
        <v>2024-02-18 18:15:00</v>
      </c>
      <c r="E7213" t="str">
        <f>VLOOKUP(C7213,Меню!A:E,4,0)</f>
        <v>Первое</v>
      </c>
      <c r="F7213">
        <f>VLOOKUP(C7213,Меню!A:E,5,0)</f>
        <v>250</v>
      </c>
    </row>
    <row r="7214" spans="1:6" ht="15.75" hidden="1" customHeight="1" x14ac:dyDescent="0.35">
      <c r="A7214" s="1">
        <v>7213</v>
      </c>
      <c r="B7214" s="1">
        <v>1436</v>
      </c>
      <c r="C7214" s="1">
        <v>52</v>
      </c>
      <c r="D7214" t="str">
        <f>VLOOKUP(B7214,Заказы!A:C,3,0)</f>
        <v>2024-02-18 18:15:00</v>
      </c>
      <c r="E7214" t="str">
        <f>VLOOKUP(C7214,Меню!A:E,4,0)</f>
        <v>Суши</v>
      </c>
      <c r="F7214">
        <f>VLOOKUP(C7214,Меню!A:E,5,0)</f>
        <v>100</v>
      </c>
    </row>
    <row r="7215" spans="1:6" ht="15.75" hidden="1" customHeight="1" x14ac:dyDescent="0.35">
      <c r="A7215" s="1">
        <v>7214</v>
      </c>
      <c r="B7215" s="1">
        <v>1436</v>
      </c>
      <c r="C7215" s="1">
        <v>6</v>
      </c>
      <c r="D7215" t="str">
        <f>VLOOKUP(B7215,Заказы!A:C,3,0)</f>
        <v>2024-02-18 18:15:00</v>
      </c>
      <c r="E7215" t="str">
        <f>VLOOKUP(C7215,Меню!A:E,4,0)</f>
        <v>Завтрак</v>
      </c>
      <c r="F7215">
        <f>VLOOKUP(C7215,Меню!A:E,5,0)</f>
        <v>300</v>
      </c>
    </row>
    <row r="7216" spans="1:6" ht="15.75" hidden="1" customHeight="1" x14ac:dyDescent="0.35">
      <c r="A7216" s="1">
        <v>7215</v>
      </c>
      <c r="B7216" s="1">
        <v>1436</v>
      </c>
      <c r="C7216" s="1">
        <v>12</v>
      </c>
      <c r="D7216" t="str">
        <f>VLOOKUP(B7216,Заказы!A:C,3,0)</f>
        <v>2024-02-18 18:15:00</v>
      </c>
      <c r="E7216" t="str">
        <f>VLOOKUP(C7216,Меню!A:E,4,0)</f>
        <v>Первое</v>
      </c>
      <c r="F7216">
        <f>VLOOKUP(C7216,Меню!A:E,5,0)</f>
        <v>300</v>
      </c>
    </row>
    <row r="7217" spans="1:6" ht="15.75" hidden="1" customHeight="1" x14ac:dyDescent="0.35">
      <c r="A7217" s="1">
        <v>7216</v>
      </c>
      <c r="B7217" s="1">
        <v>1436</v>
      </c>
      <c r="C7217" s="1">
        <v>29</v>
      </c>
      <c r="D7217" t="str">
        <f>VLOOKUP(B7217,Заказы!A:C,3,0)</f>
        <v>2024-02-18 18:15:00</v>
      </c>
      <c r="E7217" t="str">
        <f>VLOOKUP(C7217,Меню!A:E,4,0)</f>
        <v>Салат</v>
      </c>
      <c r="F7217">
        <f>VLOOKUP(C7217,Меню!A:E,5,0)</f>
        <v>250</v>
      </c>
    </row>
    <row r="7218" spans="1:6" ht="15.75" hidden="1" customHeight="1" x14ac:dyDescent="0.35">
      <c r="A7218" s="1">
        <v>7217</v>
      </c>
      <c r="B7218" s="1">
        <v>1436</v>
      </c>
      <c r="C7218" s="1">
        <v>9</v>
      </c>
      <c r="D7218" t="str">
        <f>VLOOKUP(B7218,Заказы!A:C,3,0)</f>
        <v>2024-02-18 18:15:00</v>
      </c>
      <c r="E7218" t="str">
        <f>VLOOKUP(C7218,Меню!A:E,4,0)</f>
        <v>Завтрак</v>
      </c>
      <c r="F7218">
        <f>VLOOKUP(C7218,Меню!A:E,5,0)</f>
        <v>220</v>
      </c>
    </row>
    <row r="7219" spans="1:6" ht="15.75" hidden="1" customHeight="1" x14ac:dyDescent="0.35">
      <c r="A7219" s="1">
        <v>7218</v>
      </c>
      <c r="B7219" s="1">
        <v>1436</v>
      </c>
      <c r="C7219" s="1">
        <v>29</v>
      </c>
      <c r="D7219" t="str">
        <f>VLOOKUP(B7219,Заказы!A:C,3,0)</f>
        <v>2024-02-18 18:15:00</v>
      </c>
      <c r="E7219" t="str">
        <f>VLOOKUP(C7219,Меню!A:E,4,0)</f>
        <v>Салат</v>
      </c>
      <c r="F7219">
        <f>VLOOKUP(C7219,Меню!A:E,5,0)</f>
        <v>250</v>
      </c>
    </row>
    <row r="7220" spans="1:6" ht="15.75" hidden="1" customHeight="1" x14ac:dyDescent="0.35">
      <c r="A7220" s="1">
        <v>7219</v>
      </c>
      <c r="B7220" s="1">
        <v>1437</v>
      </c>
      <c r="C7220" s="1">
        <v>38</v>
      </c>
      <c r="D7220" t="str">
        <f>VLOOKUP(B7220,Заказы!A:C,3,0)</f>
        <v>2024-02-18 20:18:00</v>
      </c>
      <c r="E7220" t="str">
        <f>VLOOKUP(C7220,Меню!A:E,4,0)</f>
        <v>Десерт</v>
      </c>
      <c r="F7220">
        <f>VLOOKUP(C7220,Меню!A:E,5,0)</f>
        <v>150</v>
      </c>
    </row>
    <row r="7221" spans="1:6" ht="15.75" hidden="1" customHeight="1" x14ac:dyDescent="0.35">
      <c r="A7221" s="1">
        <v>7220</v>
      </c>
      <c r="B7221" s="1">
        <v>1437</v>
      </c>
      <c r="C7221" s="1">
        <v>58</v>
      </c>
      <c r="D7221" t="str">
        <f>VLOOKUP(B7221,Заказы!A:C,3,0)</f>
        <v>2024-02-18 20:18:00</v>
      </c>
      <c r="E7221" t="str">
        <f>VLOOKUP(C7221,Меню!A:E,4,0)</f>
        <v>Суши</v>
      </c>
      <c r="F7221">
        <f>VLOOKUP(C7221,Меню!A:E,5,0)</f>
        <v>200</v>
      </c>
    </row>
    <row r="7222" spans="1:6" ht="15.75" hidden="1" customHeight="1" x14ac:dyDescent="0.35">
      <c r="A7222" s="1">
        <v>7221</v>
      </c>
      <c r="B7222" s="1">
        <v>1437</v>
      </c>
      <c r="C7222" s="1">
        <v>41</v>
      </c>
      <c r="D7222" t="str">
        <f>VLOOKUP(B7222,Заказы!A:C,3,0)</f>
        <v>2024-02-18 20:18:00</v>
      </c>
      <c r="E7222" t="str">
        <f>VLOOKUP(C7222,Меню!A:E,4,0)</f>
        <v>Суши</v>
      </c>
      <c r="F7222">
        <f>VLOOKUP(C7222,Меню!A:E,5,0)</f>
        <v>220</v>
      </c>
    </row>
    <row r="7223" spans="1:6" ht="15.75" hidden="1" customHeight="1" x14ac:dyDescent="0.35">
      <c r="A7223" s="1">
        <v>7222</v>
      </c>
      <c r="B7223" s="1">
        <v>1438</v>
      </c>
      <c r="C7223" s="1">
        <v>5</v>
      </c>
      <c r="D7223" t="str">
        <f>VLOOKUP(B7223,Заказы!A:C,3,0)</f>
        <v>2024-02-18 22:36:00</v>
      </c>
      <c r="E7223" t="str">
        <f>VLOOKUP(C7223,Меню!A:E,4,0)</f>
        <v>Завтрак</v>
      </c>
      <c r="F7223">
        <f>VLOOKUP(C7223,Меню!A:E,5,0)</f>
        <v>220</v>
      </c>
    </row>
    <row r="7224" spans="1:6" ht="15.75" hidden="1" customHeight="1" x14ac:dyDescent="0.35">
      <c r="A7224" s="1">
        <v>7223</v>
      </c>
      <c r="B7224" s="1">
        <v>1438</v>
      </c>
      <c r="C7224" s="1">
        <v>59</v>
      </c>
      <c r="D7224" t="str">
        <f>VLOOKUP(B7224,Заказы!A:C,3,0)</f>
        <v>2024-02-18 22:36:00</v>
      </c>
      <c r="E7224" t="str">
        <f>VLOOKUP(C7224,Меню!A:E,4,0)</f>
        <v>Суши</v>
      </c>
      <c r="F7224">
        <f>VLOOKUP(C7224,Меню!A:E,5,0)</f>
        <v>300</v>
      </c>
    </row>
    <row r="7225" spans="1:6" ht="15.75" hidden="1" customHeight="1" x14ac:dyDescent="0.35">
      <c r="A7225" s="1">
        <v>7224</v>
      </c>
      <c r="B7225" s="1">
        <v>1438</v>
      </c>
      <c r="C7225" s="1">
        <v>35</v>
      </c>
      <c r="D7225" t="str">
        <f>VLOOKUP(B7225,Заказы!A:C,3,0)</f>
        <v>2024-02-18 22:36:00</v>
      </c>
      <c r="E7225" t="str">
        <f>VLOOKUP(C7225,Меню!A:E,4,0)</f>
        <v>Десерт</v>
      </c>
      <c r="F7225">
        <f>VLOOKUP(C7225,Меню!A:E,5,0)</f>
        <v>150</v>
      </c>
    </row>
    <row r="7226" spans="1:6" ht="15.75" hidden="1" customHeight="1" x14ac:dyDescent="0.35">
      <c r="A7226" s="1">
        <v>7225</v>
      </c>
      <c r="B7226" s="1">
        <v>1438</v>
      </c>
      <c r="C7226" s="1">
        <v>56</v>
      </c>
      <c r="D7226" t="str">
        <f>VLOOKUP(B7226,Заказы!A:C,3,0)</f>
        <v>2024-02-18 22:36:00</v>
      </c>
      <c r="E7226" t="str">
        <f>VLOOKUP(C7226,Меню!A:E,4,0)</f>
        <v>Суши</v>
      </c>
      <c r="F7226">
        <f>VLOOKUP(C7226,Меню!A:E,5,0)</f>
        <v>200</v>
      </c>
    </row>
    <row r="7227" spans="1:6" ht="15.75" hidden="1" customHeight="1" x14ac:dyDescent="0.35">
      <c r="A7227" s="1">
        <v>7226</v>
      </c>
      <c r="B7227" s="1">
        <v>1439</v>
      </c>
      <c r="C7227" s="1">
        <v>32</v>
      </c>
      <c r="D7227" t="str">
        <f>VLOOKUP(B7227,Заказы!A:C,3,0)</f>
        <v>2024-02-19 15:33:00</v>
      </c>
      <c r="E7227" t="str">
        <f>VLOOKUP(C7227,Меню!A:E,4,0)</f>
        <v>Десерт</v>
      </c>
      <c r="F7227">
        <f>VLOOKUP(C7227,Меню!A:E,5,0)</f>
        <v>150</v>
      </c>
    </row>
    <row r="7228" spans="1:6" ht="15.75" hidden="1" customHeight="1" x14ac:dyDescent="0.35">
      <c r="A7228" s="1">
        <v>7227</v>
      </c>
      <c r="B7228" s="1">
        <v>1439</v>
      </c>
      <c r="C7228" s="1">
        <v>31</v>
      </c>
      <c r="D7228" t="str">
        <f>VLOOKUP(B7228,Заказы!A:C,3,0)</f>
        <v>2024-02-19 15:33:00</v>
      </c>
      <c r="E7228" t="str">
        <f>VLOOKUP(C7228,Меню!A:E,4,0)</f>
        <v>Десерт</v>
      </c>
      <c r="F7228">
        <f>VLOOKUP(C7228,Меню!A:E,5,0)</f>
        <v>150</v>
      </c>
    </row>
    <row r="7229" spans="1:6" ht="15.75" hidden="1" customHeight="1" x14ac:dyDescent="0.35">
      <c r="A7229" s="1">
        <v>7228</v>
      </c>
      <c r="B7229" s="1">
        <v>1439</v>
      </c>
      <c r="C7229" s="1">
        <v>37</v>
      </c>
      <c r="D7229" t="str">
        <f>VLOOKUP(B7229,Заказы!A:C,3,0)</f>
        <v>2024-02-19 15:33:00</v>
      </c>
      <c r="E7229" t="str">
        <f>VLOOKUP(C7229,Меню!A:E,4,0)</f>
        <v>Десерт</v>
      </c>
      <c r="F7229">
        <f>VLOOKUP(C7229,Меню!A:E,5,0)</f>
        <v>100</v>
      </c>
    </row>
    <row r="7230" spans="1:6" ht="15.75" hidden="1" customHeight="1" x14ac:dyDescent="0.35">
      <c r="A7230" s="1">
        <v>7229</v>
      </c>
      <c r="B7230" s="1">
        <v>1440</v>
      </c>
      <c r="C7230" s="1">
        <v>30</v>
      </c>
      <c r="D7230" t="str">
        <f>VLOOKUP(B7230,Заказы!A:C,3,0)</f>
        <v>2024-02-19 17:13:00</v>
      </c>
      <c r="E7230" t="str">
        <f>VLOOKUP(C7230,Меню!A:E,4,0)</f>
        <v>Салат</v>
      </c>
      <c r="F7230">
        <f>VLOOKUP(C7230,Меню!A:E,5,0)</f>
        <v>250</v>
      </c>
    </row>
    <row r="7231" spans="1:6" ht="15.75" hidden="1" customHeight="1" x14ac:dyDescent="0.35">
      <c r="A7231" s="1">
        <v>7230</v>
      </c>
      <c r="B7231" s="1">
        <v>1440</v>
      </c>
      <c r="C7231" s="1">
        <v>58</v>
      </c>
      <c r="D7231" t="str">
        <f>VLOOKUP(B7231,Заказы!A:C,3,0)</f>
        <v>2024-02-19 17:13:00</v>
      </c>
      <c r="E7231" t="str">
        <f>VLOOKUP(C7231,Меню!A:E,4,0)</f>
        <v>Суши</v>
      </c>
      <c r="F7231">
        <f>VLOOKUP(C7231,Меню!A:E,5,0)</f>
        <v>200</v>
      </c>
    </row>
    <row r="7232" spans="1:6" ht="15.75" hidden="1" customHeight="1" x14ac:dyDescent="0.35">
      <c r="A7232" s="1">
        <v>7231</v>
      </c>
      <c r="B7232" s="1">
        <v>1440</v>
      </c>
      <c r="C7232" s="1">
        <v>39</v>
      </c>
      <c r="D7232" t="str">
        <f>VLOOKUP(B7232,Заказы!A:C,3,0)</f>
        <v>2024-02-19 17:13:00</v>
      </c>
      <c r="E7232" t="str">
        <f>VLOOKUP(C7232,Меню!A:E,4,0)</f>
        <v>Десерт</v>
      </c>
      <c r="F7232">
        <f>VLOOKUP(C7232,Меню!A:E,5,0)</f>
        <v>150</v>
      </c>
    </row>
    <row r="7233" spans="1:6" ht="15.75" hidden="1" customHeight="1" x14ac:dyDescent="0.35">
      <c r="A7233" s="1">
        <v>7232</v>
      </c>
      <c r="B7233" s="1">
        <v>1440</v>
      </c>
      <c r="C7233" s="1">
        <v>54</v>
      </c>
      <c r="D7233" t="str">
        <f>VLOOKUP(B7233,Заказы!A:C,3,0)</f>
        <v>2024-02-19 17:13:00</v>
      </c>
      <c r="E7233" t="str">
        <f>VLOOKUP(C7233,Меню!A:E,4,0)</f>
        <v>Суши</v>
      </c>
      <c r="F7233">
        <f>VLOOKUP(C7233,Меню!A:E,5,0)</f>
        <v>100</v>
      </c>
    </row>
    <row r="7234" spans="1:6" ht="15.75" hidden="1" customHeight="1" x14ac:dyDescent="0.35">
      <c r="A7234" s="1">
        <v>7233</v>
      </c>
      <c r="B7234" s="1">
        <v>1440</v>
      </c>
      <c r="C7234" s="1">
        <v>18</v>
      </c>
      <c r="D7234" t="str">
        <f>VLOOKUP(B7234,Заказы!A:C,3,0)</f>
        <v>2024-02-19 17:13:00</v>
      </c>
      <c r="E7234" t="str">
        <f>VLOOKUP(C7234,Меню!A:E,4,0)</f>
        <v>Первое</v>
      </c>
      <c r="F7234">
        <f>VLOOKUP(C7234,Меню!A:E,5,0)</f>
        <v>300</v>
      </c>
    </row>
    <row r="7235" spans="1:6" ht="15.75" hidden="1" customHeight="1" x14ac:dyDescent="0.35">
      <c r="A7235" s="1">
        <v>7234</v>
      </c>
      <c r="B7235" s="1">
        <v>1441</v>
      </c>
      <c r="C7235" s="1">
        <v>4</v>
      </c>
      <c r="D7235" t="str">
        <f>VLOOKUP(B7235,Заказы!A:C,3,0)</f>
        <v>2024-02-20 18:18:00</v>
      </c>
      <c r="E7235" t="str">
        <f>VLOOKUP(C7235,Меню!A:E,4,0)</f>
        <v>Завтрак</v>
      </c>
      <c r="F7235">
        <f>VLOOKUP(C7235,Меню!A:E,5,0)</f>
        <v>180</v>
      </c>
    </row>
    <row r="7236" spans="1:6" ht="15.75" hidden="1" customHeight="1" x14ac:dyDescent="0.35">
      <c r="A7236" s="1">
        <v>7235</v>
      </c>
      <c r="B7236" s="1">
        <v>1441</v>
      </c>
      <c r="C7236" s="1">
        <v>14</v>
      </c>
      <c r="D7236" t="str">
        <f>VLOOKUP(B7236,Заказы!A:C,3,0)</f>
        <v>2024-02-20 18:18:00</v>
      </c>
      <c r="E7236" t="str">
        <f>VLOOKUP(C7236,Меню!A:E,4,0)</f>
        <v>Первое</v>
      </c>
      <c r="F7236">
        <f>VLOOKUP(C7236,Меню!A:E,5,0)</f>
        <v>350</v>
      </c>
    </row>
    <row r="7237" spans="1:6" ht="15.75" hidden="1" customHeight="1" x14ac:dyDescent="0.35">
      <c r="A7237" s="1">
        <v>7236</v>
      </c>
      <c r="B7237" s="1">
        <v>1441</v>
      </c>
      <c r="C7237" s="1">
        <v>43</v>
      </c>
      <c r="D7237" t="str">
        <f>VLOOKUP(B7237,Заказы!A:C,3,0)</f>
        <v>2024-02-20 18:18:00</v>
      </c>
      <c r="E7237" t="str">
        <f>VLOOKUP(C7237,Меню!A:E,4,0)</f>
        <v>Суши</v>
      </c>
      <c r="F7237">
        <f>VLOOKUP(C7237,Меню!A:E,5,0)</f>
        <v>250</v>
      </c>
    </row>
    <row r="7238" spans="1:6" ht="15.75" hidden="1" customHeight="1" x14ac:dyDescent="0.35">
      <c r="A7238" s="1">
        <v>7237</v>
      </c>
      <c r="B7238" s="1">
        <v>1441</v>
      </c>
      <c r="C7238" s="1">
        <v>20</v>
      </c>
      <c r="D7238" t="str">
        <f>VLOOKUP(B7238,Заказы!A:C,3,0)</f>
        <v>2024-02-20 18:18:00</v>
      </c>
      <c r="E7238" t="str">
        <f>VLOOKUP(C7238,Меню!A:E,4,0)</f>
        <v>Первое</v>
      </c>
      <c r="F7238">
        <f>VLOOKUP(C7238,Меню!A:E,5,0)</f>
        <v>250</v>
      </c>
    </row>
    <row r="7239" spans="1:6" ht="15.75" hidden="1" customHeight="1" x14ac:dyDescent="0.35">
      <c r="A7239" s="1">
        <v>7238</v>
      </c>
      <c r="B7239" s="1">
        <v>1441</v>
      </c>
      <c r="C7239" s="1">
        <v>10</v>
      </c>
      <c r="D7239" t="str">
        <f>VLOOKUP(B7239,Заказы!A:C,3,0)</f>
        <v>2024-02-20 18:18:00</v>
      </c>
      <c r="E7239" t="str">
        <f>VLOOKUP(C7239,Меню!A:E,4,0)</f>
        <v>Завтрак</v>
      </c>
      <c r="F7239">
        <f>VLOOKUP(C7239,Меню!A:E,5,0)</f>
        <v>200</v>
      </c>
    </row>
    <row r="7240" spans="1:6" ht="15.75" hidden="1" customHeight="1" x14ac:dyDescent="0.35">
      <c r="A7240" s="1">
        <v>7239</v>
      </c>
      <c r="B7240" s="1">
        <v>1441</v>
      </c>
      <c r="C7240" s="1">
        <v>2</v>
      </c>
      <c r="D7240" t="str">
        <f>VLOOKUP(B7240,Заказы!A:C,3,0)</f>
        <v>2024-02-20 18:18:00</v>
      </c>
      <c r="E7240" t="str">
        <f>VLOOKUP(C7240,Меню!A:E,4,0)</f>
        <v>Завтрак</v>
      </c>
      <c r="F7240">
        <f>VLOOKUP(C7240,Меню!A:E,5,0)</f>
        <v>250</v>
      </c>
    </row>
    <row r="7241" spans="1:6" ht="15.75" hidden="1" customHeight="1" x14ac:dyDescent="0.35">
      <c r="A7241" s="1">
        <v>7240</v>
      </c>
      <c r="B7241" s="1">
        <v>1441</v>
      </c>
      <c r="C7241" s="1">
        <v>12</v>
      </c>
      <c r="D7241" t="str">
        <f>VLOOKUP(B7241,Заказы!A:C,3,0)</f>
        <v>2024-02-20 18:18:00</v>
      </c>
      <c r="E7241" t="str">
        <f>VLOOKUP(C7241,Меню!A:E,4,0)</f>
        <v>Первое</v>
      </c>
      <c r="F7241">
        <f>VLOOKUP(C7241,Меню!A:E,5,0)</f>
        <v>300</v>
      </c>
    </row>
    <row r="7242" spans="1:6" ht="15.75" hidden="1" customHeight="1" x14ac:dyDescent="0.35">
      <c r="A7242" s="1">
        <v>7241</v>
      </c>
      <c r="B7242" s="1">
        <v>1441</v>
      </c>
      <c r="C7242" s="1">
        <v>10</v>
      </c>
      <c r="D7242" t="str">
        <f>VLOOKUP(B7242,Заказы!A:C,3,0)</f>
        <v>2024-02-20 18:18:00</v>
      </c>
      <c r="E7242" t="str">
        <f>VLOOKUP(C7242,Меню!A:E,4,0)</f>
        <v>Завтрак</v>
      </c>
      <c r="F7242">
        <f>VLOOKUP(C7242,Меню!A:E,5,0)</f>
        <v>200</v>
      </c>
    </row>
    <row r="7243" spans="1:6" ht="15.75" hidden="1" customHeight="1" x14ac:dyDescent="0.35">
      <c r="A7243" s="1">
        <v>7242</v>
      </c>
      <c r="B7243" s="1">
        <v>1441</v>
      </c>
      <c r="C7243" s="1">
        <v>25</v>
      </c>
      <c r="D7243" t="str">
        <f>VLOOKUP(B7243,Заказы!A:C,3,0)</f>
        <v>2024-02-20 18:18:00</v>
      </c>
      <c r="E7243" t="str">
        <f>VLOOKUP(C7243,Меню!A:E,4,0)</f>
        <v>Салат</v>
      </c>
      <c r="F7243">
        <f>VLOOKUP(C7243,Меню!A:E,5,0)</f>
        <v>250</v>
      </c>
    </row>
    <row r="7244" spans="1:6" ht="15.75" hidden="1" customHeight="1" x14ac:dyDescent="0.35">
      <c r="A7244" s="1">
        <v>7243</v>
      </c>
      <c r="B7244" s="1">
        <v>1442</v>
      </c>
      <c r="C7244" s="1">
        <v>18</v>
      </c>
      <c r="D7244" t="str">
        <f>VLOOKUP(B7244,Заказы!A:C,3,0)</f>
        <v>2024-02-20 18:20:00</v>
      </c>
      <c r="E7244" t="str">
        <f>VLOOKUP(C7244,Меню!A:E,4,0)</f>
        <v>Первое</v>
      </c>
      <c r="F7244">
        <f>VLOOKUP(C7244,Меню!A:E,5,0)</f>
        <v>300</v>
      </c>
    </row>
    <row r="7245" spans="1:6" ht="15.75" hidden="1" customHeight="1" x14ac:dyDescent="0.35">
      <c r="A7245" s="1">
        <v>7244</v>
      </c>
      <c r="B7245" s="1">
        <v>1442</v>
      </c>
      <c r="C7245" s="1">
        <v>27</v>
      </c>
      <c r="D7245" t="str">
        <f>VLOOKUP(B7245,Заказы!A:C,3,0)</f>
        <v>2024-02-20 18:20:00</v>
      </c>
      <c r="E7245" t="str">
        <f>VLOOKUP(C7245,Меню!A:E,4,0)</f>
        <v>Салат</v>
      </c>
      <c r="F7245">
        <f>VLOOKUP(C7245,Меню!A:E,5,0)</f>
        <v>250</v>
      </c>
    </row>
    <row r="7246" spans="1:6" ht="15.75" hidden="1" customHeight="1" x14ac:dyDescent="0.35">
      <c r="A7246" s="1">
        <v>7245</v>
      </c>
      <c r="B7246" s="1">
        <v>1442</v>
      </c>
      <c r="C7246" s="1">
        <v>50</v>
      </c>
      <c r="D7246" t="str">
        <f>VLOOKUP(B7246,Заказы!A:C,3,0)</f>
        <v>2024-02-20 18:20:00</v>
      </c>
      <c r="E7246" t="str">
        <f>VLOOKUP(C7246,Меню!A:E,4,0)</f>
        <v>Суши</v>
      </c>
      <c r="F7246">
        <f>VLOOKUP(C7246,Меню!A:E,5,0)</f>
        <v>200</v>
      </c>
    </row>
    <row r="7247" spans="1:6" ht="15.75" hidden="1" customHeight="1" x14ac:dyDescent="0.35">
      <c r="A7247" s="1">
        <v>7246</v>
      </c>
      <c r="B7247" s="1">
        <v>1442</v>
      </c>
      <c r="C7247" s="1">
        <v>49</v>
      </c>
      <c r="D7247" t="str">
        <f>VLOOKUP(B7247,Заказы!A:C,3,0)</f>
        <v>2024-02-20 18:20:00</v>
      </c>
      <c r="E7247" t="str">
        <f>VLOOKUP(C7247,Меню!A:E,4,0)</f>
        <v>Суши</v>
      </c>
      <c r="F7247">
        <f>VLOOKUP(C7247,Меню!A:E,5,0)</f>
        <v>200</v>
      </c>
    </row>
    <row r="7248" spans="1:6" ht="15.75" hidden="1" customHeight="1" x14ac:dyDescent="0.35">
      <c r="A7248" s="1">
        <v>7247</v>
      </c>
      <c r="B7248" s="1">
        <v>1442</v>
      </c>
      <c r="C7248" s="1">
        <v>48</v>
      </c>
      <c r="D7248" t="str">
        <f>VLOOKUP(B7248,Заказы!A:C,3,0)</f>
        <v>2024-02-20 18:20:00</v>
      </c>
      <c r="E7248" t="str">
        <f>VLOOKUP(C7248,Меню!A:E,4,0)</f>
        <v>Суши</v>
      </c>
      <c r="F7248">
        <f>VLOOKUP(C7248,Меню!A:E,5,0)</f>
        <v>200</v>
      </c>
    </row>
    <row r="7249" spans="1:6" ht="15.75" hidden="1" customHeight="1" x14ac:dyDescent="0.35">
      <c r="A7249" s="1">
        <v>7248</v>
      </c>
      <c r="B7249" s="1">
        <v>1443</v>
      </c>
      <c r="C7249" s="1">
        <v>14</v>
      </c>
      <c r="D7249" t="str">
        <f>VLOOKUP(B7249,Заказы!A:C,3,0)</f>
        <v>2024-02-20 20:38:00</v>
      </c>
      <c r="E7249" t="str">
        <f>VLOOKUP(C7249,Меню!A:E,4,0)</f>
        <v>Первое</v>
      </c>
      <c r="F7249">
        <f>VLOOKUP(C7249,Меню!A:E,5,0)</f>
        <v>350</v>
      </c>
    </row>
    <row r="7250" spans="1:6" ht="15.75" hidden="1" customHeight="1" x14ac:dyDescent="0.35">
      <c r="A7250" s="1">
        <v>7249</v>
      </c>
      <c r="B7250" s="1">
        <v>1444</v>
      </c>
      <c r="C7250" s="1">
        <v>56</v>
      </c>
      <c r="D7250" t="str">
        <f>VLOOKUP(B7250,Заказы!A:C,3,0)</f>
        <v>2024-02-20 20:48:00</v>
      </c>
      <c r="E7250" t="str">
        <f>VLOOKUP(C7250,Меню!A:E,4,0)</f>
        <v>Суши</v>
      </c>
      <c r="F7250">
        <f>VLOOKUP(C7250,Меню!A:E,5,0)</f>
        <v>200</v>
      </c>
    </row>
    <row r="7251" spans="1:6" ht="15.75" hidden="1" customHeight="1" x14ac:dyDescent="0.35">
      <c r="A7251" s="1">
        <v>7250</v>
      </c>
      <c r="B7251" s="1">
        <v>1445</v>
      </c>
      <c r="C7251" s="1">
        <v>24</v>
      </c>
      <c r="D7251" t="str">
        <f>VLOOKUP(B7251,Заказы!A:C,3,0)</f>
        <v>2024-02-20 21:27:00</v>
      </c>
      <c r="E7251" t="str">
        <f>VLOOKUP(C7251,Меню!A:E,4,0)</f>
        <v>Салат</v>
      </c>
      <c r="F7251">
        <f>VLOOKUP(C7251,Меню!A:E,5,0)</f>
        <v>250</v>
      </c>
    </row>
    <row r="7252" spans="1:6" ht="15.75" hidden="1" customHeight="1" x14ac:dyDescent="0.35">
      <c r="A7252" s="1">
        <v>7251</v>
      </c>
      <c r="B7252" s="1">
        <v>1445</v>
      </c>
      <c r="C7252" s="1">
        <v>39</v>
      </c>
      <c r="D7252" t="str">
        <f>VLOOKUP(B7252,Заказы!A:C,3,0)</f>
        <v>2024-02-20 21:27:00</v>
      </c>
      <c r="E7252" t="str">
        <f>VLOOKUP(C7252,Меню!A:E,4,0)</f>
        <v>Десерт</v>
      </c>
      <c r="F7252">
        <f>VLOOKUP(C7252,Меню!A:E,5,0)</f>
        <v>150</v>
      </c>
    </row>
    <row r="7253" spans="1:6" ht="15.75" hidden="1" customHeight="1" x14ac:dyDescent="0.35">
      <c r="A7253" s="1">
        <v>7252</v>
      </c>
      <c r="B7253" s="1">
        <v>1445</v>
      </c>
      <c r="C7253" s="1">
        <v>48</v>
      </c>
      <c r="D7253" t="str">
        <f>VLOOKUP(B7253,Заказы!A:C,3,0)</f>
        <v>2024-02-20 21:27:00</v>
      </c>
      <c r="E7253" t="str">
        <f>VLOOKUP(C7253,Меню!A:E,4,0)</f>
        <v>Суши</v>
      </c>
      <c r="F7253">
        <f>VLOOKUP(C7253,Меню!A:E,5,0)</f>
        <v>200</v>
      </c>
    </row>
    <row r="7254" spans="1:6" ht="15.75" hidden="1" customHeight="1" x14ac:dyDescent="0.35">
      <c r="A7254" s="1">
        <v>7253</v>
      </c>
      <c r="B7254" s="1">
        <v>1445</v>
      </c>
      <c r="C7254" s="1">
        <v>21</v>
      </c>
      <c r="D7254" t="str">
        <f>VLOOKUP(B7254,Заказы!A:C,3,0)</f>
        <v>2024-02-20 21:27:00</v>
      </c>
      <c r="E7254" t="str">
        <f>VLOOKUP(C7254,Меню!A:E,4,0)</f>
        <v>Салат</v>
      </c>
      <c r="F7254">
        <f>VLOOKUP(C7254,Меню!A:E,5,0)</f>
        <v>250</v>
      </c>
    </row>
    <row r="7255" spans="1:6" ht="15.75" hidden="1" customHeight="1" x14ac:dyDescent="0.35">
      <c r="A7255" s="1">
        <v>7254</v>
      </c>
      <c r="B7255" s="1">
        <v>1445</v>
      </c>
      <c r="C7255" s="1">
        <v>59</v>
      </c>
      <c r="D7255" t="str">
        <f>VLOOKUP(B7255,Заказы!A:C,3,0)</f>
        <v>2024-02-20 21:27:00</v>
      </c>
      <c r="E7255" t="str">
        <f>VLOOKUP(C7255,Меню!A:E,4,0)</f>
        <v>Суши</v>
      </c>
      <c r="F7255">
        <f>VLOOKUP(C7255,Меню!A:E,5,0)</f>
        <v>300</v>
      </c>
    </row>
    <row r="7256" spans="1:6" ht="15.75" hidden="1" customHeight="1" x14ac:dyDescent="0.35">
      <c r="A7256" s="1">
        <v>7255</v>
      </c>
      <c r="B7256" s="1">
        <v>1445</v>
      </c>
      <c r="C7256" s="1">
        <v>3</v>
      </c>
      <c r="D7256" t="str">
        <f>VLOOKUP(B7256,Заказы!A:C,3,0)</f>
        <v>2024-02-20 21:27:00</v>
      </c>
      <c r="E7256" t="str">
        <f>VLOOKUP(C7256,Меню!A:E,4,0)</f>
        <v>Завтрак</v>
      </c>
      <c r="F7256">
        <f>VLOOKUP(C7256,Меню!A:E,5,0)</f>
        <v>150</v>
      </c>
    </row>
    <row r="7257" spans="1:6" ht="15.75" hidden="1" customHeight="1" x14ac:dyDescent="0.35">
      <c r="A7257" s="1">
        <v>7256</v>
      </c>
      <c r="B7257" s="1">
        <v>1446</v>
      </c>
      <c r="C7257" s="1">
        <v>9</v>
      </c>
      <c r="D7257" t="str">
        <f>VLOOKUP(B7257,Заказы!A:C,3,0)</f>
        <v>2024-02-20 21:42:00</v>
      </c>
      <c r="E7257" t="str">
        <f>VLOOKUP(C7257,Меню!A:E,4,0)</f>
        <v>Завтрак</v>
      </c>
      <c r="F7257">
        <f>VLOOKUP(C7257,Меню!A:E,5,0)</f>
        <v>220</v>
      </c>
    </row>
    <row r="7258" spans="1:6" ht="15.75" hidden="1" customHeight="1" x14ac:dyDescent="0.35">
      <c r="A7258" s="1">
        <v>7257</v>
      </c>
      <c r="B7258" s="1">
        <v>1446</v>
      </c>
      <c r="C7258" s="1">
        <v>45</v>
      </c>
      <c r="D7258" t="str">
        <f>VLOOKUP(B7258,Заказы!A:C,3,0)</f>
        <v>2024-02-20 21:42:00</v>
      </c>
      <c r="E7258" t="str">
        <f>VLOOKUP(C7258,Меню!A:E,4,0)</f>
        <v>Суши</v>
      </c>
      <c r="F7258">
        <f>VLOOKUP(C7258,Меню!A:E,5,0)</f>
        <v>200</v>
      </c>
    </row>
    <row r="7259" spans="1:6" ht="15.75" hidden="1" customHeight="1" x14ac:dyDescent="0.35">
      <c r="A7259" s="1">
        <v>7258</v>
      </c>
      <c r="B7259" s="1">
        <v>1447</v>
      </c>
      <c r="C7259" s="1">
        <v>5</v>
      </c>
      <c r="D7259" t="str">
        <f>VLOOKUP(B7259,Заказы!A:C,3,0)</f>
        <v>2024-02-20 22:03:00</v>
      </c>
      <c r="E7259" t="str">
        <f>VLOOKUP(C7259,Меню!A:E,4,0)</f>
        <v>Завтрак</v>
      </c>
      <c r="F7259">
        <f>VLOOKUP(C7259,Меню!A:E,5,0)</f>
        <v>220</v>
      </c>
    </row>
    <row r="7260" spans="1:6" ht="15.75" hidden="1" customHeight="1" x14ac:dyDescent="0.35">
      <c r="A7260" s="1">
        <v>7259</v>
      </c>
      <c r="B7260" s="1">
        <v>1447</v>
      </c>
      <c r="C7260" s="1">
        <v>54</v>
      </c>
      <c r="D7260" t="str">
        <f>VLOOKUP(B7260,Заказы!A:C,3,0)</f>
        <v>2024-02-20 22:03:00</v>
      </c>
      <c r="E7260" t="str">
        <f>VLOOKUP(C7260,Меню!A:E,4,0)</f>
        <v>Суши</v>
      </c>
      <c r="F7260">
        <f>VLOOKUP(C7260,Меню!A:E,5,0)</f>
        <v>100</v>
      </c>
    </row>
    <row r="7261" spans="1:6" ht="15.75" hidden="1" customHeight="1" x14ac:dyDescent="0.35">
      <c r="A7261" s="1">
        <v>7260</v>
      </c>
      <c r="B7261" s="1">
        <v>1447</v>
      </c>
      <c r="C7261" s="1">
        <v>27</v>
      </c>
      <c r="D7261" t="str">
        <f>VLOOKUP(B7261,Заказы!A:C,3,0)</f>
        <v>2024-02-20 22:03:00</v>
      </c>
      <c r="E7261" t="str">
        <f>VLOOKUP(C7261,Меню!A:E,4,0)</f>
        <v>Салат</v>
      </c>
      <c r="F7261">
        <f>VLOOKUP(C7261,Меню!A:E,5,0)</f>
        <v>250</v>
      </c>
    </row>
    <row r="7262" spans="1:6" ht="15.75" hidden="1" customHeight="1" x14ac:dyDescent="0.35">
      <c r="A7262" s="1">
        <v>7261</v>
      </c>
      <c r="B7262" s="1">
        <v>1447</v>
      </c>
      <c r="C7262" s="1">
        <v>5</v>
      </c>
      <c r="D7262" t="str">
        <f>VLOOKUP(B7262,Заказы!A:C,3,0)</f>
        <v>2024-02-20 22:03:00</v>
      </c>
      <c r="E7262" t="str">
        <f>VLOOKUP(C7262,Меню!A:E,4,0)</f>
        <v>Завтрак</v>
      </c>
      <c r="F7262">
        <f>VLOOKUP(C7262,Меню!A:E,5,0)</f>
        <v>220</v>
      </c>
    </row>
    <row r="7263" spans="1:6" ht="15.75" hidden="1" customHeight="1" x14ac:dyDescent="0.35">
      <c r="A7263" s="1">
        <v>7262</v>
      </c>
      <c r="B7263" s="1">
        <v>1447</v>
      </c>
      <c r="C7263" s="1">
        <v>49</v>
      </c>
      <c r="D7263" t="str">
        <f>VLOOKUP(B7263,Заказы!A:C,3,0)</f>
        <v>2024-02-20 22:03:00</v>
      </c>
      <c r="E7263" t="str">
        <f>VLOOKUP(C7263,Меню!A:E,4,0)</f>
        <v>Суши</v>
      </c>
      <c r="F7263">
        <f>VLOOKUP(C7263,Меню!A:E,5,0)</f>
        <v>200</v>
      </c>
    </row>
    <row r="7264" spans="1:6" ht="15.75" hidden="1" customHeight="1" x14ac:dyDescent="0.35">
      <c r="A7264" s="1">
        <v>7263</v>
      </c>
      <c r="B7264" s="1">
        <v>1447</v>
      </c>
      <c r="C7264" s="1">
        <v>59</v>
      </c>
      <c r="D7264" t="str">
        <f>VLOOKUP(B7264,Заказы!A:C,3,0)</f>
        <v>2024-02-20 22:03:00</v>
      </c>
      <c r="E7264" t="str">
        <f>VLOOKUP(C7264,Меню!A:E,4,0)</f>
        <v>Суши</v>
      </c>
      <c r="F7264">
        <f>VLOOKUP(C7264,Меню!A:E,5,0)</f>
        <v>300</v>
      </c>
    </row>
    <row r="7265" spans="1:6" ht="15.75" hidden="1" customHeight="1" x14ac:dyDescent="0.35">
      <c r="A7265" s="1">
        <v>7264</v>
      </c>
      <c r="B7265" s="1">
        <v>1447</v>
      </c>
      <c r="C7265" s="1">
        <v>31</v>
      </c>
      <c r="D7265" t="str">
        <f>VLOOKUP(B7265,Заказы!A:C,3,0)</f>
        <v>2024-02-20 22:03:00</v>
      </c>
      <c r="E7265" t="str">
        <f>VLOOKUP(C7265,Меню!A:E,4,0)</f>
        <v>Десерт</v>
      </c>
      <c r="F7265">
        <f>VLOOKUP(C7265,Меню!A:E,5,0)</f>
        <v>150</v>
      </c>
    </row>
    <row r="7266" spans="1:6" ht="15.75" hidden="1" customHeight="1" x14ac:dyDescent="0.35">
      <c r="A7266" s="1">
        <v>7265</v>
      </c>
      <c r="B7266" s="1">
        <v>1448</v>
      </c>
      <c r="C7266" s="1">
        <v>46</v>
      </c>
      <c r="D7266" t="str">
        <f>VLOOKUP(B7266,Заказы!A:C,3,0)</f>
        <v>2024-02-20 22:44:00</v>
      </c>
      <c r="E7266" t="str">
        <f>VLOOKUP(C7266,Меню!A:E,4,0)</f>
        <v>Суши</v>
      </c>
      <c r="F7266">
        <f>VLOOKUP(C7266,Меню!A:E,5,0)</f>
        <v>200</v>
      </c>
    </row>
    <row r="7267" spans="1:6" ht="15.75" hidden="1" customHeight="1" x14ac:dyDescent="0.35">
      <c r="A7267" s="1">
        <v>7266</v>
      </c>
      <c r="B7267" s="1">
        <v>1448</v>
      </c>
      <c r="C7267" s="1">
        <v>14</v>
      </c>
      <c r="D7267" t="str">
        <f>VLOOKUP(B7267,Заказы!A:C,3,0)</f>
        <v>2024-02-20 22:44:00</v>
      </c>
      <c r="E7267" t="str">
        <f>VLOOKUP(C7267,Меню!A:E,4,0)</f>
        <v>Первое</v>
      </c>
      <c r="F7267">
        <f>VLOOKUP(C7267,Меню!A:E,5,0)</f>
        <v>350</v>
      </c>
    </row>
    <row r="7268" spans="1:6" ht="15.75" hidden="1" customHeight="1" x14ac:dyDescent="0.35">
      <c r="A7268" s="1">
        <v>7267</v>
      </c>
      <c r="B7268" s="1">
        <v>1448</v>
      </c>
      <c r="C7268" s="1">
        <v>1</v>
      </c>
      <c r="D7268" t="str">
        <f>VLOOKUP(B7268,Заказы!A:C,3,0)</f>
        <v>2024-02-20 22:44:00</v>
      </c>
      <c r="E7268" t="str">
        <f>VLOOKUP(C7268,Меню!A:E,4,0)</f>
        <v>Завтрак</v>
      </c>
      <c r="F7268">
        <f>VLOOKUP(C7268,Меню!A:E,5,0)</f>
        <v>200</v>
      </c>
    </row>
    <row r="7269" spans="1:6" ht="15.75" hidden="1" customHeight="1" x14ac:dyDescent="0.35">
      <c r="A7269" s="1">
        <v>7268</v>
      </c>
      <c r="B7269" s="1">
        <v>1448</v>
      </c>
      <c r="C7269" s="1">
        <v>56</v>
      </c>
      <c r="D7269" t="str">
        <f>VLOOKUP(B7269,Заказы!A:C,3,0)</f>
        <v>2024-02-20 22:44:00</v>
      </c>
      <c r="E7269" t="str">
        <f>VLOOKUP(C7269,Меню!A:E,4,0)</f>
        <v>Суши</v>
      </c>
      <c r="F7269">
        <f>VLOOKUP(C7269,Меню!A:E,5,0)</f>
        <v>200</v>
      </c>
    </row>
    <row r="7270" spans="1:6" ht="15.75" hidden="1" customHeight="1" x14ac:dyDescent="0.35">
      <c r="A7270" s="1">
        <v>7269</v>
      </c>
      <c r="B7270" s="1">
        <v>1448</v>
      </c>
      <c r="C7270" s="1">
        <v>17</v>
      </c>
      <c r="D7270" t="str">
        <f>VLOOKUP(B7270,Заказы!A:C,3,0)</f>
        <v>2024-02-20 22:44:00</v>
      </c>
      <c r="E7270" t="str">
        <f>VLOOKUP(C7270,Меню!A:E,4,0)</f>
        <v>Первое</v>
      </c>
      <c r="F7270">
        <f>VLOOKUP(C7270,Меню!A:E,5,0)</f>
        <v>250</v>
      </c>
    </row>
    <row r="7271" spans="1:6" ht="15.75" hidden="1" customHeight="1" x14ac:dyDescent="0.35">
      <c r="A7271" s="1">
        <v>7270</v>
      </c>
      <c r="B7271" s="1">
        <v>1448</v>
      </c>
      <c r="C7271" s="1">
        <v>18</v>
      </c>
      <c r="D7271" t="str">
        <f>VLOOKUP(B7271,Заказы!A:C,3,0)</f>
        <v>2024-02-20 22:44:00</v>
      </c>
      <c r="E7271" t="str">
        <f>VLOOKUP(C7271,Меню!A:E,4,0)</f>
        <v>Первое</v>
      </c>
      <c r="F7271">
        <f>VLOOKUP(C7271,Меню!A:E,5,0)</f>
        <v>300</v>
      </c>
    </row>
    <row r="7272" spans="1:6" ht="15.75" hidden="1" customHeight="1" x14ac:dyDescent="0.35">
      <c r="A7272" s="1">
        <v>7271</v>
      </c>
      <c r="B7272" s="1">
        <v>1448</v>
      </c>
      <c r="C7272" s="1">
        <v>7</v>
      </c>
      <c r="D7272" t="str">
        <f>VLOOKUP(B7272,Заказы!A:C,3,0)</f>
        <v>2024-02-20 22:44:00</v>
      </c>
      <c r="E7272" t="str">
        <f>VLOOKUP(C7272,Меню!A:E,4,0)</f>
        <v>Завтрак</v>
      </c>
      <c r="F7272">
        <f>VLOOKUP(C7272,Меню!A:E,5,0)</f>
        <v>200</v>
      </c>
    </row>
    <row r="7273" spans="1:6" ht="15.75" hidden="1" customHeight="1" x14ac:dyDescent="0.35">
      <c r="A7273" s="1">
        <v>7272</v>
      </c>
      <c r="B7273" s="1">
        <v>1448</v>
      </c>
      <c r="C7273" s="1">
        <v>32</v>
      </c>
      <c r="D7273" t="str">
        <f>VLOOKUP(B7273,Заказы!A:C,3,0)</f>
        <v>2024-02-20 22:44:00</v>
      </c>
      <c r="E7273" t="str">
        <f>VLOOKUP(C7273,Меню!A:E,4,0)</f>
        <v>Десерт</v>
      </c>
      <c r="F7273">
        <f>VLOOKUP(C7273,Меню!A:E,5,0)</f>
        <v>150</v>
      </c>
    </row>
    <row r="7274" spans="1:6" ht="15.75" hidden="1" customHeight="1" x14ac:dyDescent="0.35">
      <c r="A7274" s="1">
        <v>7273</v>
      </c>
      <c r="B7274" s="1">
        <v>1449</v>
      </c>
      <c r="C7274" s="1">
        <v>4</v>
      </c>
      <c r="D7274" t="str">
        <f>VLOOKUP(B7274,Заказы!A:C,3,0)</f>
        <v>2024-02-21 17:57:00</v>
      </c>
      <c r="E7274" t="str">
        <f>VLOOKUP(C7274,Меню!A:E,4,0)</f>
        <v>Завтрак</v>
      </c>
      <c r="F7274">
        <f>VLOOKUP(C7274,Меню!A:E,5,0)</f>
        <v>180</v>
      </c>
    </row>
    <row r="7275" spans="1:6" ht="15.75" hidden="1" customHeight="1" x14ac:dyDescent="0.35">
      <c r="A7275" s="1">
        <v>7274</v>
      </c>
      <c r="B7275" s="1">
        <v>1449</v>
      </c>
      <c r="C7275" s="1">
        <v>31</v>
      </c>
      <c r="D7275" t="str">
        <f>VLOOKUP(B7275,Заказы!A:C,3,0)</f>
        <v>2024-02-21 17:57:00</v>
      </c>
      <c r="E7275" t="str">
        <f>VLOOKUP(C7275,Меню!A:E,4,0)</f>
        <v>Десерт</v>
      </c>
      <c r="F7275">
        <f>VLOOKUP(C7275,Меню!A:E,5,0)</f>
        <v>150</v>
      </c>
    </row>
    <row r="7276" spans="1:6" ht="15.75" hidden="1" customHeight="1" x14ac:dyDescent="0.35">
      <c r="A7276" s="1">
        <v>7275</v>
      </c>
      <c r="B7276" s="1">
        <v>1449</v>
      </c>
      <c r="C7276" s="1">
        <v>22</v>
      </c>
      <c r="D7276" t="str">
        <f>VLOOKUP(B7276,Заказы!A:C,3,0)</f>
        <v>2024-02-21 17:57:00</v>
      </c>
      <c r="E7276" t="str">
        <f>VLOOKUP(C7276,Меню!A:E,4,0)</f>
        <v>Салат</v>
      </c>
      <c r="F7276">
        <f>VLOOKUP(C7276,Меню!A:E,5,0)</f>
        <v>250</v>
      </c>
    </row>
    <row r="7277" spans="1:6" ht="15.75" hidden="1" customHeight="1" x14ac:dyDescent="0.35">
      <c r="A7277" s="1">
        <v>7276</v>
      </c>
      <c r="B7277" s="1">
        <v>1449</v>
      </c>
      <c r="C7277" s="1">
        <v>13</v>
      </c>
      <c r="D7277" t="str">
        <f>VLOOKUP(B7277,Заказы!A:C,3,0)</f>
        <v>2024-02-21 17:57:00</v>
      </c>
      <c r="E7277" t="str">
        <f>VLOOKUP(C7277,Меню!A:E,4,0)</f>
        <v>Первое</v>
      </c>
      <c r="F7277">
        <f>VLOOKUP(C7277,Меню!A:E,5,0)</f>
        <v>280</v>
      </c>
    </row>
    <row r="7278" spans="1:6" ht="15.75" hidden="1" customHeight="1" x14ac:dyDescent="0.35">
      <c r="A7278" s="1">
        <v>7277</v>
      </c>
      <c r="B7278" s="1">
        <v>1450</v>
      </c>
      <c r="C7278" s="1">
        <v>5</v>
      </c>
      <c r="D7278" t="str">
        <f>VLOOKUP(B7278,Заказы!A:C,3,0)</f>
        <v>2024-02-21 18:09:00</v>
      </c>
      <c r="E7278" t="str">
        <f>VLOOKUP(C7278,Меню!A:E,4,0)</f>
        <v>Завтрак</v>
      </c>
      <c r="F7278">
        <f>VLOOKUP(C7278,Меню!A:E,5,0)</f>
        <v>220</v>
      </c>
    </row>
    <row r="7279" spans="1:6" ht="15.75" hidden="1" customHeight="1" x14ac:dyDescent="0.35">
      <c r="A7279" s="1">
        <v>7278</v>
      </c>
      <c r="B7279" s="1">
        <v>1451</v>
      </c>
      <c r="C7279" s="1">
        <v>21</v>
      </c>
      <c r="D7279" t="str">
        <f>VLOOKUP(B7279,Заказы!A:C,3,0)</f>
        <v>2024-02-22 16:26:00</v>
      </c>
      <c r="E7279" t="str">
        <f>VLOOKUP(C7279,Меню!A:E,4,0)</f>
        <v>Салат</v>
      </c>
      <c r="F7279">
        <f>VLOOKUP(C7279,Меню!A:E,5,0)</f>
        <v>250</v>
      </c>
    </row>
    <row r="7280" spans="1:6" ht="15.75" hidden="1" customHeight="1" x14ac:dyDescent="0.35">
      <c r="A7280" s="1">
        <v>7279</v>
      </c>
      <c r="B7280" s="1">
        <v>1451</v>
      </c>
      <c r="C7280" s="1">
        <v>23</v>
      </c>
      <c r="D7280" t="str">
        <f>VLOOKUP(B7280,Заказы!A:C,3,0)</f>
        <v>2024-02-22 16:26:00</v>
      </c>
      <c r="E7280" t="str">
        <f>VLOOKUP(C7280,Меню!A:E,4,0)</f>
        <v>Салат</v>
      </c>
      <c r="F7280">
        <f>VLOOKUP(C7280,Меню!A:E,5,0)</f>
        <v>250</v>
      </c>
    </row>
    <row r="7281" spans="1:6" ht="15.75" hidden="1" customHeight="1" x14ac:dyDescent="0.35">
      <c r="A7281" s="1">
        <v>7280</v>
      </c>
      <c r="B7281" s="1">
        <v>1451</v>
      </c>
      <c r="C7281" s="1">
        <v>21</v>
      </c>
      <c r="D7281" t="str">
        <f>VLOOKUP(B7281,Заказы!A:C,3,0)</f>
        <v>2024-02-22 16:26:00</v>
      </c>
      <c r="E7281" t="str">
        <f>VLOOKUP(C7281,Меню!A:E,4,0)</f>
        <v>Салат</v>
      </c>
      <c r="F7281">
        <f>VLOOKUP(C7281,Меню!A:E,5,0)</f>
        <v>250</v>
      </c>
    </row>
    <row r="7282" spans="1:6" ht="15.75" hidden="1" customHeight="1" x14ac:dyDescent="0.35">
      <c r="A7282" s="1">
        <v>7281</v>
      </c>
      <c r="B7282" s="1">
        <v>1451</v>
      </c>
      <c r="C7282" s="1">
        <v>5</v>
      </c>
      <c r="D7282" t="str">
        <f>VLOOKUP(B7282,Заказы!A:C,3,0)</f>
        <v>2024-02-22 16:26:00</v>
      </c>
      <c r="E7282" t="str">
        <f>VLOOKUP(C7282,Меню!A:E,4,0)</f>
        <v>Завтрак</v>
      </c>
      <c r="F7282">
        <f>VLOOKUP(C7282,Меню!A:E,5,0)</f>
        <v>220</v>
      </c>
    </row>
    <row r="7283" spans="1:6" ht="15.75" hidden="1" customHeight="1" x14ac:dyDescent="0.35">
      <c r="A7283" s="1">
        <v>7282</v>
      </c>
      <c r="B7283" s="1">
        <v>1451</v>
      </c>
      <c r="C7283" s="1">
        <v>33</v>
      </c>
      <c r="D7283" t="str">
        <f>VLOOKUP(B7283,Заказы!A:C,3,0)</f>
        <v>2024-02-22 16:26:00</v>
      </c>
      <c r="E7283" t="str">
        <f>VLOOKUP(C7283,Меню!A:E,4,0)</f>
        <v>Десерт</v>
      </c>
      <c r="F7283">
        <f>VLOOKUP(C7283,Меню!A:E,5,0)</f>
        <v>150</v>
      </c>
    </row>
    <row r="7284" spans="1:6" ht="15.75" hidden="1" customHeight="1" x14ac:dyDescent="0.35">
      <c r="A7284" s="1">
        <v>7283</v>
      </c>
      <c r="B7284" s="1">
        <v>1451</v>
      </c>
      <c r="C7284" s="1">
        <v>39</v>
      </c>
      <c r="D7284" t="str">
        <f>VLOOKUP(B7284,Заказы!A:C,3,0)</f>
        <v>2024-02-22 16:26:00</v>
      </c>
      <c r="E7284" t="str">
        <f>VLOOKUP(C7284,Меню!A:E,4,0)</f>
        <v>Десерт</v>
      </c>
      <c r="F7284">
        <f>VLOOKUP(C7284,Меню!A:E,5,0)</f>
        <v>150</v>
      </c>
    </row>
    <row r="7285" spans="1:6" ht="15.75" hidden="1" customHeight="1" x14ac:dyDescent="0.35">
      <c r="A7285" s="1">
        <v>7284</v>
      </c>
      <c r="B7285" s="1">
        <v>1451</v>
      </c>
      <c r="C7285" s="1">
        <v>29</v>
      </c>
      <c r="D7285" t="str">
        <f>VLOOKUP(B7285,Заказы!A:C,3,0)</f>
        <v>2024-02-22 16:26:00</v>
      </c>
      <c r="E7285" t="str">
        <f>VLOOKUP(C7285,Меню!A:E,4,0)</f>
        <v>Салат</v>
      </c>
      <c r="F7285">
        <f>VLOOKUP(C7285,Меню!A:E,5,0)</f>
        <v>250</v>
      </c>
    </row>
    <row r="7286" spans="1:6" ht="15.75" hidden="1" customHeight="1" x14ac:dyDescent="0.35">
      <c r="A7286" s="1">
        <v>7285</v>
      </c>
      <c r="B7286" s="1">
        <v>1452</v>
      </c>
      <c r="C7286" s="1">
        <v>12</v>
      </c>
      <c r="D7286" t="str">
        <f>VLOOKUP(B7286,Заказы!A:C,3,0)</f>
        <v>2024-02-22 17:40:00</v>
      </c>
      <c r="E7286" t="str">
        <f>VLOOKUP(C7286,Меню!A:E,4,0)</f>
        <v>Первое</v>
      </c>
      <c r="F7286">
        <f>VLOOKUP(C7286,Меню!A:E,5,0)</f>
        <v>300</v>
      </c>
    </row>
    <row r="7287" spans="1:6" ht="15.75" hidden="1" customHeight="1" x14ac:dyDescent="0.35">
      <c r="A7287" s="1">
        <v>7286</v>
      </c>
      <c r="B7287" s="1">
        <v>1452</v>
      </c>
      <c r="C7287" s="1">
        <v>14</v>
      </c>
      <c r="D7287" t="str">
        <f>VLOOKUP(B7287,Заказы!A:C,3,0)</f>
        <v>2024-02-22 17:40:00</v>
      </c>
      <c r="E7287" t="str">
        <f>VLOOKUP(C7287,Меню!A:E,4,0)</f>
        <v>Первое</v>
      </c>
      <c r="F7287">
        <f>VLOOKUP(C7287,Меню!A:E,5,0)</f>
        <v>350</v>
      </c>
    </row>
    <row r="7288" spans="1:6" ht="15.75" hidden="1" customHeight="1" x14ac:dyDescent="0.35">
      <c r="A7288" s="1">
        <v>7287</v>
      </c>
      <c r="B7288" s="1">
        <v>1452</v>
      </c>
      <c r="C7288" s="1">
        <v>47</v>
      </c>
      <c r="D7288" t="str">
        <f>VLOOKUP(B7288,Заказы!A:C,3,0)</f>
        <v>2024-02-22 17:40:00</v>
      </c>
      <c r="E7288" t="str">
        <f>VLOOKUP(C7288,Меню!A:E,4,0)</f>
        <v>Суши</v>
      </c>
      <c r="F7288">
        <f>VLOOKUP(C7288,Меню!A:E,5,0)</f>
        <v>200</v>
      </c>
    </row>
    <row r="7289" spans="1:6" ht="15.75" hidden="1" customHeight="1" x14ac:dyDescent="0.35">
      <c r="A7289" s="1">
        <v>7288</v>
      </c>
      <c r="B7289" s="1">
        <v>1452</v>
      </c>
      <c r="C7289" s="1">
        <v>47</v>
      </c>
      <c r="D7289" t="str">
        <f>VLOOKUP(B7289,Заказы!A:C,3,0)</f>
        <v>2024-02-22 17:40:00</v>
      </c>
      <c r="E7289" t="str">
        <f>VLOOKUP(C7289,Меню!A:E,4,0)</f>
        <v>Суши</v>
      </c>
      <c r="F7289">
        <f>VLOOKUP(C7289,Меню!A:E,5,0)</f>
        <v>200</v>
      </c>
    </row>
    <row r="7290" spans="1:6" ht="15.75" hidden="1" customHeight="1" x14ac:dyDescent="0.35">
      <c r="A7290" s="1">
        <v>7289</v>
      </c>
      <c r="B7290" s="1">
        <v>1452</v>
      </c>
      <c r="C7290" s="1">
        <v>38</v>
      </c>
      <c r="D7290" t="str">
        <f>VLOOKUP(B7290,Заказы!A:C,3,0)</f>
        <v>2024-02-22 17:40:00</v>
      </c>
      <c r="E7290" t="str">
        <f>VLOOKUP(C7290,Меню!A:E,4,0)</f>
        <v>Десерт</v>
      </c>
      <c r="F7290">
        <f>VLOOKUP(C7290,Меню!A:E,5,0)</f>
        <v>150</v>
      </c>
    </row>
    <row r="7291" spans="1:6" ht="15.75" hidden="1" customHeight="1" x14ac:dyDescent="0.35">
      <c r="A7291" s="1">
        <v>7290</v>
      </c>
      <c r="B7291" s="1">
        <v>1453</v>
      </c>
      <c r="C7291" s="1">
        <v>60</v>
      </c>
      <c r="D7291" t="str">
        <f>VLOOKUP(B7291,Заказы!A:C,3,0)</f>
        <v>2024-02-22 17:53:00</v>
      </c>
      <c r="E7291" t="str">
        <f>VLOOKUP(C7291,Меню!A:E,4,0)</f>
        <v>Суши</v>
      </c>
      <c r="F7291">
        <f>VLOOKUP(C7291,Меню!A:E,5,0)</f>
        <v>250</v>
      </c>
    </row>
    <row r="7292" spans="1:6" ht="15.75" hidden="1" customHeight="1" x14ac:dyDescent="0.35">
      <c r="A7292" s="1">
        <v>7291</v>
      </c>
      <c r="B7292" s="1">
        <v>1453</v>
      </c>
      <c r="C7292" s="1">
        <v>19</v>
      </c>
      <c r="D7292" t="str">
        <f>VLOOKUP(B7292,Заказы!A:C,3,0)</f>
        <v>2024-02-22 17:53:00</v>
      </c>
      <c r="E7292" t="str">
        <f>VLOOKUP(C7292,Меню!A:E,4,0)</f>
        <v>Первое</v>
      </c>
      <c r="F7292">
        <f>VLOOKUP(C7292,Меню!A:E,5,0)</f>
        <v>300</v>
      </c>
    </row>
    <row r="7293" spans="1:6" ht="15.75" hidden="1" customHeight="1" x14ac:dyDescent="0.35">
      <c r="A7293" s="1">
        <v>7292</v>
      </c>
      <c r="B7293" s="1">
        <v>1453</v>
      </c>
      <c r="C7293" s="1">
        <v>48</v>
      </c>
      <c r="D7293" t="str">
        <f>VLOOKUP(B7293,Заказы!A:C,3,0)</f>
        <v>2024-02-22 17:53:00</v>
      </c>
      <c r="E7293" t="str">
        <f>VLOOKUP(C7293,Меню!A:E,4,0)</f>
        <v>Суши</v>
      </c>
      <c r="F7293">
        <f>VLOOKUP(C7293,Меню!A:E,5,0)</f>
        <v>200</v>
      </c>
    </row>
    <row r="7294" spans="1:6" ht="15.75" hidden="1" customHeight="1" x14ac:dyDescent="0.35">
      <c r="A7294" s="1">
        <v>7293</v>
      </c>
      <c r="B7294" s="1">
        <v>1453</v>
      </c>
      <c r="C7294" s="1">
        <v>9</v>
      </c>
      <c r="D7294" t="str">
        <f>VLOOKUP(B7294,Заказы!A:C,3,0)</f>
        <v>2024-02-22 17:53:00</v>
      </c>
      <c r="E7294" t="str">
        <f>VLOOKUP(C7294,Меню!A:E,4,0)</f>
        <v>Завтрак</v>
      </c>
      <c r="F7294">
        <f>VLOOKUP(C7294,Меню!A:E,5,0)</f>
        <v>220</v>
      </c>
    </row>
    <row r="7295" spans="1:6" ht="15.75" hidden="1" customHeight="1" x14ac:dyDescent="0.35">
      <c r="A7295" s="1">
        <v>7294</v>
      </c>
      <c r="B7295" s="1">
        <v>1453</v>
      </c>
      <c r="C7295" s="1">
        <v>60</v>
      </c>
      <c r="D7295" t="str">
        <f>VLOOKUP(B7295,Заказы!A:C,3,0)</f>
        <v>2024-02-22 17:53:00</v>
      </c>
      <c r="E7295" t="str">
        <f>VLOOKUP(C7295,Меню!A:E,4,0)</f>
        <v>Суши</v>
      </c>
      <c r="F7295">
        <f>VLOOKUP(C7295,Меню!A:E,5,0)</f>
        <v>250</v>
      </c>
    </row>
    <row r="7296" spans="1:6" ht="15.75" hidden="1" customHeight="1" x14ac:dyDescent="0.35">
      <c r="A7296" s="1">
        <v>7295</v>
      </c>
      <c r="B7296" s="1">
        <v>1453</v>
      </c>
      <c r="C7296" s="1">
        <v>50</v>
      </c>
      <c r="D7296" t="str">
        <f>VLOOKUP(B7296,Заказы!A:C,3,0)</f>
        <v>2024-02-22 17:53:00</v>
      </c>
      <c r="E7296" t="str">
        <f>VLOOKUP(C7296,Меню!A:E,4,0)</f>
        <v>Суши</v>
      </c>
      <c r="F7296">
        <f>VLOOKUP(C7296,Меню!A:E,5,0)</f>
        <v>200</v>
      </c>
    </row>
    <row r="7297" spans="1:6" ht="15.75" hidden="1" customHeight="1" x14ac:dyDescent="0.35">
      <c r="A7297" s="1">
        <v>7296</v>
      </c>
      <c r="B7297" s="1">
        <v>1453</v>
      </c>
      <c r="C7297" s="1">
        <v>31</v>
      </c>
      <c r="D7297" t="str">
        <f>VLOOKUP(B7297,Заказы!A:C,3,0)</f>
        <v>2024-02-22 17:53:00</v>
      </c>
      <c r="E7297" t="str">
        <f>VLOOKUP(C7297,Меню!A:E,4,0)</f>
        <v>Десерт</v>
      </c>
      <c r="F7297">
        <f>VLOOKUP(C7297,Меню!A:E,5,0)</f>
        <v>150</v>
      </c>
    </row>
    <row r="7298" spans="1:6" ht="15.75" hidden="1" customHeight="1" x14ac:dyDescent="0.35">
      <c r="A7298" s="1">
        <v>7297</v>
      </c>
      <c r="B7298" s="1">
        <v>1454</v>
      </c>
      <c r="C7298" s="1">
        <v>32</v>
      </c>
      <c r="D7298" t="str">
        <f>VLOOKUP(B7298,Заказы!A:C,3,0)</f>
        <v>2024-02-22 18:07:00</v>
      </c>
      <c r="E7298" t="str">
        <f>VLOOKUP(C7298,Меню!A:E,4,0)</f>
        <v>Десерт</v>
      </c>
      <c r="F7298">
        <f>VLOOKUP(C7298,Меню!A:E,5,0)</f>
        <v>150</v>
      </c>
    </row>
    <row r="7299" spans="1:6" ht="15.75" hidden="1" customHeight="1" x14ac:dyDescent="0.35">
      <c r="A7299" s="1">
        <v>7298</v>
      </c>
      <c r="B7299" s="1">
        <v>1454</v>
      </c>
      <c r="C7299" s="1">
        <v>14</v>
      </c>
      <c r="D7299" t="str">
        <f>VLOOKUP(B7299,Заказы!A:C,3,0)</f>
        <v>2024-02-22 18:07:00</v>
      </c>
      <c r="E7299" t="str">
        <f>VLOOKUP(C7299,Меню!A:E,4,0)</f>
        <v>Первое</v>
      </c>
      <c r="F7299">
        <f>VLOOKUP(C7299,Меню!A:E,5,0)</f>
        <v>350</v>
      </c>
    </row>
    <row r="7300" spans="1:6" ht="15.75" hidden="1" customHeight="1" x14ac:dyDescent="0.35">
      <c r="A7300" s="1">
        <v>7299</v>
      </c>
      <c r="B7300" s="1">
        <v>1454</v>
      </c>
      <c r="C7300" s="1">
        <v>34</v>
      </c>
      <c r="D7300" t="str">
        <f>VLOOKUP(B7300,Заказы!A:C,3,0)</f>
        <v>2024-02-22 18:07:00</v>
      </c>
      <c r="E7300" t="str">
        <f>VLOOKUP(C7300,Меню!A:E,4,0)</f>
        <v>Десерт</v>
      </c>
      <c r="F7300">
        <f>VLOOKUP(C7300,Меню!A:E,5,0)</f>
        <v>150</v>
      </c>
    </row>
    <row r="7301" spans="1:6" ht="15.75" hidden="1" customHeight="1" x14ac:dyDescent="0.35">
      <c r="A7301" s="1">
        <v>7300</v>
      </c>
      <c r="B7301" s="1">
        <v>1455</v>
      </c>
      <c r="C7301" s="1">
        <v>12</v>
      </c>
      <c r="D7301" t="str">
        <f>VLOOKUP(B7301,Заказы!A:C,3,0)</f>
        <v>2024-02-22 18:52:00</v>
      </c>
      <c r="E7301" t="str">
        <f>VLOOKUP(C7301,Меню!A:E,4,0)</f>
        <v>Первое</v>
      </c>
      <c r="F7301">
        <f>VLOOKUP(C7301,Меню!A:E,5,0)</f>
        <v>300</v>
      </c>
    </row>
    <row r="7302" spans="1:6" ht="15.75" hidden="1" customHeight="1" x14ac:dyDescent="0.35">
      <c r="A7302" s="1">
        <v>7301</v>
      </c>
      <c r="B7302" s="1">
        <v>1456</v>
      </c>
      <c r="C7302" s="1">
        <v>51</v>
      </c>
      <c r="D7302" t="str">
        <f>VLOOKUP(B7302,Заказы!A:C,3,0)</f>
        <v>2024-02-22 21:54:00</v>
      </c>
      <c r="E7302" t="str">
        <f>VLOOKUP(C7302,Меню!A:E,4,0)</f>
        <v>Суши</v>
      </c>
      <c r="F7302">
        <f>VLOOKUP(C7302,Меню!A:E,5,0)</f>
        <v>100</v>
      </c>
    </row>
    <row r="7303" spans="1:6" ht="15.75" hidden="1" customHeight="1" x14ac:dyDescent="0.35">
      <c r="A7303" s="1">
        <v>7302</v>
      </c>
      <c r="B7303" s="1">
        <v>1456</v>
      </c>
      <c r="C7303" s="1">
        <v>9</v>
      </c>
      <c r="D7303" t="str">
        <f>VLOOKUP(B7303,Заказы!A:C,3,0)</f>
        <v>2024-02-22 21:54:00</v>
      </c>
      <c r="E7303" t="str">
        <f>VLOOKUP(C7303,Меню!A:E,4,0)</f>
        <v>Завтрак</v>
      </c>
      <c r="F7303">
        <f>VLOOKUP(C7303,Меню!A:E,5,0)</f>
        <v>220</v>
      </c>
    </row>
    <row r="7304" spans="1:6" ht="15.75" hidden="1" customHeight="1" x14ac:dyDescent="0.35">
      <c r="A7304" s="1">
        <v>7303</v>
      </c>
      <c r="B7304" s="1">
        <v>1456</v>
      </c>
      <c r="C7304" s="1">
        <v>21</v>
      </c>
      <c r="D7304" t="str">
        <f>VLOOKUP(B7304,Заказы!A:C,3,0)</f>
        <v>2024-02-22 21:54:00</v>
      </c>
      <c r="E7304" t="str">
        <f>VLOOKUP(C7304,Меню!A:E,4,0)</f>
        <v>Салат</v>
      </c>
      <c r="F7304">
        <f>VLOOKUP(C7304,Меню!A:E,5,0)</f>
        <v>250</v>
      </c>
    </row>
    <row r="7305" spans="1:6" ht="15.75" hidden="1" customHeight="1" x14ac:dyDescent="0.35">
      <c r="A7305" s="1">
        <v>7304</v>
      </c>
      <c r="B7305" s="1">
        <v>1456</v>
      </c>
      <c r="C7305" s="1">
        <v>19</v>
      </c>
      <c r="D7305" t="str">
        <f>VLOOKUP(B7305,Заказы!A:C,3,0)</f>
        <v>2024-02-22 21:54:00</v>
      </c>
      <c r="E7305" t="str">
        <f>VLOOKUP(C7305,Меню!A:E,4,0)</f>
        <v>Первое</v>
      </c>
      <c r="F7305">
        <f>VLOOKUP(C7305,Меню!A:E,5,0)</f>
        <v>300</v>
      </c>
    </row>
    <row r="7306" spans="1:6" ht="15.75" hidden="1" customHeight="1" x14ac:dyDescent="0.35">
      <c r="A7306" s="1">
        <v>7305</v>
      </c>
      <c r="B7306" s="1">
        <v>1456</v>
      </c>
      <c r="C7306" s="1">
        <v>14</v>
      </c>
      <c r="D7306" t="str">
        <f>VLOOKUP(B7306,Заказы!A:C,3,0)</f>
        <v>2024-02-22 21:54:00</v>
      </c>
      <c r="E7306" t="str">
        <f>VLOOKUP(C7306,Меню!A:E,4,0)</f>
        <v>Первое</v>
      </c>
      <c r="F7306">
        <f>VLOOKUP(C7306,Меню!A:E,5,0)</f>
        <v>350</v>
      </c>
    </row>
    <row r="7307" spans="1:6" ht="15.75" hidden="1" customHeight="1" x14ac:dyDescent="0.35">
      <c r="A7307" s="1">
        <v>7306</v>
      </c>
      <c r="B7307" s="1">
        <v>1456</v>
      </c>
      <c r="C7307" s="1">
        <v>17</v>
      </c>
      <c r="D7307" t="str">
        <f>VLOOKUP(B7307,Заказы!A:C,3,0)</f>
        <v>2024-02-22 21:54:00</v>
      </c>
      <c r="E7307" t="str">
        <f>VLOOKUP(C7307,Меню!A:E,4,0)</f>
        <v>Первое</v>
      </c>
      <c r="F7307">
        <f>VLOOKUP(C7307,Меню!A:E,5,0)</f>
        <v>250</v>
      </c>
    </row>
    <row r="7308" spans="1:6" ht="15.75" hidden="1" customHeight="1" x14ac:dyDescent="0.35">
      <c r="A7308" s="1">
        <v>7307</v>
      </c>
      <c r="B7308" s="1">
        <v>1456</v>
      </c>
      <c r="C7308" s="1">
        <v>7</v>
      </c>
      <c r="D7308" t="str">
        <f>VLOOKUP(B7308,Заказы!A:C,3,0)</f>
        <v>2024-02-22 21:54:00</v>
      </c>
      <c r="E7308" t="str">
        <f>VLOOKUP(C7308,Меню!A:E,4,0)</f>
        <v>Завтрак</v>
      </c>
      <c r="F7308">
        <f>VLOOKUP(C7308,Меню!A:E,5,0)</f>
        <v>200</v>
      </c>
    </row>
    <row r="7309" spans="1:6" ht="15.75" hidden="1" customHeight="1" x14ac:dyDescent="0.35">
      <c r="A7309" s="1">
        <v>7308</v>
      </c>
      <c r="B7309" s="1">
        <v>1456</v>
      </c>
      <c r="C7309" s="1">
        <v>18</v>
      </c>
      <c r="D7309" t="str">
        <f>VLOOKUP(B7309,Заказы!A:C,3,0)</f>
        <v>2024-02-22 21:54:00</v>
      </c>
      <c r="E7309" t="str">
        <f>VLOOKUP(C7309,Меню!A:E,4,0)</f>
        <v>Первое</v>
      </c>
      <c r="F7309">
        <f>VLOOKUP(C7309,Меню!A:E,5,0)</f>
        <v>300</v>
      </c>
    </row>
    <row r="7310" spans="1:6" ht="15.75" hidden="1" customHeight="1" x14ac:dyDescent="0.35">
      <c r="A7310" s="1">
        <v>7309</v>
      </c>
      <c r="B7310" s="1">
        <v>1457</v>
      </c>
      <c r="C7310" s="1">
        <v>26</v>
      </c>
      <c r="D7310" t="str">
        <f>VLOOKUP(B7310,Заказы!A:C,3,0)</f>
        <v>2024-02-22 22:22:00</v>
      </c>
      <c r="E7310" t="str">
        <f>VLOOKUP(C7310,Меню!A:E,4,0)</f>
        <v>Салат</v>
      </c>
      <c r="F7310">
        <f>VLOOKUP(C7310,Меню!A:E,5,0)</f>
        <v>250</v>
      </c>
    </row>
    <row r="7311" spans="1:6" ht="15.75" hidden="1" customHeight="1" x14ac:dyDescent="0.35">
      <c r="A7311" s="1">
        <v>7310</v>
      </c>
      <c r="B7311" s="1">
        <v>1457</v>
      </c>
      <c r="C7311" s="1">
        <v>30</v>
      </c>
      <c r="D7311" t="str">
        <f>VLOOKUP(B7311,Заказы!A:C,3,0)</f>
        <v>2024-02-22 22:22:00</v>
      </c>
      <c r="E7311" t="str">
        <f>VLOOKUP(C7311,Меню!A:E,4,0)</f>
        <v>Салат</v>
      </c>
      <c r="F7311">
        <f>VLOOKUP(C7311,Меню!A:E,5,0)</f>
        <v>250</v>
      </c>
    </row>
    <row r="7312" spans="1:6" ht="15.75" hidden="1" customHeight="1" x14ac:dyDescent="0.35">
      <c r="A7312" s="1">
        <v>7311</v>
      </c>
      <c r="B7312" s="1">
        <v>1457</v>
      </c>
      <c r="C7312" s="1">
        <v>18</v>
      </c>
      <c r="D7312" t="str">
        <f>VLOOKUP(B7312,Заказы!A:C,3,0)</f>
        <v>2024-02-22 22:22:00</v>
      </c>
      <c r="E7312" t="str">
        <f>VLOOKUP(C7312,Меню!A:E,4,0)</f>
        <v>Первое</v>
      </c>
      <c r="F7312">
        <f>VLOOKUP(C7312,Меню!A:E,5,0)</f>
        <v>300</v>
      </c>
    </row>
    <row r="7313" spans="1:6" ht="15.75" hidden="1" customHeight="1" x14ac:dyDescent="0.35">
      <c r="A7313" s="1">
        <v>7312</v>
      </c>
      <c r="B7313" s="1">
        <v>1457</v>
      </c>
      <c r="C7313" s="1">
        <v>52</v>
      </c>
      <c r="D7313" t="str">
        <f>VLOOKUP(B7313,Заказы!A:C,3,0)</f>
        <v>2024-02-22 22:22:00</v>
      </c>
      <c r="E7313" t="str">
        <f>VLOOKUP(C7313,Меню!A:E,4,0)</f>
        <v>Суши</v>
      </c>
      <c r="F7313">
        <f>VLOOKUP(C7313,Меню!A:E,5,0)</f>
        <v>100</v>
      </c>
    </row>
    <row r="7314" spans="1:6" ht="15.75" hidden="1" customHeight="1" x14ac:dyDescent="0.35">
      <c r="A7314" s="1">
        <v>7313</v>
      </c>
      <c r="B7314" s="1">
        <v>1458</v>
      </c>
      <c r="C7314" s="1">
        <v>51</v>
      </c>
      <c r="D7314" t="str">
        <f>VLOOKUP(B7314,Заказы!A:C,3,0)</f>
        <v>2024-02-23 18:17:00</v>
      </c>
      <c r="E7314" t="str">
        <f>VLOOKUP(C7314,Меню!A:E,4,0)</f>
        <v>Суши</v>
      </c>
      <c r="F7314">
        <f>VLOOKUP(C7314,Меню!A:E,5,0)</f>
        <v>100</v>
      </c>
    </row>
    <row r="7315" spans="1:6" ht="15.75" hidden="1" customHeight="1" x14ac:dyDescent="0.35">
      <c r="A7315" s="1">
        <v>7314</v>
      </c>
      <c r="B7315" s="1">
        <v>1458</v>
      </c>
      <c r="C7315" s="1">
        <v>33</v>
      </c>
      <c r="D7315" t="str">
        <f>VLOOKUP(B7315,Заказы!A:C,3,0)</f>
        <v>2024-02-23 18:17:00</v>
      </c>
      <c r="E7315" t="str">
        <f>VLOOKUP(C7315,Меню!A:E,4,0)</f>
        <v>Десерт</v>
      </c>
      <c r="F7315">
        <f>VLOOKUP(C7315,Меню!A:E,5,0)</f>
        <v>150</v>
      </c>
    </row>
    <row r="7316" spans="1:6" ht="15.75" hidden="1" customHeight="1" x14ac:dyDescent="0.35">
      <c r="A7316" s="1">
        <v>7315</v>
      </c>
      <c r="B7316" s="1">
        <v>1458</v>
      </c>
      <c r="C7316" s="1">
        <v>51</v>
      </c>
      <c r="D7316" t="str">
        <f>VLOOKUP(B7316,Заказы!A:C,3,0)</f>
        <v>2024-02-23 18:17:00</v>
      </c>
      <c r="E7316" t="str">
        <f>VLOOKUP(C7316,Меню!A:E,4,0)</f>
        <v>Суши</v>
      </c>
      <c r="F7316">
        <f>VLOOKUP(C7316,Меню!A:E,5,0)</f>
        <v>100</v>
      </c>
    </row>
    <row r="7317" spans="1:6" ht="15.75" hidden="1" customHeight="1" x14ac:dyDescent="0.35">
      <c r="A7317" s="1">
        <v>7316</v>
      </c>
      <c r="B7317" s="1">
        <v>1458</v>
      </c>
      <c r="C7317" s="1">
        <v>54</v>
      </c>
      <c r="D7317" t="str">
        <f>VLOOKUP(B7317,Заказы!A:C,3,0)</f>
        <v>2024-02-23 18:17:00</v>
      </c>
      <c r="E7317" t="str">
        <f>VLOOKUP(C7317,Меню!A:E,4,0)</f>
        <v>Суши</v>
      </c>
      <c r="F7317">
        <f>VLOOKUP(C7317,Меню!A:E,5,0)</f>
        <v>100</v>
      </c>
    </row>
    <row r="7318" spans="1:6" ht="15.75" hidden="1" customHeight="1" x14ac:dyDescent="0.35">
      <c r="A7318" s="1">
        <v>7317</v>
      </c>
      <c r="B7318" s="1">
        <v>1459</v>
      </c>
      <c r="C7318" s="1">
        <v>3</v>
      </c>
      <c r="D7318" t="str">
        <f>VLOOKUP(B7318,Заказы!A:C,3,0)</f>
        <v>2024-02-23 20:12:00</v>
      </c>
      <c r="E7318" t="str">
        <f>VLOOKUP(C7318,Меню!A:E,4,0)</f>
        <v>Завтрак</v>
      </c>
      <c r="F7318">
        <f>VLOOKUP(C7318,Меню!A:E,5,0)</f>
        <v>150</v>
      </c>
    </row>
    <row r="7319" spans="1:6" ht="15.75" hidden="1" customHeight="1" x14ac:dyDescent="0.35">
      <c r="A7319" s="1">
        <v>7318</v>
      </c>
      <c r="B7319" s="1">
        <v>1459</v>
      </c>
      <c r="C7319" s="1">
        <v>18</v>
      </c>
      <c r="D7319" t="str">
        <f>VLOOKUP(B7319,Заказы!A:C,3,0)</f>
        <v>2024-02-23 20:12:00</v>
      </c>
      <c r="E7319" t="str">
        <f>VLOOKUP(C7319,Меню!A:E,4,0)</f>
        <v>Первое</v>
      </c>
      <c r="F7319">
        <f>VLOOKUP(C7319,Меню!A:E,5,0)</f>
        <v>300</v>
      </c>
    </row>
    <row r="7320" spans="1:6" ht="15.75" hidden="1" customHeight="1" x14ac:dyDescent="0.35">
      <c r="A7320" s="1">
        <v>7319</v>
      </c>
      <c r="B7320" s="1">
        <v>1459</v>
      </c>
      <c r="C7320" s="1">
        <v>44</v>
      </c>
      <c r="D7320" t="str">
        <f>VLOOKUP(B7320,Заказы!A:C,3,0)</f>
        <v>2024-02-23 20:12:00</v>
      </c>
      <c r="E7320" t="str">
        <f>VLOOKUP(C7320,Меню!A:E,4,0)</f>
        <v>Суши</v>
      </c>
      <c r="F7320">
        <f>VLOOKUP(C7320,Меню!A:E,5,0)</f>
        <v>250</v>
      </c>
    </row>
    <row r="7321" spans="1:6" ht="15.75" hidden="1" customHeight="1" x14ac:dyDescent="0.35">
      <c r="A7321" s="1">
        <v>7320</v>
      </c>
      <c r="B7321" s="1">
        <v>1459</v>
      </c>
      <c r="C7321" s="1">
        <v>18</v>
      </c>
      <c r="D7321" t="str">
        <f>VLOOKUP(B7321,Заказы!A:C,3,0)</f>
        <v>2024-02-23 20:12:00</v>
      </c>
      <c r="E7321" t="str">
        <f>VLOOKUP(C7321,Меню!A:E,4,0)</f>
        <v>Первое</v>
      </c>
      <c r="F7321">
        <f>VLOOKUP(C7321,Меню!A:E,5,0)</f>
        <v>300</v>
      </c>
    </row>
    <row r="7322" spans="1:6" ht="15.75" hidden="1" customHeight="1" x14ac:dyDescent="0.35">
      <c r="A7322" s="1">
        <v>7321</v>
      </c>
      <c r="B7322" s="1">
        <v>1460</v>
      </c>
      <c r="C7322" s="1">
        <v>15</v>
      </c>
      <c r="D7322" t="str">
        <f>VLOOKUP(B7322,Заказы!A:C,3,0)</f>
        <v>2024-02-23 21:44:00</v>
      </c>
      <c r="E7322" t="str">
        <f>VLOOKUP(C7322,Меню!A:E,4,0)</f>
        <v>Первое</v>
      </c>
      <c r="F7322">
        <f>VLOOKUP(C7322,Меню!A:E,5,0)</f>
        <v>250</v>
      </c>
    </row>
    <row r="7323" spans="1:6" ht="15.75" hidden="1" customHeight="1" x14ac:dyDescent="0.35">
      <c r="A7323" s="1">
        <v>7322</v>
      </c>
      <c r="B7323" s="1">
        <v>1460</v>
      </c>
      <c r="C7323" s="1">
        <v>2</v>
      </c>
      <c r="D7323" t="str">
        <f>VLOOKUP(B7323,Заказы!A:C,3,0)</f>
        <v>2024-02-23 21:44:00</v>
      </c>
      <c r="E7323" t="str">
        <f>VLOOKUP(C7323,Меню!A:E,4,0)</f>
        <v>Завтрак</v>
      </c>
      <c r="F7323">
        <f>VLOOKUP(C7323,Меню!A:E,5,0)</f>
        <v>250</v>
      </c>
    </row>
    <row r="7324" spans="1:6" ht="15.75" hidden="1" customHeight="1" x14ac:dyDescent="0.35">
      <c r="A7324" s="1">
        <v>7323</v>
      </c>
      <c r="B7324" s="1">
        <v>1460</v>
      </c>
      <c r="C7324" s="1">
        <v>10</v>
      </c>
      <c r="D7324" t="str">
        <f>VLOOKUP(B7324,Заказы!A:C,3,0)</f>
        <v>2024-02-23 21:44:00</v>
      </c>
      <c r="E7324" t="str">
        <f>VLOOKUP(C7324,Меню!A:E,4,0)</f>
        <v>Завтрак</v>
      </c>
      <c r="F7324">
        <f>VLOOKUP(C7324,Меню!A:E,5,0)</f>
        <v>200</v>
      </c>
    </row>
    <row r="7325" spans="1:6" ht="15.75" hidden="1" customHeight="1" x14ac:dyDescent="0.35">
      <c r="A7325" s="1">
        <v>7324</v>
      </c>
      <c r="B7325" s="1">
        <v>1460</v>
      </c>
      <c r="C7325" s="1">
        <v>58</v>
      </c>
      <c r="D7325" t="str">
        <f>VLOOKUP(B7325,Заказы!A:C,3,0)</f>
        <v>2024-02-23 21:44:00</v>
      </c>
      <c r="E7325" t="str">
        <f>VLOOKUP(C7325,Меню!A:E,4,0)</f>
        <v>Суши</v>
      </c>
      <c r="F7325">
        <f>VLOOKUP(C7325,Меню!A:E,5,0)</f>
        <v>200</v>
      </c>
    </row>
    <row r="7326" spans="1:6" ht="15.75" hidden="1" customHeight="1" x14ac:dyDescent="0.35">
      <c r="A7326" s="1">
        <v>7325</v>
      </c>
      <c r="B7326" s="1">
        <v>1460</v>
      </c>
      <c r="C7326" s="1">
        <v>18</v>
      </c>
      <c r="D7326" t="str">
        <f>VLOOKUP(B7326,Заказы!A:C,3,0)</f>
        <v>2024-02-23 21:44:00</v>
      </c>
      <c r="E7326" t="str">
        <f>VLOOKUP(C7326,Меню!A:E,4,0)</f>
        <v>Первое</v>
      </c>
      <c r="F7326">
        <f>VLOOKUP(C7326,Меню!A:E,5,0)</f>
        <v>300</v>
      </c>
    </row>
    <row r="7327" spans="1:6" ht="15.75" hidden="1" customHeight="1" x14ac:dyDescent="0.35">
      <c r="A7327" s="1">
        <v>7326</v>
      </c>
      <c r="B7327" s="1">
        <v>1461</v>
      </c>
      <c r="C7327" s="1">
        <v>29</v>
      </c>
      <c r="D7327" t="str">
        <f>VLOOKUP(B7327,Заказы!A:C,3,0)</f>
        <v>2024-02-24 15:57:00</v>
      </c>
      <c r="E7327" t="str">
        <f>VLOOKUP(C7327,Меню!A:E,4,0)</f>
        <v>Салат</v>
      </c>
      <c r="F7327">
        <f>VLOOKUP(C7327,Меню!A:E,5,0)</f>
        <v>250</v>
      </c>
    </row>
    <row r="7328" spans="1:6" ht="15.75" hidden="1" customHeight="1" x14ac:dyDescent="0.35">
      <c r="A7328" s="1">
        <v>7327</v>
      </c>
      <c r="B7328" s="1">
        <v>1461</v>
      </c>
      <c r="C7328" s="1">
        <v>60</v>
      </c>
      <c r="D7328" t="str">
        <f>VLOOKUP(B7328,Заказы!A:C,3,0)</f>
        <v>2024-02-24 15:57:00</v>
      </c>
      <c r="E7328" t="str">
        <f>VLOOKUP(C7328,Меню!A:E,4,0)</f>
        <v>Суши</v>
      </c>
      <c r="F7328">
        <f>VLOOKUP(C7328,Меню!A:E,5,0)</f>
        <v>250</v>
      </c>
    </row>
    <row r="7329" spans="1:6" ht="15.75" hidden="1" customHeight="1" x14ac:dyDescent="0.35">
      <c r="A7329" s="1">
        <v>7328</v>
      </c>
      <c r="B7329" s="1">
        <v>1461</v>
      </c>
      <c r="C7329" s="1">
        <v>5</v>
      </c>
      <c r="D7329" t="str">
        <f>VLOOKUP(B7329,Заказы!A:C,3,0)</f>
        <v>2024-02-24 15:57:00</v>
      </c>
      <c r="E7329" t="str">
        <f>VLOOKUP(C7329,Меню!A:E,4,0)</f>
        <v>Завтрак</v>
      </c>
      <c r="F7329">
        <f>VLOOKUP(C7329,Меню!A:E,5,0)</f>
        <v>220</v>
      </c>
    </row>
    <row r="7330" spans="1:6" ht="15.75" hidden="1" customHeight="1" x14ac:dyDescent="0.35">
      <c r="A7330" s="1">
        <v>7329</v>
      </c>
      <c r="B7330" s="1">
        <v>1461</v>
      </c>
      <c r="C7330" s="1">
        <v>5</v>
      </c>
      <c r="D7330" t="str">
        <f>VLOOKUP(B7330,Заказы!A:C,3,0)</f>
        <v>2024-02-24 15:57:00</v>
      </c>
      <c r="E7330" t="str">
        <f>VLOOKUP(C7330,Меню!A:E,4,0)</f>
        <v>Завтрак</v>
      </c>
      <c r="F7330">
        <f>VLOOKUP(C7330,Меню!A:E,5,0)</f>
        <v>220</v>
      </c>
    </row>
    <row r="7331" spans="1:6" ht="15.75" hidden="1" customHeight="1" x14ac:dyDescent="0.35">
      <c r="A7331" s="1">
        <v>7330</v>
      </c>
      <c r="B7331" s="1">
        <v>1461</v>
      </c>
      <c r="C7331" s="1">
        <v>57</v>
      </c>
      <c r="D7331" t="str">
        <f>VLOOKUP(B7331,Заказы!A:C,3,0)</f>
        <v>2024-02-24 15:57:00</v>
      </c>
      <c r="E7331" t="str">
        <f>VLOOKUP(C7331,Меню!A:E,4,0)</f>
        <v>Суши</v>
      </c>
      <c r="F7331">
        <f>VLOOKUP(C7331,Меню!A:E,5,0)</f>
        <v>200</v>
      </c>
    </row>
    <row r="7332" spans="1:6" ht="15.75" hidden="1" customHeight="1" x14ac:dyDescent="0.35">
      <c r="A7332" s="1">
        <v>7331</v>
      </c>
      <c r="B7332" s="1">
        <v>1461</v>
      </c>
      <c r="C7332" s="1">
        <v>58</v>
      </c>
      <c r="D7332" t="str">
        <f>VLOOKUP(B7332,Заказы!A:C,3,0)</f>
        <v>2024-02-24 15:57:00</v>
      </c>
      <c r="E7332" t="str">
        <f>VLOOKUP(C7332,Меню!A:E,4,0)</f>
        <v>Суши</v>
      </c>
      <c r="F7332">
        <f>VLOOKUP(C7332,Меню!A:E,5,0)</f>
        <v>200</v>
      </c>
    </row>
    <row r="7333" spans="1:6" ht="15.75" hidden="1" customHeight="1" x14ac:dyDescent="0.35">
      <c r="A7333" s="1">
        <v>7332</v>
      </c>
      <c r="B7333" s="1">
        <v>1462</v>
      </c>
      <c r="C7333" s="1">
        <v>30</v>
      </c>
      <c r="D7333" t="str">
        <f>VLOOKUP(B7333,Заказы!A:C,3,0)</f>
        <v>2024-02-24 16:56:00</v>
      </c>
      <c r="E7333" t="str">
        <f>VLOOKUP(C7333,Меню!A:E,4,0)</f>
        <v>Салат</v>
      </c>
      <c r="F7333">
        <f>VLOOKUP(C7333,Меню!A:E,5,0)</f>
        <v>250</v>
      </c>
    </row>
    <row r="7334" spans="1:6" ht="15.75" hidden="1" customHeight="1" x14ac:dyDescent="0.35">
      <c r="A7334" s="1">
        <v>7333</v>
      </c>
      <c r="B7334" s="1">
        <v>1462</v>
      </c>
      <c r="C7334" s="1">
        <v>24</v>
      </c>
      <c r="D7334" t="str">
        <f>VLOOKUP(B7334,Заказы!A:C,3,0)</f>
        <v>2024-02-24 16:56:00</v>
      </c>
      <c r="E7334" t="str">
        <f>VLOOKUP(C7334,Меню!A:E,4,0)</f>
        <v>Салат</v>
      </c>
      <c r="F7334">
        <f>VLOOKUP(C7334,Меню!A:E,5,0)</f>
        <v>250</v>
      </c>
    </row>
    <row r="7335" spans="1:6" ht="15.75" hidden="1" customHeight="1" x14ac:dyDescent="0.35">
      <c r="A7335" s="1">
        <v>7334</v>
      </c>
      <c r="B7335" s="1">
        <v>1462</v>
      </c>
      <c r="C7335" s="1">
        <v>43</v>
      </c>
      <c r="D7335" t="str">
        <f>VLOOKUP(B7335,Заказы!A:C,3,0)</f>
        <v>2024-02-24 16:56:00</v>
      </c>
      <c r="E7335" t="str">
        <f>VLOOKUP(C7335,Меню!A:E,4,0)</f>
        <v>Суши</v>
      </c>
      <c r="F7335">
        <f>VLOOKUP(C7335,Меню!A:E,5,0)</f>
        <v>250</v>
      </c>
    </row>
    <row r="7336" spans="1:6" ht="15.75" hidden="1" customHeight="1" x14ac:dyDescent="0.35">
      <c r="A7336" s="1">
        <v>7335</v>
      </c>
      <c r="B7336" s="1">
        <v>1462</v>
      </c>
      <c r="C7336" s="1">
        <v>18</v>
      </c>
      <c r="D7336" t="str">
        <f>VLOOKUP(B7336,Заказы!A:C,3,0)</f>
        <v>2024-02-24 16:56:00</v>
      </c>
      <c r="E7336" t="str">
        <f>VLOOKUP(C7336,Меню!A:E,4,0)</f>
        <v>Первое</v>
      </c>
      <c r="F7336">
        <f>VLOOKUP(C7336,Меню!A:E,5,0)</f>
        <v>300</v>
      </c>
    </row>
    <row r="7337" spans="1:6" ht="15.75" hidden="1" customHeight="1" x14ac:dyDescent="0.35">
      <c r="A7337" s="1">
        <v>7336</v>
      </c>
      <c r="B7337" s="1">
        <v>1463</v>
      </c>
      <c r="C7337" s="1">
        <v>46</v>
      </c>
      <c r="D7337" t="str">
        <f>VLOOKUP(B7337,Заказы!A:C,3,0)</f>
        <v>2024-02-24 19:56:00</v>
      </c>
      <c r="E7337" t="str">
        <f>VLOOKUP(C7337,Меню!A:E,4,0)</f>
        <v>Суши</v>
      </c>
      <c r="F7337">
        <f>VLOOKUP(C7337,Меню!A:E,5,0)</f>
        <v>200</v>
      </c>
    </row>
    <row r="7338" spans="1:6" ht="15.75" hidden="1" customHeight="1" x14ac:dyDescent="0.35">
      <c r="A7338" s="1">
        <v>7337</v>
      </c>
      <c r="B7338" s="1">
        <v>1463</v>
      </c>
      <c r="C7338" s="1">
        <v>13</v>
      </c>
      <c r="D7338" t="str">
        <f>VLOOKUP(B7338,Заказы!A:C,3,0)</f>
        <v>2024-02-24 19:56:00</v>
      </c>
      <c r="E7338" t="str">
        <f>VLOOKUP(C7338,Меню!A:E,4,0)</f>
        <v>Первое</v>
      </c>
      <c r="F7338">
        <f>VLOOKUP(C7338,Меню!A:E,5,0)</f>
        <v>280</v>
      </c>
    </row>
    <row r="7339" spans="1:6" ht="15.75" hidden="1" customHeight="1" x14ac:dyDescent="0.35">
      <c r="A7339" s="1">
        <v>7338</v>
      </c>
      <c r="B7339" s="1">
        <v>1463</v>
      </c>
      <c r="C7339" s="1">
        <v>35</v>
      </c>
      <c r="D7339" t="str">
        <f>VLOOKUP(B7339,Заказы!A:C,3,0)</f>
        <v>2024-02-24 19:56:00</v>
      </c>
      <c r="E7339" t="str">
        <f>VLOOKUP(C7339,Меню!A:E,4,0)</f>
        <v>Десерт</v>
      </c>
      <c r="F7339">
        <f>VLOOKUP(C7339,Меню!A:E,5,0)</f>
        <v>150</v>
      </c>
    </row>
    <row r="7340" spans="1:6" ht="15.75" hidden="1" customHeight="1" x14ac:dyDescent="0.35">
      <c r="A7340" s="1">
        <v>7339</v>
      </c>
      <c r="B7340" s="1">
        <v>1463</v>
      </c>
      <c r="C7340" s="1">
        <v>60</v>
      </c>
      <c r="D7340" t="str">
        <f>VLOOKUP(B7340,Заказы!A:C,3,0)</f>
        <v>2024-02-24 19:56:00</v>
      </c>
      <c r="E7340" t="str">
        <f>VLOOKUP(C7340,Меню!A:E,4,0)</f>
        <v>Суши</v>
      </c>
      <c r="F7340">
        <f>VLOOKUP(C7340,Меню!A:E,5,0)</f>
        <v>250</v>
      </c>
    </row>
    <row r="7341" spans="1:6" ht="15.75" hidden="1" customHeight="1" x14ac:dyDescent="0.35">
      <c r="A7341" s="1">
        <v>7340</v>
      </c>
      <c r="B7341" s="1">
        <v>1463</v>
      </c>
      <c r="C7341" s="1">
        <v>3</v>
      </c>
      <c r="D7341" t="str">
        <f>VLOOKUP(B7341,Заказы!A:C,3,0)</f>
        <v>2024-02-24 19:56:00</v>
      </c>
      <c r="E7341" t="str">
        <f>VLOOKUP(C7341,Меню!A:E,4,0)</f>
        <v>Завтрак</v>
      </c>
      <c r="F7341">
        <f>VLOOKUP(C7341,Меню!A:E,5,0)</f>
        <v>150</v>
      </c>
    </row>
    <row r="7342" spans="1:6" ht="15.75" hidden="1" customHeight="1" x14ac:dyDescent="0.35">
      <c r="A7342" s="1">
        <v>7341</v>
      </c>
      <c r="B7342" s="1">
        <v>1463</v>
      </c>
      <c r="C7342" s="1">
        <v>18</v>
      </c>
      <c r="D7342" t="str">
        <f>VLOOKUP(B7342,Заказы!A:C,3,0)</f>
        <v>2024-02-24 19:56:00</v>
      </c>
      <c r="E7342" t="str">
        <f>VLOOKUP(C7342,Меню!A:E,4,0)</f>
        <v>Первое</v>
      </c>
      <c r="F7342">
        <f>VLOOKUP(C7342,Меню!A:E,5,0)</f>
        <v>300</v>
      </c>
    </row>
    <row r="7343" spans="1:6" ht="15.75" hidden="1" customHeight="1" x14ac:dyDescent="0.35">
      <c r="A7343" s="1">
        <v>7342</v>
      </c>
      <c r="B7343" s="1">
        <v>1463</v>
      </c>
      <c r="C7343" s="1">
        <v>41</v>
      </c>
      <c r="D7343" t="str">
        <f>VLOOKUP(B7343,Заказы!A:C,3,0)</f>
        <v>2024-02-24 19:56:00</v>
      </c>
      <c r="E7343" t="str">
        <f>VLOOKUP(C7343,Меню!A:E,4,0)</f>
        <v>Суши</v>
      </c>
      <c r="F7343">
        <f>VLOOKUP(C7343,Меню!A:E,5,0)</f>
        <v>220</v>
      </c>
    </row>
    <row r="7344" spans="1:6" ht="15.75" hidden="1" customHeight="1" x14ac:dyDescent="0.35">
      <c r="A7344" s="1">
        <v>7343</v>
      </c>
      <c r="B7344" s="1">
        <v>1463</v>
      </c>
      <c r="C7344" s="1">
        <v>38</v>
      </c>
      <c r="D7344" t="str">
        <f>VLOOKUP(B7344,Заказы!A:C,3,0)</f>
        <v>2024-02-24 19:56:00</v>
      </c>
      <c r="E7344" t="str">
        <f>VLOOKUP(C7344,Меню!A:E,4,0)</f>
        <v>Десерт</v>
      </c>
      <c r="F7344">
        <f>VLOOKUP(C7344,Меню!A:E,5,0)</f>
        <v>150</v>
      </c>
    </row>
    <row r="7345" spans="1:6" ht="15.75" hidden="1" customHeight="1" x14ac:dyDescent="0.35">
      <c r="A7345" s="1">
        <v>7344</v>
      </c>
      <c r="B7345" s="1">
        <v>1463</v>
      </c>
      <c r="C7345" s="1">
        <v>14</v>
      </c>
      <c r="D7345" t="str">
        <f>VLOOKUP(B7345,Заказы!A:C,3,0)</f>
        <v>2024-02-24 19:56:00</v>
      </c>
      <c r="E7345" t="str">
        <f>VLOOKUP(C7345,Меню!A:E,4,0)</f>
        <v>Первое</v>
      </c>
      <c r="F7345">
        <f>VLOOKUP(C7345,Меню!A:E,5,0)</f>
        <v>350</v>
      </c>
    </row>
    <row r="7346" spans="1:6" ht="15.75" hidden="1" customHeight="1" x14ac:dyDescent="0.35">
      <c r="A7346" s="1">
        <v>7345</v>
      </c>
      <c r="B7346" s="1">
        <v>1464</v>
      </c>
      <c r="C7346" s="1">
        <v>55</v>
      </c>
      <c r="D7346" t="str">
        <f>VLOOKUP(B7346,Заказы!A:C,3,0)</f>
        <v>2024-02-25 19:07:00</v>
      </c>
      <c r="E7346" t="str">
        <f>VLOOKUP(C7346,Меню!A:E,4,0)</f>
        <v>Суши</v>
      </c>
      <c r="F7346">
        <f>VLOOKUP(C7346,Меню!A:E,5,0)</f>
        <v>100</v>
      </c>
    </row>
    <row r="7347" spans="1:6" ht="15.75" hidden="1" customHeight="1" x14ac:dyDescent="0.35">
      <c r="A7347" s="1">
        <v>7346</v>
      </c>
      <c r="B7347" s="1">
        <v>1464</v>
      </c>
      <c r="C7347" s="1">
        <v>39</v>
      </c>
      <c r="D7347" t="str">
        <f>VLOOKUP(B7347,Заказы!A:C,3,0)</f>
        <v>2024-02-25 19:07:00</v>
      </c>
      <c r="E7347" t="str">
        <f>VLOOKUP(C7347,Меню!A:E,4,0)</f>
        <v>Десерт</v>
      </c>
      <c r="F7347">
        <f>VLOOKUP(C7347,Меню!A:E,5,0)</f>
        <v>150</v>
      </c>
    </row>
    <row r="7348" spans="1:6" ht="15.75" hidden="1" customHeight="1" x14ac:dyDescent="0.35">
      <c r="A7348" s="1">
        <v>7347</v>
      </c>
      <c r="B7348" s="1">
        <v>1464</v>
      </c>
      <c r="C7348" s="1">
        <v>33</v>
      </c>
      <c r="D7348" t="str">
        <f>VLOOKUP(B7348,Заказы!A:C,3,0)</f>
        <v>2024-02-25 19:07:00</v>
      </c>
      <c r="E7348" t="str">
        <f>VLOOKUP(C7348,Меню!A:E,4,0)</f>
        <v>Десерт</v>
      </c>
      <c r="F7348">
        <f>VLOOKUP(C7348,Меню!A:E,5,0)</f>
        <v>150</v>
      </c>
    </row>
    <row r="7349" spans="1:6" ht="15.75" hidden="1" customHeight="1" x14ac:dyDescent="0.35">
      <c r="A7349" s="1">
        <v>7348</v>
      </c>
      <c r="B7349" s="1">
        <v>1464</v>
      </c>
      <c r="C7349" s="1">
        <v>6</v>
      </c>
      <c r="D7349" t="str">
        <f>VLOOKUP(B7349,Заказы!A:C,3,0)</f>
        <v>2024-02-25 19:07:00</v>
      </c>
      <c r="E7349" t="str">
        <f>VLOOKUP(C7349,Меню!A:E,4,0)</f>
        <v>Завтрак</v>
      </c>
      <c r="F7349">
        <f>VLOOKUP(C7349,Меню!A:E,5,0)</f>
        <v>300</v>
      </c>
    </row>
    <row r="7350" spans="1:6" ht="15.75" hidden="1" customHeight="1" x14ac:dyDescent="0.35">
      <c r="A7350" s="1">
        <v>7349</v>
      </c>
      <c r="B7350" s="1">
        <v>1464</v>
      </c>
      <c r="C7350" s="1">
        <v>42</v>
      </c>
      <c r="D7350" t="str">
        <f>VLOOKUP(B7350,Заказы!A:C,3,0)</f>
        <v>2024-02-25 19:07:00</v>
      </c>
      <c r="E7350" t="str">
        <f>VLOOKUP(C7350,Меню!A:E,4,0)</f>
        <v>Суши</v>
      </c>
      <c r="F7350">
        <f>VLOOKUP(C7350,Меню!A:E,5,0)</f>
        <v>250</v>
      </c>
    </row>
    <row r="7351" spans="1:6" ht="15.75" hidden="1" customHeight="1" x14ac:dyDescent="0.35">
      <c r="A7351" s="1">
        <v>7350</v>
      </c>
      <c r="B7351" s="1">
        <v>1465</v>
      </c>
      <c r="C7351" s="1">
        <v>40</v>
      </c>
      <c r="D7351" t="str">
        <f>VLOOKUP(B7351,Заказы!A:C,3,0)</f>
        <v>2024-02-26 15:00:00</v>
      </c>
      <c r="E7351" t="str">
        <f>VLOOKUP(C7351,Меню!A:E,4,0)</f>
        <v>Десерт</v>
      </c>
      <c r="F7351">
        <f>VLOOKUP(C7351,Меню!A:E,5,0)</f>
        <v>150</v>
      </c>
    </row>
    <row r="7352" spans="1:6" ht="15.75" hidden="1" customHeight="1" x14ac:dyDescent="0.35">
      <c r="A7352" s="1">
        <v>7351</v>
      </c>
      <c r="B7352" s="1">
        <v>1465</v>
      </c>
      <c r="C7352" s="1">
        <v>55</v>
      </c>
      <c r="D7352" t="str">
        <f>VLOOKUP(B7352,Заказы!A:C,3,0)</f>
        <v>2024-02-26 15:00:00</v>
      </c>
      <c r="E7352" t="str">
        <f>VLOOKUP(C7352,Меню!A:E,4,0)</f>
        <v>Суши</v>
      </c>
      <c r="F7352">
        <f>VLOOKUP(C7352,Меню!A:E,5,0)</f>
        <v>100</v>
      </c>
    </row>
    <row r="7353" spans="1:6" ht="15.75" hidden="1" customHeight="1" x14ac:dyDescent="0.35">
      <c r="A7353" s="1">
        <v>7352</v>
      </c>
      <c r="B7353" s="1">
        <v>1465</v>
      </c>
      <c r="C7353" s="1">
        <v>19</v>
      </c>
      <c r="D7353" t="str">
        <f>VLOOKUP(B7353,Заказы!A:C,3,0)</f>
        <v>2024-02-26 15:00:00</v>
      </c>
      <c r="E7353" t="str">
        <f>VLOOKUP(C7353,Меню!A:E,4,0)</f>
        <v>Первое</v>
      </c>
      <c r="F7353">
        <f>VLOOKUP(C7353,Меню!A:E,5,0)</f>
        <v>300</v>
      </c>
    </row>
    <row r="7354" spans="1:6" ht="15.75" hidden="1" customHeight="1" x14ac:dyDescent="0.35">
      <c r="A7354" s="1">
        <v>7353</v>
      </c>
      <c r="B7354" s="1">
        <v>1465</v>
      </c>
      <c r="C7354" s="1">
        <v>57</v>
      </c>
      <c r="D7354" t="str">
        <f>VLOOKUP(B7354,Заказы!A:C,3,0)</f>
        <v>2024-02-26 15:00:00</v>
      </c>
      <c r="E7354" t="str">
        <f>VLOOKUP(C7354,Меню!A:E,4,0)</f>
        <v>Суши</v>
      </c>
      <c r="F7354">
        <f>VLOOKUP(C7354,Меню!A:E,5,0)</f>
        <v>200</v>
      </c>
    </row>
    <row r="7355" spans="1:6" ht="15.75" hidden="1" customHeight="1" x14ac:dyDescent="0.35">
      <c r="A7355" s="1">
        <v>7354</v>
      </c>
      <c r="B7355" s="1">
        <v>1465</v>
      </c>
      <c r="C7355" s="1">
        <v>42</v>
      </c>
      <c r="D7355" t="str">
        <f>VLOOKUP(B7355,Заказы!A:C,3,0)</f>
        <v>2024-02-26 15:00:00</v>
      </c>
      <c r="E7355" t="str">
        <f>VLOOKUP(C7355,Меню!A:E,4,0)</f>
        <v>Суши</v>
      </c>
      <c r="F7355">
        <f>VLOOKUP(C7355,Меню!A:E,5,0)</f>
        <v>250</v>
      </c>
    </row>
    <row r="7356" spans="1:6" ht="15.75" hidden="1" customHeight="1" x14ac:dyDescent="0.35">
      <c r="A7356" s="1">
        <v>7355</v>
      </c>
      <c r="B7356" s="1">
        <v>1465</v>
      </c>
      <c r="C7356" s="1">
        <v>57</v>
      </c>
      <c r="D7356" t="str">
        <f>VLOOKUP(B7356,Заказы!A:C,3,0)</f>
        <v>2024-02-26 15:00:00</v>
      </c>
      <c r="E7356" t="str">
        <f>VLOOKUP(C7356,Меню!A:E,4,0)</f>
        <v>Суши</v>
      </c>
      <c r="F7356">
        <f>VLOOKUP(C7356,Меню!A:E,5,0)</f>
        <v>200</v>
      </c>
    </row>
    <row r="7357" spans="1:6" ht="15.75" hidden="1" customHeight="1" x14ac:dyDescent="0.35">
      <c r="A7357" s="1">
        <v>7356</v>
      </c>
      <c r="B7357" s="1">
        <v>1465</v>
      </c>
      <c r="C7357" s="1">
        <v>2</v>
      </c>
      <c r="D7357" t="str">
        <f>VLOOKUP(B7357,Заказы!A:C,3,0)</f>
        <v>2024-02-26 15:00:00</v>
      </c>
      <c r="E7357" t="str">
        <f>VLOOKUP(C7357,Меню!A:E,4,0)</f>
        <v>Завтрак</v>
      </c>
      <c r="F7357">
        <f>VLOOKUP(C7357,Меню!A:E,5,0)</f>
        <v>250</v>
      </c>
    </row>
    <row r="7358" spans="1:6" ht="15.75" hidden="1" customHeight="1" x14ac:dyDescent="0.35">
      <c r="A7358" s="1">
        <v>7357</v>
      </c>
      <c r="B7358" s="1">
        <v>1465</v>
      </c>
      <c r="C7358" s="1">
        <v>11</v>
      </c>
      <c r="D7358" t="str">
        <f>VLOOKUP(B7358,Заказы!A:C,3,0)</f>
        <v>2024-02-26 15:00:00</v>
      </c>
      <c r="E7358" t="str">
        <f>VLOOKUP(C7358,Меню!A:E,4,0)</f>
        <v>Первое</v>
      </c>
      <c r="F7358">
        <f>VLOOKUP(C7358,Меню!A:E,5,0)</f>
        <v>300</v>
      </c>
    </row>
    <row r="7359" spans="1:6" ht="15.75" hidden="1" customHeight="1" x14ac:dyDescent="0.35">
      <c r="A7359" s="1">
        <v>7358</v>
      </c>
      <c r="B7359" s="1">
        <v>1466</v>
      </c>
      <c r="C7359" s="1">
        <v>58</v>
      </c>
      <c r="D7359" t="str">
        <f>VLOOKUP(B7359,Заказы!A:C,3,0)</f>
        <v>2024-02-26 15:56:00</v>
      </c>
      <c r="E7359" t="str">
        <f>VLOOKUP(C7359,Меню!A:E,4,0)</f>
        <v>Суши</v>
      </c>
      <c r="F7359">
        <f>VLOOKUP(C7359,Меню!A:E,5,0)</f>
        <v>200</v>
      </c>
    </row>
    <row r="7360" spans="1:6" ht="15.75" hidden="1" customHeight="1" x14ac:dyDescent="0.35">
      <c r="A7360" s="1">
        <v>7359</v>
      </c>
      <c r="B7360" s="1">
        <v>1466</v>
      </c>
      <c r="C7360" s="1">
        <v>52</v>
      </c>
      <c r="D7360" t="str">
        <f>VLOOKUP(B7360,Заказы!A:C,3,0)</f>
        <v>2024-02-26 15:56:00</v>
      </c>
      <c r="E7360" t="str">
        <f>VLOOKUP(C7360,Меню!A:E,4,0)</f>
        <v>Суши</v>
      </c>
      <c r="F7360">
        <f>VLOOKUP(C7360,Меню!A:E,5,0)</f>
        <v>100</v>
      </c>
    </row>
    <row r="7361" spans="1:6" ht="15.75" hidden="1" customHeight="1" x14ac:dyDescent="0.35">
      <c r="A7361" s="1">
        <v>7360</v>
      </c>
      <c r="B7361" s="1">
        <v>1466</v>
      </c>
      <c r="C7361" s="1">
        <v>35</v>
      </c>
      <c r="D7361" t="str">
        <f>VLOOKUP(B7361,Заказы!A:C,3,0)</f>
        <v>2024-02-26 15:56:00</v>
      </c>
      <c r="E7361" t="str">
        <f>VLOOKUP(C7361,Меню!A:E,4,0)</f>
        <v>Десерт</v>
      </c>
      <c r="F7361">
        <f>VLOOKUP(C7361,Меню!A:E,5,0)</f>
        <v>150</v>
      </c>
    </row>
    <row r="7362" spans="1:6" ht="15.75" hidden="1" customHeight="1" x14ac:dyDescent="0.35">
      <c r="A7362" s="1">
        <v>7361</v>
      </c>
      <c r="B7362" s="1">
        <v>1466</v>
      </c>
      <c r="C7362" s="1">
        <v>24</v>
      </c>
      <c r="D7362" t="str">
        <f>VLOOKUP(B7362,Заказы!A:C,3,0)</f>
        <v>2024-02-26 15:56:00</v>
      </c>
      <c r="E7362" t="str">
        <f>VLOOKUP(C7362,Меню!A:E,4,0)</f>
        <v>Салат</v>
      </c>
      <c r="F7362">
        <f>VLOOKUP(C7362,Меню!A:E,5,0)</f>
        <v>250</v>
      </c>
    </row>
    <row r="7363" spans="1:6" ht="15.75" hidden="1" customHeight="1" x14ac:dyDescent="0.35">
      <c r="A7363" s="1">
        <v>7362</v>
      </c>
      <c r="B7363" s="1">
        <v>1466</v>
      </c>
      <c r="C7363" s="1">
        <v>1</v>
      </c>
      <c r="D7363" t="str">
        <f>VLOOKUP(B7363,Заказы!A:C,3,0)</f>
        <v>2024-02-26 15:56:00</v>
      </c>
      <c r="E7363" t="str">
        <f>VLOOKUP(C7363,Меню!A:E,4,0)</f>
        <v>Завтрак</v>
      </c>
      <c r="F7363">
        <f>VLOOKUP(C7363,Меню!A:E,5,0)</f>
        <v>200</v>
      </c>
    </row>
    <row r="7364" spans="1:6" ht="15.75" hidden="1" customHeight="1" x14ac:dyDescent="0.35">
      <c r="A7364" s="1">
        <v>7363</v>
      </c>
      <c r="B7364" s="1">
        <v>1466</v>
      </c>
      <c r="C7364" s="1">
        <v>47</v>
      </c>
      <c r="D7364" t="str">
        <f>VLOOKUP(B7364,Заказы!A:C,3,0)</f>
        <v>2024-02-26 15:56:00</v>
      </c>
      <c r="E7364" t="str">
        <f>VLOOKUP(C7364,Меню!A:E,4,0)</f>
        <v>Суши</v>
      </c>
      <c r="F7364">
        <f>VLOOKUP(C7364,Меню!A:E,5,0)</f>
        <v>200</v>
      </c>
    </row>
    <row r="7365" spans="1:6" ht="15.75" hidden="1" customHeight="1" x14ac:dyDescent="0.35">
      <c r="A7365" s="1">
        <v>7364</v>
      </c>
      <c r="B7365" s="1">
        <v>1466</v>
      </c>
      <c r="C7365" s="1">
        <v>55</v>
      </c>
      <c r="D7365" t="str">
        <f>VLOOKUP(B7365,Заказы!A:C,3,0)</f>
        <v>2024-02-26 15:56:00</v>
      </c>
      <c r="E7365" t="str">
        <f>VLOOKUP(C7365,Меню!A:E,4,0)</f>
        <v>Суши</v>
      </c>
      <c r="F7365">
        <f>VLOOKUP(C7365,Меню!A:E,5,0)</f>
        <v>100</v>
      </c>
    </row>
    <row r="7366" spans="1:6" ht="15.75" hidden="1" customHeight="1" x14ac:dyDescent="0.35">
      <c r="A7366" s="1">
        <v>7365</v>
      </c>
      <c r="B7366" s="1">
        <v>1466</v>
      </c>
      <c r="C7366" s="1">
        <v>16</v>
      </c>
      <c r="D7366" t="str">
        <f>VLOOKUP(B7366,Заказы!A:C,3,0)</f>
        <v>2024-02-26 15:56:00</v>
      </c>
      <c r="E7366" t="str">
        <f>VLOOKUP(C7366,Меню!A:E,4,0)</f>
        <v>Первое</v>
      </c>
      <c r="F7366">
        <f>VLOOKUP(C7366,Меню!A:E,5,0)</f>
        <v>250</v>
      </c>
    </row>
    <row r="7367" spans="1:6" ht="15.75" hidden="1" customHeight="1" x14ac:dyDescent="0.35">
      <c r="A7367" s="1">
        <v>7366</v>
      </c>
      <c r="B7367" s="1">
        <v>1466</v>
      </c>
      <c r="C7367" s="1">
        <v>4</v>
      </c>
      <c r="D7367" t="str">
        <f>VLOOKUP(B7367,Заказы!A:C,3,0)</f>
        <v>2024-02-26 15:56:00</v>
      </c>
      <c r="E7367" t="str">
        <f>VLOOKUP(C7367,Меню!A:E,4,0)</f>
        <v>Завтрак</v>
      </c>
      <c r="F7367">
        <f>VLOOKUP(C7367,Меню!A:E,5,0)</f>
        <v>180</v>
      </c>
    </row>
    <row r="7368" spans="1:6" ht="15.75" hidden="1" customHeight="1" x14ac:dyDescent="0.35">
      <c r="A7368" s="1">
        <v>7367</v>
      </c>
      <c r="B7368" s="1">
        <v>1466</v>
      </c>
      <c r="C7368" s="1">
        <v>17</v>
      </c>
      <c r="D7368" t="str">
        <f>VLOOKUP(B7368,Заказы!A:C,3,0)</f>
        <v>2024-02-26 15:56:00</v>
      </c>
      <c r="E7368" t="str">
        <f>VLOOKUP(C7368,Меню!A:E,4,0)</f>
        <v>Первое</v>
      </c>
      <c r="F7368">
        <f>VLOOKUP(C7368,Меню!A:E,5,0)</f>
        <v>250</v>
      </c>
    </row>
    <row r="7369" spans="1:6" ht="15.75" hidden="1" customHeight="1" x14ac:dyDescent="0.35">
      <c r="A7369" s="1">
        <v>7368</v>
      </c>
      <c r="B7369" s="1">
        <v>1467</v>
      </c>
      <c r="C7369" s="1">
        <v>14</v>
      </c>
      <c r="D7369" t="str">
        <f>VLOOKUP(B7369,Заказы!A:C,3,0)</f>
        <v>2024-02-26 21:03:00</v>
      </c>
      <c r="E7369" t="str">
        <f>VLOOKUP(C7369,Меню!A:E,4,0)</f>
        <v>Первое</v>
      </c>
      <c r="F7369">
        <f>VLOOKUP(C7369,Меню!A:E,5,0)</f>
        <v>350</v>
      </c>
    </row>
    <row r="7370" spans="1:6" ht="15.75" hidden="1" customHeight="1" x14ac:dyDescent="0.35">
      <c r="A7370" s="1">
        <v>7369</v>
      </c>
      <c r="B7370" s="1">
        <v>1467</v>
      </c>
      <c r="C7370" s="1">
        <v>24</v>
      </c>
      <c r="D7370" t="str">
        <f>VLOOKUP(B7370,Заказы!A:C,3,0)</f>
        <v>2024-02-26 21:03:00</v>
      </c>
      <c r="E7370" t="str">
        <f>VLOOKUP(C7370,Меню!A:E,4,0)</f>
        <v>Салат</v>
      </c>
      <c r="F7370">
        <f>VLOOKUP(C7370,Меню!A:E,5,0)</f>
        <v>250</v>
      </c>
    </row>
    <row r="7371" spans="1:6" ht="15.75" hidden="1" customHeight="1" x14ac:dyDescent="0.35">
      <c r="A7371" s="1">
        <v>7370</v>
      </c>
      <c r="B7371" s="1">
        <v>1467</v>
      </c>
      <c r="C7371" s="1">
        <v>46</v>
      </c>
      <c r="D7371" t="str">
        <f>VLOOKUP(B7371,Заказы!A:C,3,0)</f>
        <v>2024-02-26 21:03:00</v>
      </c>
      <c r="E7371" t="str">
        <f>VLOOKUP(C7371,Меню!A:E,4,0)</f>
        <v>Суши</v>
      </c>
      <c r="F7371">
        <f>VLOOKUP(C7371,Меню!A:E,5,0)</f>
        <v>200</v>
      </c>
    </row>
    <row r="7372" spans="1:6" ht="15.75" hidden="1" customHeight="1" x14ac:dyDescent="0.35">
      <c r="A7372" s="1">
        <v>7371</v>
      </c>
      <c r="B7372" s="1">
        <v>1467</v>
      </c>
      <c r="C7372" s="1">
        <v>49</v>
      </c>
      <c r="D7372" t="str">
        <f>VLOOKUP(B7372,Заказы!A:C,3,0)</f>
        <v>2024-02-26 21:03:00</v>
      </c>
      <c r="E7372" t="str">
        <f>VLOOKUP(C7372,Меню!A:E,4,0)</f>
        <v>Суши</v>
      </c>
      <c r="F7372">
        <f>VLOOKUP(C7372,Меню!A:E,5,0)</f>
        <v>200</v>
      </c>
    </row>
    <row r="7373" spans="1:6" ht="15.75" hidden="1" customHeight="1" x14ac:dyDescent="0.35">
      <c r="A7373" s="1">
        <v>7372</v>
      </c>
      <c r="B7373" s="1">
        <v>1467</v>
      </c>
      <c r="C7373" s="1">
        <v>38</v>
      </c>
      <c r="D7373" t="str">
        <f>VLOOKUP(B7373,Заказы!A:C,3,0)</f>
        <v>2024-02-26 21:03:00</v>
      </c>
      <c r="E7373" t="str">
        <f>VLOOKUP(C7373,Меню!A:E,4,0)</f>
        <v>Десерт</v>
      </c>
      <c r="F7373">
        <f>VLOOKUP(C7373,Меню!A:E,5,0)</f>
        <v>150</v>
      </c>
    </row>
    <row r="7374" spans="1:6" ht="15.75" hidden="1" customHeight="1" x14ac:dyDescent="0.35">
      <c r="A7374" s="1">
        <v>7373</v>
      </c>
      <c r="B7374" s="1">
        <v>1468</v>
      </c>
      <c r="C7374" s="1">
        <v>1</v>
      </c>
      <c r="D7374" t="str">
        <f>VLOOKUP(B7374,Заказы!A:C,3,0)</f>
        <v>2024-02-27 18:38:00</v>
      </c>
      <c r="E7374" t="str">
        <f>VLOOKUP(C7374,Меню!A:E,4,0)</f>
        <v>Завтрак</v>
      </c>
      <c r="F7374">
        <f>VLOOKUP(C7374,Меню!A:E,5,0)</f>
        <v>200</v>
      </c>
    </row>
    <row r="7375" spans="1:6" ht="15.75" hidden="1" customHeight="1" x14ac:dyDescent="0.35">
      <c r="A7375" s="1">
        <v>7374</v>
      </c>
      <c r="B7375" s="1">
        <v>1468</v>
      </c>
      <c r="C7375" s="1">
        <v>6</v>
      </c>
      <c r="D7375" t="str">
        <f>VLOOKUP(B7375,Заказы!A:C,3,0)</f>
        <v>2024-02-27 18:38:00</v>
      </c>
      <c r="E7375" t="str">
        <f>VLOOKUP(C7375,Меню!A:E,4,0)</f>
        <v>Завтрак</v>
      </c>
      <c r="F7375">
        <f>VLOOKUP(C7375,Меню!A:E,5,0)</f>
        <v>300</v>
      </c>
    </row>
    <row r="7376" spans="1:6" ht="15.75" hidden="1" customHeight="1" x14ac:dyDescent="0.35">
      <c r="A7376" s="1">
        <v>7375</v>
      </c>
      <c r="B7376" s="1">
        <v>1468</v>
      </c>
      <c r="C7376" s="1">
        <v>48</v>
      </c>
      <c r="D7376" t="str">
        <f>VLOOKUP(B7376,Заказы!A:C,3,0)</f>
        <v>2024-02-27 18:38:00</v>
      </c>
      <c r="E7376" t="str">
        <f>VLOOKUP(C7376,Меню!A:E,4,0)</f>
        <v>Суши</v>
      </c>
      <c r="F7376">
        <f>VLOOKUP(C7376,Меню!A:E,5,0)</f>
        <v>200</v>
      </c>
    </row>
    <row r="7377" spans="1:6" ht="15.75" hidden="1" customHeight="1" x14ac:dyDescent="0.35">
      <c r="A7377" s="1">
        <v>7376</v>
      </c>
      <c r="B7377" s="1">
        <v>1469</v>
      </c>
      <c r="C7377" s="1">
        <v>19</v>
      </c>
      <c r="D7377" t="str">
        <f>VLOOKUP(B7377,Заказы!A:C,3,0)</f>
        <v>2024-02-28 16:03:00</v>
      </c>
      <c r="E7377" t="str">
        <f>VLOOKUP(C7377,Меню!A:E,4,0)</f>
        <v>Первое</v>
      </c>
      <c r="F7377">
        <f>VLOOKUP(C7377,Меню!A:E,5,0)</f>
        <v>300</v>
      </c>
    </row>
    <row r="7378" spans="1:6" ht="15.75" hidden="1" customHeight="1" x14ac:dyDescent="0.35">
      <c r="A7378" s="1">
        <v>7377</v>
      </c>
      <c r="B7378" s="1">
        <v>1469</v>
      </c>
      <c r="C7378" s="1">
        <v>49</v>
      </c>
      <c r="D7378" t="str">
        <f>VLOOKUP(B7378,Заказы!A:C,3,0)</f>
        <v>2024-02-28 16:03:00</v>
      </c>
      <c r="E7378" t="str">
        <f>VLOOKUP(C7378,Меню!A:E,4,0)</f>
        <v>Суши</v>
      </c>
      <c r="F7378">
        <f>VLOOKUP(C7378,Меню!A:E,5,0)</f>
        <v>200</v>
      </c>
    </row>
    <row r="7379" spans="1:6" ht="15.75" hidden="1" customHeight="1" x14ac:dyDescent="0.35">
      <c r="A7379" s="1">
        <v>7378</v>
      </c>
      <c r="B7379" s="1">
        <v>1469</v>
      </c>
      <c r="C7379" s="1">
        <v>16</v>
      </c>
      <c r="D7379" t="str">
        <f>VLOOKUP(B7379,Заказы!A:C,3,0)</f>
        <v>2024-02-28 16:03:00</v>
      </c>
      <c r="E7379" t="str">
        <f>VLOOKUP(C7379,Меню!A:E,4,0)</f>
        <v>Первое</v>
      </c>
      <c r="F7379">
        <f>VLOOKUP(C7379,Меню!A:E,5,0)</f>
        <v>250</v>
      </c>
    </row>
    <row r="7380" spans="1:6" ht="15.75" hidden="1" customHeight="1" x14ac:dyDescent="0.35">
      <c r="A7380" s="1">
        <v>7379</v>
      </c>
      <c r="B7380" s="1">
        <v>1470</v>
      </c>
      <c r="C7380" s="1">
        <v>16</v>
      </c>
      <c r="D7380" t="str">
        <f>VLOOKUP(B7380,Заказы!A:C,3,0)</f>
        <v>2024-02-28 17:57:00</v>
      </c>
      <c r="E7380" t="str">
        <f>VLOOKUP(C7380,Меню!A:E,4,0)</f>
        <v>Первое</v>
      </c>
      <c r="F7380">
        <f>VLOOKUP(C7380,Меню!A:E,5,0)</f>
        <v>250</v>
      </c>
    </row>
    <row r="7381" spans="1:6" ht="15.75" hidden="1" customHeight="1" x14ac:dyDescent="0.35">
      <c r="A7381" s="1">
        <v>7380</v>
      </c>
      <c r="B7381" s="1">
        <v>1470</v>
      </c>
      <c r="C7381" s="1">
        <v>49</v>
      </c>
      <c r="D7381" t="str">
        <f>VLOOKUP(B7381,Заказы!A:C,3,0)</f>
        <v>2024-02-28 17:57:00</v>
      </c>
      <c r="E7381" t="str">
        <f>VLOOKUP(C7381,Меню!A:E,4,0)</f>
        <v>Суши</v>
      </c>
      <c r="F7381">
        <f>VLOOKUP(C7381,Меню!A:E,5,0)</f>
        <v>200</v>
      </c>
    </row>
    <row r="7382" spans="1:6" ht="15.75" hidden="1" customHeight="1" x14ac:dyDescent="0.35">
      <c r="A7382" s="1">
        <v>7381</v>
      </c>
      <c r="B7382" s="1">
        <v>1470</v>
      </c>
      <c r="C7382" s="1">
        <v>33</v>
      </c>
      <c r="D7382" t="str">
        <f>VLOOKUP(B7382,Заказы!A:C,3,0)</f>
        <v>2024-02-28 17:57:00</v>
      </c>
      <c r="E7382" t="str">
        <f>VLOOKUP(C7382,Меню!A:E,4,0)</f>
        <v>Десерт</v>
      </c>
      <c r="F7382">
        <f>VLOOKUP(C7382,Меню!A:E,5,0)</f>
        <v>150</v>
      </c>
    </row>
    <row r="7383" spans="1:6" ht="15.75" hidden="1" customHeight="1" x14ac:dyDescent="0.35">
      <c r="A7383" s="1">
        <v>7382</v>
      </c>
      <c r="B7383" s="1">
        <v>1470</v>
      </c>
      <c r="C7383" s="1">
        <v>57</v>
      </c>
      <c r="D7383" t="str">
        <f>VLOOKUP(B7383,Заказы!A:C,3,0)</f>
        <v>2024-02-28 17:57:00</v>
      </c>
      <c r="E7383" t="str">
        <f>VLOOKUP(C7383,Меню!A:E,4,0)</f>
        <v>Суши</v>
      </c>
      <c r="F7383">
        <f>VLOOKUP(C7383,Меню!A:E,5,0)</f>
        <v>200</v>
      </c>
    </row>
    <row r="7384" spans="1:6" ht="15.75" hidden="1" customHeight="1" x14ac:dyDescent="0.35">
      <c r="A7384" s="1">
        <v>7383</v>
      </c>
      <c r="B7384" s="1">
        <v>1470</v>
      </c>
      <c r="C7384" s="1">
        <v>59</v>
      </c>
      <c r="D7384" t="str">
        <f>VLOOKUP(B7384,Заказы!A:C,3,0)</f>
        <v>2024-02-28 17:57:00</v>
      </c>
      <c r="E7384" t="str">
        <f>VLOOKUP(C7384,Меню!A:E,4,0)</f>
        <v>Суши</v>
      </c>
      <c r="F7384">
        <f>VLOOKUP(C7384,Меню!A:E,5,0)</f>
        <v>300</v>
      </c>
    </row>
    <row r="7385" spans="1:6" ht="15.75" hidden="1" customHeight="1" x14ac:dyDescent="0.35">
      <c r="A7385" s="1">
        <v>7384</v>
      </c>
      <c r="B7385" s="1">
        <v>1470</v>
      </c>
      <c r="C7385" s="1">
        <v>50</v>
      </c>
      <c r="D7385" t="str">
        <f>VLOOKUP(B7385,Заказы!A:C,3,0)</f>
        <v>2024-02-28 17:57:00</v>
      </c>
      <c r="E7385" t="str">
        <f>VLOOKUP(C7385,Меню!A:E,4,0)</f>
        <v>Суши</v>
      </c>
      <c r="F7385">
        <f>VLOOKUP(C7385,Меню!A:E,5,0)</f>
        <v>200</v>
      </c>
    </row>
    <row r="7386" spans="1:6" ht="15.75" hidden="1" customHeight="1" x14ac:dyDescent="0.35">
      <c r="A7386" s="1">
        <v>7385</v>
      </c>
      <c r="B7386" s="1">
        <v>1471</v>
      </c>
      <c r="C7386" s="1">
        <v>56</v>
      </c>
      <c r="D7386" t="str">
        <f>VLOOKUP(B7386,Заказы!A:C,3,0)</f>
        <v>2024-02-28 19:58:00</v>
      </c>
      <c r="E7386" t="str">
        <f>VLOOKUP(C7386,Меню!A:E,4,0)</f>
        <v>Суши</v>
      </c>
      <c r="F7386">
        <f>VLOOKUP(C7386,Меню!A:E,5,0)</f>
        <v>200</v>
      </c>
    </row>
    <row r="7387" spans="1:6" ht="15.75" hidden="1" customHeight="1" x14ac:dyDescent="0.35">
      <c r="A7387" s="1">
        <v>7386</v>
      </c>
      <c r="B7387" s="1">
        <v>1471</v>
      </c>
      <c r="C7387" s="1">
        <v>60</v>
      </c>
      <c r="D7387" t="str">
        <f>VLOOKUP(B7387,Заказы!A:C,3,0)</f>
        <v>2024-02-28 19:58:00</v>
      </c>
      <c r="E7387" t="str">
        <f>VLOOKUP(C7387,Меню!A:E,4,0)</f>
        <v>Суши</v>
      </c>
      <c r="F7387">
        <f>VLOOKUP(C7387,Меню!A:E,5,0)</f>
        <v>250</v>
      </c>
    </row>
    <row r="7388" spans="1:6" ht="15.75" hidden="1" customHeight="1" x14ac:dyDescent="0.35">
      <c r="A7388" s="1">
        <v>7387</v>
      </c>
      <c r="B7388" s="1">
        <v>1471</v>
      </c>
      <c r="C7388" s="1">
        <v>55</v>
      </c>
      <c r="D7388" t="str">
        <f>VLOOKUP(B7388,Заказы!A:C,3,0)</f>
        <v>2024-02-28 19:58:00</v>
      </c>
      <c r="E7388" t="str">
        <f>VLOOKUP(C7388,Меню!A:E,4,0)</f>
        <v>Суши</v>
      </c>
      <c r="F7388">
        <f>VLOOKUP(C7388,Меню!A:E,5,0)</f>
        <v>100</v>
      </c>
    </row>
    <row r="7389" spans="1:6" ht="15.75" hidden="1" customHeight="1" x14ac:dyDescent="0.35">
      <c r="A7389" s="1">
        <v>7388</v>
      </c>
      <c r="B7389" s="1">
        <v>1472</v>
      </c>
      <c r="C7389" s="1">
        <v>21</v>
      </c>
      <c r="D7389" t="str">
        <f>VLOOKUP(B7389,Заказы!A:C,3,0)</f>
        <v>2024-02-28 20:53:00</v>
      </c>
      <c r="E7389" t="str">
        <f>VLOOKUP(C7389,Меню!A:E,4,0)</f>
        <v>Салат</v>
      </c>
      <c r="F7389">
        <f>VLOOKUP(C7389,Меню!A:E,5,0)</f>
        <v>250</v>
      </c>
    </row>
    <row r="7390" spans="1:6" ht="15.75" hidden="1" customHeight="1" x14ac:dyDescent="0.35">
      <c r="A7390" s="1">
        <v>7389</v>
      </c>
      <c r="B7390" s="1">
        <v>1472</v>
      </c>
      <c r="C7390" s="1">
        <v>11</v>
      </c>
      <c r="D7390" t="str">
        <f>VLOOKUP(B7390,Заказы!A:C,3,0)</f>
        <v>2024-02-28 20:53:00</v>
      </c>
      <c r="E7390" t="str">
        <f>VLOOKUP(C7390,Меню!A:E,4,0)</f>
        <v>Первое</v>
      </c>
      <c r="F7390">
        <f>VLOOKUP(C7390,Меню!A:E,5,0)</f>
        <v>300</v>
      </c>
    </row>
    <row r="7391" spans="1:6" ht="15.75" hidden="1" customHeight="1" x14ac:dyDescent="0.35">
      <c r="A7391" s="1">
        <v>7390</v>
      </c>
      <c r="B7391" s="1">
        <v>1472</v>
      </c>
      <c r="C7391" s="1">
        <v>19</v>
      </c>
      <c r="D7391" t="str">
        <f>VLOOKUP(B7391,Заказы!A:C,3,0)</f>
        <v>2024-02-28 20:53:00</v>
      </c>
      <c r="E7391" t="str">
        <f>VLOOKUP(C7391,Меню!A:E,4,0)</f>
        <v>Первое</v>
      </c>
      <c r="F7391">
        <f>VLOOKUP(C7391,Меню!A:E,5,0)</f>
        <v>300</v>
      </c>
    </row>
    <row r="7392" spans="1:6" ht="15.75" hidden="1" customHeight="1" x14ac:dyDescent="0.35">
      <c r="A7392" s="1">
        <v>7391</v>
      </c>
      <c r="B7392" s="1">
        <v>1472</v>
      </c>
      <c r="C7392" s="1">
        <v>59</v>
      </c>
      <c r="D7392" t="str">
        <f>VLOOKUP(B7392,Заказы!A:C,3,0)</f>
        <v>2024-02-28 20:53:00</v>
      </c>
      <c r="E7392" t="str">
        <f>VLOOKUP(C7392,Меню!A:E,4,0)</f>
        <v>Суши</v>
      </c>
      <c r="F7392">
        <f>VLOOKUP(C7392,Меню!A:E,5,0)</f>
        <v>300</v>
      </c>
    </row>
    <row r="7393" spans="1:6" ht="15.75" hidden="1" customHeight="1" x14ac:dyDescent="0.35">
      <c r="A7393" s="1">
        <v>7392</v>
      </c>
      <c r="B7393" s="1">
        <v>1473</v>
      </c>
      <c r="C7393" s="1">
        <v>28</v>
      </c>
      <c r="D7393" t="str">
        <f>VLOOKUP(B7393,Заказы!A:C,3,0)</f>
        <v>2024-02-29 22:14:00</v>
      </c>
      <c r="E7393" t="str">
        <f>VLOOKUP(C7393,Меню!A:E,4,0)</f>
        <v>Салат</v>
      </c>
      <c r="F7393">
        <f>VLOOKUP(C7393,Меню!A:E,5,0)</f>
        <v>250</v>
      </c>
    </row>
    <row r="7394" spans="1:6" ht="15.75" hidden="1" customHeight="1" x14ac:dyDescent="0.35">
      <c r="A7394" s="1">
        <v>7393</v>
      </c>
      <c r="B7394" s="1">
        <v>1473</v>
      </c>
      <c r="C7394" s="1">
        <v>8</v>
      </c>
      <c r="D7394" t="str">
        <f>VLOOKUP(B7394,Заказы!A:C,3,0)</f>
        <v>2024-02-29 22:14:00</v>
      </c>
      <c r="E7394" t="str">
        <f>VLOOKUP(C7394,Меню!A:E,4,0)</f>
        <v>Завтрак</v>
      </c>
      <c r="F7394">
        <f>VLOOKUP(C7394,Меню!A:E,5,0)</f>
        <v>180</v>
      </c>
    </row>
    <row r="7395" spans="1:6" ht="15.75" hidden="1" customHeight="1" x14ac:dyDescent="0.35">
      <c r="A7395" s="1">
        <v>7394</v>
      </c>
      <c r="B7395" s="1">
        <v>1473</v>
      </c>
      <c r="C7395" s="1">
        <v>14</v>
      </c>
      <c r="D7395" t="str">
        <f>VLOOKUP(B7395,Заказы!A:C,3,0)</f>
        <v>2024-02-29 22:14:00</v>
      </c>
      <c r="E7395" t="str">
        <f>VLOOKUP(C7395,Меню!A:E,4,0)</f>
        <v>Первое</v>
      </c>
      <c r="F7395">
        <f>VLOOKUP(C7395,Меню!A:E,5,0)</f>
        <v>350</v>
      </c>
    </row>
    <row r="7396" spans="1:6" ht="15.75" hidden="1" customHeight="1" x14ac:dyDescent="0.35">
      <c r="A7396" s="1">
        <v>7395</v>
      </c>
      <c r="B7396" s="1">
        <v>1473</v>
      </c>
      <c r="C7396" s="1">
        <v>32</v>
      </c>
      <c r="D7396" t="str">
        <f>VLOOKUP(B7396,Заказы!A:C,3,0)</f>
        <v>2024-02-29 22:14:00</v>
      </c>
      <c r="E7396" t="str">
        <f>VLOOKUP(C7396,Меню!A:E,4,0)</f>
        <v>Десерт</v>
      </c>
      <c r="F7396">
        <f>VLOOKUP(C7396,Меню!A:E,5,0)</f>
        <v>150</v>
      </c>
    </row>
    <row r="7397" spans="1:6" ht="15.75" hidden="1" customHeight="1" x14ac:dyDescent="0.35">
      <c r="A7397" s="1">
        <v>7396</v>
      </c>
      <c r="B7397" s="1">
        <v>1473</v>
      </c>
      <c r="C7397" s="1">
        <v>4</v>
      </c>
      <c r="D7397" t="str">
        <f>VLOOKUP(B7397,Заказы!A:C,3,0)</f>
        <v>2024-02-29 22:14:00</v>
      </c>
      <c r="E7397" t="str">
        <f>VLOOKUP(C7397,Меню!A:E,4,0)</f>
        <v>Завтрак</v>
      </c>
      <c r="F7397">
        <f>VLOOKUP(C7397,Меню!A:E,5,0)</f>
        <v>180</v>
      </c>
    </row>
    <row r="7398" spans="1:6" ht="15.75" hidden="1" customHeight="1" x14ac:dyDescent="0.35">
      <c r="A7398" s="1">
        <v>7397</v>
      </c>
      <c r="B7398" s="1">
        <v>1474</v>
      </c>
      <c r="C7398" s="1">
        <v>28</v>
      </c>
      <c r="D7398" t="str">
        <f>VLOOKUP(B7398,Заказы!A:C,3,0)</f>
        <v>2024-02-29 22:54:00</v>
      </c>
      <c r="E7398" t="str">
        <f>VLOOKUP(C7398,Меню!A:E,4,0)</f>
        <v>Салат</v>
      </c>
      <c r="F7398">
        <f>VLOOKUP(C7398,Меню!A:E,5,0)</f>
        <v>250</v>
      </c>
    </row>
    <row r="7399" spans="1:6" ht="15.75" hidden="1" customHeight="1" x14ac:dyDescent="0.35">
      <c r="A7399" s="1">
        <v>7398</v>
      </c>
      <c r="B7399" s="1">
        <v>1474</v>
      </c>
      <c r="C7399" s="1">
        <v>51</v>
      </c>
      <c r="D7399" t="str">
        <f>VLOOKUP(B7399,Заказы!A:C,3,0)</f>
        <v>2024-02-29 22:54:00</v>
      </c>
      <c r="E7399" t="str">
        <f>VLOOKUP(C7399,Меню!A:E,4,0)</f>
        <v>Суши</v>
      </c>
      <c r="F7399">
        <f>VLOOKUP(C7399,Меню!A:E,5,0)</f>
        <v>100</v>
      </c>
    </row>
    <row r="7400" spans="1:6" ht="15.75" hidden="1" customHeight="1" x14ac:dyDescent="0.35">
      <c r="A7400" s="1">
        <v>7399</v>
      </c>
      <c r="B7400" s="1">
        <v>1474</v>
      </c>
      <c r="C7400" s="1">
        <v>56</v>
      </c>
      <c r="D7400" t="str">
        <f>VLOOKUP(B7400,Заказы!A:C,3,0)</f>
        <v>2024-02-29 22:54:00</v>
      </c>
      <c r="E7400" t="str">
        <f>VLOOKUP(C7400,Меню!A:E,4,0)</f>
        <v>Суши</v>
      </c>
      <c r="F7400">
        <f>VLOOKUP(C7400,Меню!A:E,5,0)</f>
        <v>200</v>
      </c>
    </row>
    <row r="7401" spans="1:6" ht="15.75" hidden="1" customHeight="1" x14ac:dyDescent="0.35">
      <c r="A7401" s="1">
        <v>7400</v>
      </c>
      <c r="B7401" s="1">
        <v>1474</v>
      </c>
      <c r="C7401" s="1">
        <v>37</v>
      </c>
      <c r="D7401" t="str">
        <f>VLOOKUP(B7401,Заказы!A:C,3,0)</f>
        <v>2024-02-29 22:54:00</v>
      </c>
      <c r="E7401" t="str">
        <f>VLOOKUP(C7401,Меню!A:E,4,0)</f>
        <v>Десерт</v>
      </c>
      <c r="F7401">
        <f>VLOOKUP(C7401,Меню!A:E,5,0)</f>
        <v>100</v>
      </c>
    </row>
    <row r="7402" spans="1:6" ht="15.75" hidden="1" customHeight="1" x14ac:dyDescent="0.35">
      <c r="A7402" s="1">
        <v>7401</v>
      </c>
      <c r="B7402" s="1">
        <v>1474</v>
      </c>
      <c r="C7402" s="1">
        <v>28</v>
      </c>
      <c r="D7402" t="str">
        <f>VLOOKUP(B7402,Заказы!A:C,3,0)</f>
        <v>2024-02-29 22:54:00</v>
      </c>
      <c r="E7402" t="str">
        <f>VLOOKUP(C7402,Меню!A:E,4,0)</f>
        <v>Салат</v>
      </c>
      <c r="F7402">
        <f>VLOOKUP(C7402,Меню!A:E,5,0)</f>
        <v>250</v>
      </c>
    </row>
    <row r="7403" spans="1:6" ht="15.75" hidden="1" customHeight="1" x14ac:dyDescent="0.35">
      <c r="A7403" s="1">
        <v>7402</v>
      </c>
      <c r="B7403" s="1">
        <v>1474</v>
      </c>
      <c r="C7403" s="1">
        <v>59</v>
      </c>
      <c r="D7403" t="str">
        <f>VLOOKUP(B7403,Заказы!A:C,3,0)</f>
        <v>2024-02-29 22:54:00</v>
      </c>
      <c r="E7403" t="str">
        <f>VLOOKUP(C7403,Меню!A:E,4,0)</f>
        <v>Суши</v>
      </c>
      <c r="F7403">
        <f>VLOOKUP(C7403,Меню!A:E,5,0)</f>
        <v>300</v>
      </c>
    </row>
    <row r="7404" spans="1:6" ht="15.75" hidden="1" customHeight="1" x14ac:dyDescent="0.35">
      <c r="A7404" s="1">
        <v>7403</v>
      </c>
      <c r="B7404" s="1">
        <v>1474</v>
      </c>
      <c r="C7404" s="1">
        <v>42</v>
      </c>
      <c r="D7404" t="str">
        <f>VLOOKUP(B7404,Заказы!A:C,3,0)</f>
        <v>2024-02-29 22:54:00</v>
      </c>
      <c r="E7404" t="str">
        <f>VLOOKUP(C7404,Меню!A:E,4,0)</f>
        <v>Суши</v>
      </c>
      <c r="F7404">
        <f>VLOOKUP(C7404,Меню!A:E,5,0)</f>
        <v>250</v>
      </c>
    </row>
    <row r="7405" spans="1:6" ht="15.75" hidden="1" customHeight="1" x14ac:dyDescent="0.35">
      <c r="A7405" s="1">
        <v>7404</v>
      </c>
      <c r="B7405" s="1">
        <v>1475</v>
      </c>
      <c r="C7405" s="1">
        <v>14</v>
      </c>
      <c r="D7405" t="str">
        <f>VLOOKUP(B7405,Заказы!A:C,3,0)</f>
        <v>2024-03-01 16:16:00</v>
      </c>
      <c r="E7405" t="str">
        <f>VLOOKUP(C7405,Меню!A:E,4,0)</f>
        <v>Первое</v>
      </c>
      <c r="F7405">
        <f>VLOOKUP(C7405,Меню!A:E,5,0)</f>
        <v>350</v>
      </c>
    </row>
    <row r="7406" spans="1:6" ht="15.75" hidden="1" customHeight="1" x14ac:dyDescent="0.35">
      <c r="A7406" s="1">
        <v>7405</v>
      </c>
      <c r="B7406" s="1">
        <v>1475</v>
      </c>
      <c r="C7406" s="1">
        <v>15</v>
      </c>
      <c r="D7406" t="str">
        <f>VLOOKUP(B7406,Заказы!A:C,3,0)</f>
        <v>2024-03-01 16:16:00</v>
      </c>
      <c r="E7406" t="str">
        <f>VLOOKUP(C7406,Меню!A:E,4,0)</f>
        <v>Первое</v>
      </c>
      <c r="F7406">
        <f>VLOOKUP(C7406,Меню!A:E,5,0)</f>
        <v>250</v>
      </c>
    </row>
    <row r="7407" spans="1:6" ht="15.75" hidden="1" customHeight="1" x14ac:dyDescent="0.35">
      <c r="A7407" s="1">
        <v>7406</v>
      </c>
      <c r="B7407" s="1">
        <v>1475</v>
      </c>
      <c r="C7407" s="1">
        <v>36</v>
      </c>
      <c r="D7407" t="str">
        <f>VLOOKUP(B7407,Заказы!A:C,3,0)</f>
        <v>2024-03-01 16:16:00</v>
      </c>
      <c r="E7407" t="str">
        <f>VLOOKUP(C7407,Меню!A:E,4,0)</f>
        <v>Десерт</v>
      </c>
      <c r="F7407">
        <f>VLOOKUP(C7407,Меню!A:E,5,0)</f>
        <v>150</v>
      </c>
    </row>
    <row r="7408" spans="1:6" ht="15.75" hidden="1" customHeight="1" x14ac:dyDescent="0.35">
      <c r="A7408" s="1">
        <v>7407</v>
      </c>
      <c r="B7408" s="1">
        <v>1475</v>
      </c>
      <c r="C7408" s="1">
        <v>49</v>
      </c>
      <c r="D7408" t="str">
        <f>VLOOKUP(B7408,Заказы!A:C,3,0)</f>
        <v>2024-03-01 16:16:00</v>
      </c>
      <c r="E7408" t="str">
        <f>VLOOKUP(C7408,Меню!A:E,4,0)</f>
        <v>Суши</v>
      </c>
      <c r="F7408">
        <f>VLOOKUP(C7408,Меню!A:E,5,0)</f>
        <v>200</v>
      </c>
    </row>
    <row r="7409" spans="1:6" ht="15.75" hidden="1" customHeight="1" x14ac:dyDescent="0.35">
      <c r="A7409" s="1">
        <v>7408</v>
      </c>
      <c r="B7409" s="1">
        <v>1475</v>
      </c>
      <c r="C7409" s="1">
        <v>58</v>
      </c>
      <c r="D7409" t="str">
        <f>VLOOKUP(B7409,Заказы!A:C,3,0)</f>
        <v>2024-03-01 16:16:00</v>
      </c>
      <c r="E7409" t="str">
        <f>VLOOKUP(C7409,Меню!A:E,4,0)</f>
        <v>Суши</v>
      </c>
      <c r="F7409">
        <f>VLOOKUP(C7409,Меню!A:E,5,0)</f>
        <v>200</v>
      </c>
    </row>
    <row r="7410" spans="1:6" ht="15.75" hidden="1" customHeight="1" x14ac:dyDescent="0.35">
      <c r="A7410" s="1">
        <v>7409</v>
      </c>
      <c r="B7410" s="1">
        <v>1475</v>
      </c>
      <c r="C7410" s="1">
        <v>16</v>
      </c>
      <c r="D7410" t="str">
        <f>VLOOKUP(B7410,Заказы!A:C,3,0)</f>
        <v>2024-03-01 16:16:00</v>
      </c>
      <c r="E7410" t="str">
        <f>VLOOKUP(C7410,Меню!A:E,4,0)</f>
        <v>Первое</v>
      </c>
      <c r="F7410">
        <f>VLOOKUP(C7410,Меню!A:E,5,0)</f>
        <v>250</v>
      </c>
    </row>
    <row r="7411" spans="1:6" ht="15.75" hidden="1" customHeight="1" x14ac:dyDescent="0.35">
      <c r="A7411" s="1">
        <v>7410</v>
      </c>
      <c r="B7411" s="1">
        <v>1475</v>
      </c>
      <c r="C7411" s="1">
        <v>1</v>
      </c>
      <c r="D7411" t="str">
        <f>VLOOKUP(B7411,Заказы!A:C,3,0)</f>
        <v>2024-03-01 16:16:00</v>
      </c>
      <c r="E7411" t="str">
        <f>VLOOKUP(C7411,Меню!A:E,4,0)</f>
        <v>Завтрак</v>
      </c>
      <c r="F7411">
        <f>VLOOKUP(C7411,Меню!A:E,5,0)</f>
        <v>200</v>
      </c>
    </row>
    <row r="7412" spans="1:6" ht="15.75" hidden="1" customHeight="1" x14ac:dyDescent="0.35">
      <c r="A7412" s="1">
        <v>7411</v>
      </c>
      <c r="B7412" s="1">
        <v>1475</v>
      </c>
      <c r="C7412" s="1">
        <v>16</v>
      </c>
      <c r="D7412" t="str">
        <f>VLOOKUP(B7412,Заказы!A:C,3,0)</f>
        <v>2024-03-01 16:16:00</v>
      </c>
      <c r="E7412" t="str">
        <f>VLOOKUP(C7412,Меню!A:E,4,0)</f>
        <v>Первое</v>
      </c>
      <c r="F7412">
        <f>VLOOKUP(C7412,Меню!A:E,5,0)</f>
        <v>250</v>
      </c>
    </row>
    <row r="7413" spans="1:6" ht="15.75" hidden="1" customHeight="1" x14ac:dyDescent="0.35">
      <c r="A7413" s="1">
        <v>7412</v>
      </c>
      <c r="B7413" s="1">
        <v>1476</v>
      </c>
      <c r="C7413" s="1">
        <v>12</v>
      </c>
      <c r="D7413" t="str">
        <f>VLOOKUP(B7413,Заказы!A:C,3,0)</f>
        <v>2024-03-01 17:26:00</v>
      </c>
      <c r="E7413" t="str">
        <f>VLOOKUP(C7413,Меню!A:E,4,0)</f>
        <v>Первое</v>
      </c>
      <c r="F7413">
        <f>VLOOKUP(C7413,Меню!A:E,5,0)</f>
        <v>300</v>
      </c>
    </row>
    <row r="7414" spans="1:6" ht="15.75" hidden="1" customHeight="1" x14ac:dyDescent="0.35">
      <c r="A7414" s="1">
        <v>7413</v>
      </c>
      <c r="B7414" s="1">
        <v>1476</v>
      </c>
      <c r="C7414" s="1">
        <v>58</v>
      </c>
      <c r="D7414" t="str">
        <f>VLOOKUP(B7414,Заказы!A:C,3,0)</f>
        <v>2024-03-01 17:26:00</v>
      </c>
      <c r="E7414" t="str">
        <f>VLOOKUP(C7414,Меню!A:E,4,0)</f>
        <v>Суши</v>
      </c>
      <c r="F7414">
        <f>VLOOKUP(C7414,Меню!A:E,5,0)</f>
        <v>200</v>
      </c>
    </row>
    <row r="7415" spans="1:6" ht="15.75" hidden="1" customHeight="1" x14ac:dyDescent="0.35">
      <c r="A7415" s="1">
        <v>7414</v>
      </c>
      <c r="B7415" s="1">
        <v>1476</v>
      </c>
      <c r="C7415" s="1">
        <v>37</v>
      </c>
      <c r="D7415" t="str">
        <f>VLOOKUP(B7415,Заказы!A:C,3,0)</f>
        <v>2024-03-01 17:26:00</v>
      </c>
      <c r="E7415" t="str">
        <f>VLOOKUP(C7415,Меню!A:E,4,0)</f>
        <v>Десерт</v>
      </c>
      <c r="F7415">
        <f>VLOOKUP(C7415,Меню!A:E,5,0)</f>
        <v>100</v>
      </c>
    </row>
    <row r="7416" spans="1:6" ht="15.75" hidden="1" customHeight="1" x14ac:dyDescent="0.35">
      <c r="A7416" s="1">
        <v>7415</v>
      </c>
      <c r="B7416" s="1">
        <v>1476</v>
      </c>
      <c r="C7416" s="1">
        <v>47</v>
      </c>
      <c r="D7416" t="str">
        <f>VLOOKUP(B7416,Заказы!A:C,3,0)</f>
        <v>2024-03-01 17:26:00</v>
      </c>
      <c r="E7416" t="str">
        <f>VLOOKUP(C7416,Меню!A:E,4,0)</f>
        <v>Суши</v>
      </c>
      <c r="F7416">
        <f>VLOOKUP(C7416,Меню!A:E,5,0)</f>
        <v>200</v>
      </c>
    </row>
    <row r="7417" spans="1:6" ht="15.75" hidden="1" customHeight="1" x14ac:dyDescent="0.35">
      <c r="A7417" s="1">
        <v>7416</v>
      </c>
      <c r="B7417" s="1">
        <v>1476</v>
      </c>
      <c r="C7417" s="1">
        <v>26</v>
      </c>
      <c r="D7417" t="str">
        <f>VLOOKUP(B7417,Заказы!A:C,3,0)</f>
        <v>2024-03-01 17:26:00</v>
      </c>
      <c r="E7417" t="str">
        <f>VLOOKUP(C7417,Меню!A:E,4,0)</f>
        <v>Салат</v>
      </c>
      <c r="F7417">
        <f>VLOOKUP(C7417,Меню!A:E,5,0)</f>
        <v>250</v>
      </c>
    </row>
    <row r="7418" spans="1:6" ht="15.75" hidden="1" customHeight="1" x14ac:dyDescent="0.35">
      <c r="A7418" s="1">
        <v>7417</v>
      </c>
      <c r="B7418" s="1">
        <v>1476</v>
      </c>
      <c r="C7418" s="1">
        <v>21</v>
      </c>
      <c r="D7418" t="str">
        <f>VLOOKUP(B7418,Заказы!A:C,3,0)</f>
        <v>2024-03-01 17:26:00</v>
      </c>
      <c r="E7418" t="str">
        <f>VLOOKUP(C7418,Меню!A:E,4,0)</f>
        <v>Салат</v>
      </c>
      <c r="F7418">
        <f>VLOOKUP(C7418,Меню!A:E,5,0)</f>
        <v>250</v>
      </c>
    </row>
    <row r="7419" spans="1:6" ht="15.75" hidden="1" customHeight="1" x14ac:dyDescent="0.35">
      <c r="A7419" s="1">
        <v>7418</v>
      </c>
      <c r="B7419" s="1">
        <v>1476</v>
      </c>
      <c r="C7419" s="1">
        <v>29</v>
      </c>
      <c r="D7419" t="str">
        <f>VLOOKUP(B7419,Заказы!A:C,3,0)</f>
        <v>2024-03-01 17:26:00</v>
      </c>
      <c r="E7419" t="str">
        <f>VLOOKUP(C7419,Меню!A:E,4,0)</f>
        <v>Салат</v>
      </c>
      <c r="F7419">
        <f>VLOOKUP(C7419,Меню!A:E,5,0)</f>
        <v>250</v>
      </c>
    </row>
    <row r="7420" spans="1:6" ht="15.75" hidden="1" customHeight="1" x14ac:dyDescent="0.35">
      <c r="A7420" s="1">
        <v>7419</v>
      </c>
      <c r="B7420" s="1">
        <v>1476</v>
      </c>
      <c r="C7420" s="1">
        <v>37</v>
      </c>
      <c r="D7420" t="str">
        <f>VLOOKUP(B7420,Заказы!A:C,3,0)</f>
        <v>2024-03-01 17:26:00</v>
      </c>
      <c r="E7420" t="str">
        <f>VLOOKUP(C7420,Меню!A:E,4,0)</f>
        <v>Десерт</v>
      </c>
      <c r="F7420">
        <f>VLOOKUP(C7420,Меню!A:E,5,0)</f>
        <v>100</v>
      </c>
    </row>
    <row r="7421" spans="1:6" ht="15.75" hidden="1" customHeight="1" x14ac:dyDescent="0.35">
      <c r="A7421" s="1">
        <v>7420</v>
      </c>
      <c r="B7421" s="1">
        <v>1477</v>
      </c>
      <c r="C7421" s="1">
        <v>56</v>
      </c>
      <c r="D7421" t="str">
        <f>VLOOKUP(B7421,Заказы!A:C,3,0)</f>
        <v>2024-03-01 18:30:00</v>
      </c>
      <c r="E7421" t="str">
        <f>VLOOKUP(C7421,Меню!A:E,4,0)</f>
        <v>Суши</v>
      </c>
      <c r="F7421">
        <f>VLOOKUP(C7421,Меню!A:E,5,0)</f>
        <v>200</v>
      </c>
    </row>
    <row r="7422" spans="1:6" ht="15.75" hidden="1" customHeight="1" x14ac:dyDescent="0.35">
      <c r="A7422" s="1">
        <v>7421</v>
      </c>
      <c r="B7422" s="1">
        <v>1477</v>
      </c>
      <c r="C7422" s="1">
        <v>23</v>
      </c>
      <c r="D7422" t="str">
        <f>VLOOKUP(B7422,Заказы!A:C,3,0)</f>
        <v>2024-03-01 18:30:00</v>
      </c>
      <c r="E7422" t="str">
        <f>VLOOKUP(C7422,Меню!A:E,4,0)</f>
        <v>Салат</v>
      </c>
      <c r="F7422">
        <f>VLOOKUP(C7422,Меню!A:E,5,0)</f>
        <v>250</v>
      </c>
    </row>
    <row r="7423" spans="1:6" ht="15.75" hidden="1" customHeight="1" x14ac:dyDescent="0.35">
      <c r="A7423" s="1">
        <v>7422</v>
      </c>
      <c r="B7423" s="1">
        <v>1477</v>
      </c>
      <c r="C7423" s="1">
        <v>1</v>
      </c>
      <c r="D7423" t="str">
        <f>VLOOKUP(B7423,Заказы!A:C,3,0)</f>
        <v>2024-03-01 18:30:00</v>
      </c>
      <c r="E7423" t="str">
        <f>VLOOKUP(C7423,Меню!A:E,4,0)</f>
        <v>Завтрак</v>
      </c>
      <c r="F7423">
        <f>VLOOKUP(C7423,Меню!A:E,5,0)</f>
        <v>200</v>
      </c>
    </row>
    <row r="7424" spans="1:6" ht="15.75" hidden="1" customHeight="1" x14ac:dyDescent="0.35">
      <c r="A7424" s="1">
        <v>7423</v>
      </c>
      <c r="B7424" s="1">
        <v>1477</v>
      </c>
      <c r="C7424" s="1">
        <v>48</v>
      </c>
      <c r="D7424" t="str">
        <f>VLOOKUP(B7424,Заказы!A:C,3,0)</f>
        <v>2024-03-01 18:30:00</v>
      </c>
      <c r="E7424" t="str">
        <f>VLOOKUP(C7424,Меню!A:E,4,0)</f>
        <v>Суши</v>
      </c>
      <c r="F7424">
        <f>VLOOKUP(C7424,Меню!A:E,5,0)</f>
        <v>200</v>
      </c>
    </row>
    <row r="7425" spans="1:6" ht="15.75" hidden="1" customHeight="1" x14ac:dyDescent="0.35">
      <c r="A7425" s="1">
        <v>7424</v>
      </c>
      <c r="B7425" s="1">
        <v>1477</v>
      </c>
      <c r="C7425" s="1">
        <v>4</v>
      </c>
      <c r="D7425" t="str">
        <f>VLOOKUP(B7425,Заказы!A:C,3,0)</f>
        <v>2024-03-01 18:30:00</v>
      </c>
      <c r="E7425" t="str">
        <f>VLOOKUP(C7425,Меню!A:E,4,0)</f>
        <v>Завтрак</v>
      </c>
      <c r="F7425">
        <f>VLOOKUP(C7425,Меню!A:E,5,0)</f>
        <v>180</v>
      </c>
    </row>
    <row r="7426" spans="1:6" ht="15.75" hidden="1" customHeight="1" x14ac:dyDescent="0.35">
      <c r="A7426" s="1">
        <v>7425</v>
      </c>
      <c r="B7426" s="1">
        <v>1478</v>
      </c>
      <c r="C7426" s="1">
        <v>59</v>
      </c>
      <c r="D7426" t="str">
        <f>VLOOKUP(B7426,Заказы!A:C,3,0)</f>
        <v>2024-03-02 15:10:00</v>
      </c>
      <c r="E7426" t="str">
        <f>VLOOKUP(C7426,Меню!A:E,4,0)</f>
        <v>Суши</v>
      </c>
      <c r="F7426">
        <f>VLOOKUP(C7426,Меню!A:E,5,0)</f>
        <v>300</v>
      </c>
    </row>
    <row r="7427" spans="1:6" ht="15.75" hidden="1" customHeight="1" x14ac:dyDescent="0.35">
      <c r="A7427" s="1">
        <v>7426</v>
      </c>
      <c r="B7427" s="1">
        <v>1478</v>
      </c>
      <c r="C7427" s="1">
        <v>47</v>
      </c>
      <c r="D7427" t="str">
        <f>VLOOKUP(B7427,Заказы!A:C,3,0)</f>
        <v>2024-03-02 15:10:00</v>
      </c>
      <c r="E7427" t="str">
        <f>VLOOKUP(C7427,Меню!A:E,4,0)</f>
        <v>Суши</v>
      </c>
      <c r="F7427">
        <f>VLOOKUP(C7427,Меню!A:E,5,0)</f>
        <v>200</v>
      </c>
    </row>
    <row r="7428" spans="1:6" ht="15.75" hidden="1" customHeight="1" x14ac:dyDescent="0.35">
      <c r="A7428" s="1">
        <v>7427</v>
      </c>
      <c r="B7428" s="1">
        <v>1478</v>
      </c>
      <c r="C7428" s="1">
        <v>36</v>
      </c>
      <c r="D7428" t="str">
        <f>VLOOKUP(B7428,Заказы!A:C,3,0)</f>
        <v>2024-03-02 15:10:00</v>
      </c>
      <c r="E7428" t="str">
        <f>VLOOKUP(C7428,Меню!A:E,4,0)</f>
        <v>Десерт</v>
      </c>
      <c r="F7428">
        <f>VLOOKUP(C7428,Меню!A:E,5,0)</f>
        <v>150</v>
      </c>
    </row>
    <row r="7429" spans="1:6" ht="15.75" hidden="1" customHeight="1" x14ac:dyDescent="0.35">
      <c r="A7429" s="1">
        <v>7428</v>
      </c>
      <c r="B7429" s="1">
        <v>1478</v>
      </c>
      <c r="C7429" s="1">
        <v>26</v>
      </c>
      <c r="D7429" t="str">
        <f>VLOOKUP(B7429,Заказы!A:C,3,0)</f>
        <v>2024-03-02 15:10:00</v>
      </c>
      <c r="E7429" t="str">
        <f>VLOOKUP(C7429,Меню!A:E,4,0)</f>
        <v>Салат</v>
      </c>
      <c r="F7429">
        <f>VLOOKUP(C7429,Меню!A:E,5,0)</f>
        <v>250</v>
      </c>
    </row>
    <row r="7430" spans="1:6" ht="15.75" hidden="1" customHeight="1" x14ac:dyDescent="0.35">
      <c r="A7430" s="1">
        <v>7429</v>
      </c>
      <c r="B7430" s="1">
        <v>1478</v>
      </c>
      <c r="C7430" s="1">
        <v>16</v>
      </c>
      <c r="D7430" t="str">
        <f>VLOOKUP(B7430,Заказы!A:C,3,0)</f>
        <v>2024-03-02 15:10:00</v>
      </c>
      <c r="E7430" t="str">
        <f>VLOOKUP(C7430,Меню!A:E,4,0)</f>
        <v>Первое</v>
      </c>
      <c r="F7430">
        <f>VLOOKUP(C7430,Меню!A:E,5,0)</f>
        <v>250</v>
      </c>
    </row>
    <row r="7431" spans="1:6" ht="15.75" hidden="1" customHeight="1" x14ac:dyDescent="0.35">
      <c r="A7431" s="1">
        <v>7430</v>
      </c>
      <c r="B7431" s="1">
        <v>1478</v>
      </c>
      <c r="C7431" s="1">
        <v>25</v>
      </c>
      <c r="D7431" t="str">
        <f>VLOOKUP(B7431,Заказы!A:C,3,0)</f>
        <v>2024-03-02 15:10:00</v>
      </c>
      <c r="E7431" t="str">
        <f>VLOOKUP(C7431,Меню!A:E,4,0)</f>
        <v>Салат</v>
      </c>
      <c r="F7431">
        <f>VLOOKUP(C7431,Меню!A:E,5,0)</f>
        <v>250</v>
      </c>
    </row>
    <row r="7432" spans="1:6" ht="15.75" hidden="1" customHeight="1" x14ac:dyDescent="0.35">
      <c r="A7432" s="1">
        <v>7431</v>
      </c>
      <c r="B7432" s="1">
        <v>1479</v>
      </c>
      <c r="C7432" s="1">
        <v>18</v>
      </c>
      <c r="D7432" t="str">
        <f>VLOOKUP(B7432,Заказы!A:C,3,0)</f>
        <v>2024-03-02 15:40:00</v>
      </c>
      <c r="E7432" t="str">
        <f>VLOOKUP(C7432,Меню!A:E,4,0)</f>
        <v>Первое</v>
      </c>
      <c r="F7432">
        <f>VLOOKUP(C7432,Меню!A:E,5,0)</f>
        <v>300</v>
      </c>
    </row>
    <row r="7433" spans="1:6" ht="15.75" hidden="1" customHeight="1" x14ac:dyDescent="0.35">
      <c r="A7433" s="1">
        <v>7432</v>
      </c>
      <c r="B7433" s="1">
        <v>1479</v>
      </c>
      <c r="C7433" s="1">
        <v>6</v>
      </c>
      <c r="D7433" t="str">
        <f>VLOOKUP(B7433,Заказы!A:C,3,0)</f>
        <v>2024-03-02 15:40:00</v>
      </c>
      <c r="E7433" t="str">
        <f>VLOOKUP(C7433,Меню!A:E,4,0)</f>
        <v>Завтрак</v>
      </c>
      <c r="F7433">
        <f>VLOOKUP(C7433,Меню!A:E,5,0)</f>
        <v>300</v>
      </c>
    </row>
    <row r="7434" spans="1:6" ht="15.75" hidden="1" customHeight="1" x14ac:dyDescent="0.35">
      <c r="A7434" s="1">
        <v>7433</v>
      </c>
      <c r="B7434" s="1">
        <v>1479</v>
      </c>
      <c r="C7434" s="1">
        <v>2</v>
      </c>
      <c r="D7434" t="str">
        <f>VLOOKUP(B7434,Заказы!A:C,3,0)</f>
        <v>2024-03-02 15:40:00</v>
      </c>
      <c r="E7434" t="str">
        <f>VLOOKUP(C7434,Меню!A:E,4,0)</f>
        <v>Завтрак</v>
      </c>
      <c r="F7434">
        <f>VLOOKUP(C7434,Меню!A:E,5,0)</f>
        <v>250</v>
      </c>
    </row>
    <row r="7435" spans="1:6" ht="15.75" hidden="1" customHeight="1" x14ac:dyDescent="0.35">
      <c r="A7435" s="1">
        <v>7434</v>
      </c>
      <c r="B7435" s="1">
        <v>1479</v>
      </c>
      <c r="C7435" s="1">
        <v>58</v>
      </c>
      <c r="D7435" t="str">
        <f>VLOOKUP(B7435,Заказы!A:C,3,0)</f>
        <v>2024-03-02 15:40:00</v>
      </c>
      <c r="E7435" t="str">
        <f>VLOOKUP(C7435,Меню!A:E,4,0)</f>
        <v>Суши</v>
      </c>
      <c r="F7435">
        <f>VLOOKUP(C7435,Меню!A:E,5,0)</f>
        <v>200</v>
      </c>
    </row>
    <row r="7436" spans="1:6" ht="15.75" hidden="1" customHeight="1" x14ac:dyDescent="0.35">
      <c r="A7436" s="1">
        <v>7435</v>
      </c>
      <c r="B7436" s="1">
        <v>1480</v>
      </c>
      <c r="C7436" s="1">
        <v>11</v>
      </c>
      <c r="D7436" t="str">
        <f>VLOOKUP(B7436,Заказы!A:C,3,0)</f>
        <v>2024-03-02 16:05:00</v>
      </c>
      <c r="E7436" t="str">
        <f>VLOOKUP(C7436,Меню!A:E,4,0)</f>
        <v>Первое</v>
      </c>
      <c r="F7436">
        <f>VLOOKUP(C7436,Меню!A:E,5,0)</f>
        <v>300</v>
      </c>
    </row>
    <row r="7437" spans="1:6" ht="15.75" hidden="1" customHeight="1" x14ac:dyDescent="0.35">
      <c r="A7437" s="1">
        <v>7436</v>
      </c>
      <c r="B7437" s="1">
        <v>1480</v>
      </c>
      <c r="C7437" s="1">
        <v>14</v>
      </c>
      <c r="D7437" t="str">
        <f>VLOOKUP(B7437,Заказы!A:C,3,0)</f>
        <v>2024-03-02 16:05:00</v>
      </c>
      <c r="E7437" t="str">
        <f>VLOOKUP(C7437,Меню!A:E,4,0)</f>
        <v>Первое</v>
      </c>
      <c r="F7437">
        <f>VLOOKUP(C7437,Меню!A:E,5,0)</f>
        <v>350</v>
      </c>
    </row>
    <row r="7438" spans="1:6" ht="15.75" hidden="1" customHeight="1" x14ac:dyDescent="0.35">
      <c r="A7438" s="1">
        <v>7437</v>
      </c>
      <c r="B7438" s="1">
        <v>1480</v>
      </c>
      <c r="C7438" s="1">
        <v>3</v>
      </c>
      <c r="D7438" t="str">
        <f>VLOOKUP(B7438,Заказы!A:C,3,0)</f>
        <v>2024-03-02 16:05:00</v>
      </c>
      <c r="E7438" t="str">
        <f>VLOOKUP(C7438,Меню!A:E,4,0)</f>
        <v>Завтрак</v>
      </c>
      <c r="F7438">
        <f>VLOOKUP(C7438,Меню!A:E,5,0)</f>
        <v>150</v>
      </c>
    </row>
    <row r="7439" spans="1:6" ht="15.75" hidden="1" customHeight="1" x14ac:dyDescent="0.35">
      <c r="A7439" s="1">
        <v>7438</v>
      </c>
      <c r="B7439" s="1">
        <v>1480</v>
      </c>
      <c r="C7439" s="1">
        <v>25</v>
      </c>
      <c r="D7439" t="str">
        <f>VLOOKUP(B7439,Заказы!A:C,3,0)</f>
        <v>2024-03-02 16:05:00</v>
      </c>
      <c r="E7439" t="str">
        <f>VLOOKUP(C7439,Меню!A:E,4,0)</f>
        <v>Салат</v>
      </c>
      <c r="F7439">
        <f>VLOOKUP(C7439,Меню!A:E,5,0)</f>
        <v>250</v>
      </c>
    </row>
    <row r="7440" spans="1:6" ht="15.75" hidden="1" customHeight="1" x14ac:dyDescent="0.35">
      <c r="A7440" s="1">
        <v>7439</v>
      </c>
      <c r="B7440" s="1">
        <v>1480</v>
      </c>
      <c r="C7440" s="1">
        <v>55</v>
      </c>
      <c r="D7440" t="str">
        <f>VLOOKUP(B7440,Заказы!A:C,3,0)</f>
        <v>2024-03-02 16:05:00</v>
      </c>
      <c r="E7440" t="str">
        <f>VLOOKUP(C7440,Меню!A:E,4,0)</f>
        <v>Суши</v>
      </c>
      <c r="F7440">
        <f>VLOOKUP(C7440,Меню!A:E,5,0)</f>
        <v>100</v>
      </c>
    </row>
    <row r="7441" spans="1:6" ht="15.75" hidden="1" customHeight="1" x14ac:dyDescent="0.35">
      <c r="A7441" s="1">
        <v>7440</v>
      </c>
      <c r="B7441" s="1">
        <v>1481</v>
      </c>
      <c r="C7441" s="1">
        <v>57</v>
      </c>
      <c r="D7441" t="str">
        <f>VLOOKUP(B7441,Заказы!A:C,3,0)</f>
        <v>2024-03-02 19:11:00</v>
      </c>
      <c r="E7441" t="str">
        <f>VLOOKUP(C7441,Меню!A:E,4,0)</f>
        <v>Суши</v>
      </c>
      <c r="F7441">
        <f>VLOOKUP(C7441,Меню!A:E,5,0)</f>
        <v>200</v>
      </c>
    </row>
    <row r="7442" spans="1:6" ht="15.75" hidden="1" customHeight="1" x14ac:dyDescent="0.35">
      <c r="A7442" s="1">
        <v>7441</v>
      </c>
      <c r="B7442" s="1">
        <v>1481</v>
      </c>
      <c r="C7442" s="1">
        <v>46</v>
      </c>
      <c r="D7442" t="str">
        <f>VLOOKUP(B7442,Заказы!A:C,3,0)</f>
        <v>2024-03-02 19:11:00</v>
      </c>
      <c r="E7442" t="str">
        <f>VLOOKUP(C7442,Меню!A:E,4,0)</f>
        <v>Суши</v>
      </c>
      <c r="F7442">
        <f>VLOOKUP(C7442,Меню!A:E,5,0)</f>
        <v>200</v>
      </c>
    </row>
    <row r="7443" spans="1:6" ht="15.75" hidden="1" customHeight="1" x14ac:dyDescent="0.35">
      <c r="A7443" s="1">
        <v>7442</v>
      </c>
      <c r="B7443" s="1">
        <v>1481</v>
      </c>
      <c r="C7443" s="1">
        <v>46</v>
      </c>
      <c r="D7443" t="str">
        <f>VLOOKUP(B7443,Заказы!A:C,3,0)</f>
        <v>2024-03-02 19:11:00</v>
      </c>
      <c r="E7443" t="str">
        <f>VLOOKUP(C7443,Меню!A:E,4,0)</f>
        <v>Суши</v>
      </c>
      <c r="F7443">
        <f>VLOOKUP(C7443,Меню!A:E,5,0)</f>
        <v>200</v>
      </c>
    </row>
    <row r="7444" spans="1:6" ht="15.75" hidden="1" customHeight="1" x14ac:dyDescent="0.35">
      <c r="A7444" s="1">
        <v>7443</v>
      </c>
      <c r="B7444" s="1">
        <v>1481</v>
      </c>
      <c r="C7444" s="1">
        <v>48</v>
      </c>
      <c r="D7444" t="str">
        <f>VLOOKUP(B7444,Заказы!A:C,3,0)</f>
        <v>2024-03-02 19:11:00</v>
      </c>
      <c r="E7444" t="str">
        <f>VLOOKUP(C7444,Меню!A:E,4,0)</f>
        <v>Суши</v>
      </c>
      <c r="F7444">
        <f>VLOOKUP(C7444,Меню!A:E,5,0)</f>
        <v>200</v>
      </c>
    </row>
    <row r="7445" spans="1:6" ht="15.75" hidden="1" customHeight="1" x14ac:dyDescent="0.35">
      <c r="A7445" s="1">
        <v>7444</v>
      </c>
      <c r="B7445" s="1">
        <v>1481</v>
      </c>
      <c r="C7445" s="1">
        <v>23</v>
      </c>
      <c r="D7445" t="str">
        <f>VLOOKUP(B7445,Заказы!A:C,3,0)</f>
        <v>2024-03-02 19:11:00</v>
      </c>
      <c r="E7445" t="str">
        <f>VLOOKUP(C7445,Меню!A:E,4,0)</f>
        <v>Салат</v>
      </c>
      <c r="F7445">
        <f>VLOOKUP(C7445,Меню!A:E,5,0)</f>
        <v>250</v>
      </c>
    </row>
    <row r="7446" spans="1:6" ht="15.75" hidden="1" customHeight="1" x14ac:dyDescent="0.35">
      <c r="A7446" s="1">
        <v>7445</v>
      </c>
      <c r="B7446" s="1">
        <v>1482</v>
      </c>
      <c r="C7446" s="1">
        <v>55</v>
      </c>
      <c r="D7446" t="str">
        <f>VLOOKUP(B7446,Заказы!A:C,3,0)</f>
        <v>2024-03-02 19:27:00</v>
      </c>
      <c r="E7446" t="str">
        <f>VLOOKUP(C7446,Меню!A:E,4,0)</f>
        <v>Суши</v>
      </c>
      <c r="F7446">
        <f>VLOOKUP(C7446,Меню!A:E,5,0)</f>
        <v>100</v>
      </c>
    </row>
    <row r="7447" spans="1:6" ht="15.75" hidden="1" customHeight="1" x14ac:dyDescent="0.35">
      <c r="A7447" s="1">
        <v>7446</v>
      </c>
      <c r="B7447" s="1">
        <v>1482</v>
      </c>
      <c r="C7447" s="1">
        <v>39</v>
      </c>
      <c r="D7447" t="str">
        <f>VLOOKUP(B7447,Заказы!A:C,3,0)</f>
        <v>2024-03-02 19:27:00</v>
      </c>
      <c r="E7447" t="str">
        <f>VLOOKUP(C7447,Меню!A:E,4,0)</f>
        <v>Десерт</v>
      </c>
      <c r="F7447">
        <f>VLOOKUP(C7447,Меню!A:E,5,0)</f>
        <v>150</v>
      </c>
    </row>
    <row r="7448" spans="1:6" ht="15.75" hidden="1" customHeight="1" x14ac:dyDescent="0.35">
      <c r="A7448" s="1">
        <v>7447</v>
      </c>
      <c r="B7448" s="1">
        <v>1482</v>
      </c>
      <c r="C7448" s="1">
        <v>14</v>
      </c>
      <c r="D7448" t="str">
        <f>VLOOKUP(B7448,Заказы!A:C,3,0)</f>
        <v>2024-03-02 19:27:00</v>
      </c>
      <c r="E7448" t="str">
        <f>VLOOKUP(C7448,Меню!A:E,4,0)</f>
        <v>Первое</v>
      </c>
      <c r="F7448">
        <f>VLOOKUP(C7448,Меню!A:E,5,0)</f>
        <v>350</v>
      </c>
    </row>
    <row r="7449" spans="1:6" ht="15.75" hidden="1" customHeight="1" x14ac:dyDescent="0.35">
      <c r="A7449" s="1">
        <v>7448</v>
      </c>
      <c r="B7449" s="1">
        <v>1482</v>
      </c>
      <c r="C7449" s="1">
        <v>52</v>
      </c>
      <c r="D7449" t="str">
        <f>VLOOKUP(B7449,Заказы!A:C,3,0)</f>
        <v>2024-03-02 19:27:00</v>
      </c>
      <c r="E7449" t="str">
        <f>VLOOKUP(C7449,Меню!A:E,4,0)</f>
        <v>Суши</v>
      </c>
      <c r="F7449">
        <f>VLOOKUP(C7449,Меню!A:E,5,0)</f>
        <v>100</v>
      </c>
    </row>
    <row r="7450" spans="1:6" ht="15.75" hidden="1" customHeight="1" x14ac:dyDescent="0.35">
      <c r="A7450" s="1">
        <v>7449</v>
      </c>
      <c r="B7450" s="1">
        <v>1482</v>
      </c>
      <c r="C7450" s="1">
        <v>44</v>
      </c>
      <c r="D7450" t="str">
        <f>VLOOKUP(B7450,Заказы!A:C,3,0)</f>
        <v>2024-03-02 19:27:00</v>
      </c>
      <c r="E7450" t="str">
        <f>VLOOKUP(C7450,Меню!A:E,4,0)</f>
        <v>Суши</v>
      </c>
      <c r="F7450">
        <f>VLOOKUP(C7450,Меню!A:E,5,0)</f>
        <v>250</v>
      </c>
    </row>
    <row r="7451" spans="1:6" ht="15.75" hidden="1" customHeight="1" x14ac:dyDescent="0.35">
      <c r="A7451" s="1">
        <v>7450</v>
      </c>
      <c r="B7451" s="1">
        <v>1482</v>
      </c>
      <c r="C7451" s="1">
        <v>59</v>
      </c>
      <c r="D7451" t="str">
        <f>VLOOKUP(B7451,Заказы!A:C,3,0)</f>
        <v>2024-03-02 19:27:00</v>
      </c>
      <c r="E7451" t="str">
        <f>VLOOKUP(C7451,Меню!A:E,4,0)</f>
        <v>Суши</v>
      </c>
      <c r="F7451">
        <f>VLOOKUP(C7451,Меню!A:E,5,0)</f>
        <v>300</v>
      </c>
    </row>
    <row r="7452" spans="1:6" ht="15.75" hidden="1" customHeight="1" x14ac:dyDescent="0.35">
      <c r="A7452" s="1">
        <v>7451</v>
      </c>
      <c r="B7452" s="1">
        <v>1483</v>
      </c>
      <c r="C7452" s="1">
        <v>46</v>
      </c>
      <c r="D7452" t="str">
        <f>VLOOKUP(B7452,Заказы!A:C,3,0)</f>
        <v>2024-03-03 15:16:00</v>
      </c>
      <c r="E7452" t="str">
        <f>VLOOKUP(C7452,Меню!A:E,4,0)</f>
        <v>Суши</v>
      </c>
      <c r="F7452">
        <f>VLOOKUP(C7452,Меню!A:E,5,0)</f>
        <v>200</v>
      </c>
    </row>
    <row r="7453" spans="1:6" ht="15.75" hidden="1" customHeight="1" x14ac:dyDescent="0.35">
      <c r="A7453" s="1">
        <v>7452</v>
      </c>
      <c r="B7453" s="1">
        <v>1483</v>
      </c>
      <c r="C7453" s="1">
        <v>2</v>
      </c>
      <c r="D7453" t="str">
        <f>VLOOKUP(B7453,Заказы!A:C,3,0)</f>
        <v>2024-03-03 15:16:00</v>
      </c>
      <c r="E7453" t="str">
        <f>VLOOKUP(C7453,Меню!A:E,4,0)</f>
        <v>Завтрак</v>
      </c>
      <c r="F7453">
        <f>VLOOKUP(C7453,Меню!A:E,5,0)</f>
        <v>250</v>
      </c>
    </row>
    <row r="7454" spans="1:6" ht="15.75" hidden="1" customHeight="1" x14ac:dyDescent="0.35">
      <c r="A7454" s="1">
        <v>7453</v>
      </c>
      <c r="B7454" s="1">
        <v>1483</v>
      </c>
      <c r="C7454" s="1">
        <v>27</v>
      </c>
      <c r="D7454" t="str">
        <f>VLOOKUP(B7454,Заказы!A:C,3,0)</f>
        <v>2024-03-03 15:16:00</v>
      </c>
      <c r="E7454" t="str">
        <f>VLOOKUP(C7454,Меню!A:E,4,0)</f>
        <v>Салат</v>
      </c>
      <c r="F7454">
        <f>VLOOKUP(C7454,Меню!A:E,5,0)</f>
        <v>250</v>
      </c>
    </row>
    <row r="7455" spans="1:6" ht="15.75" hidden="1" customHeight="1" x14ac:dyDescent="0.35">
      <c r="A7455" s="1">
        <v>7454</v>
      </c>
      <c r="B7455" s="1">
        <v>1484</v>
      </c>
      <c r="C7455" s="1">
        <v>18</v>
      </c>
      <c r="D7455" t="str">
        <f>VLOOKUP(B7455,Заказы!A:C,3,0)</f>
        <v>2024-03-03 16:30:00</v>
      </c>
      <c r="E7455" t="str">
        <f>VLOOKUP(C7455,Меню!A:E,4,0)</f>
        <v>Первое</v>
      </c>
      <c r="F7455">
        <f>VLOOKUP(C7455,Меню!A:E,5,0)</f>
        <v>300</v>
      </c>
    </row>
    <row r="7456" spans="1:6" ht="15.75" hidden="1" customHeight="1" x14ac:dyDescent="0.35">
      <c r="A7456" s="1">
        <v>7455</v>
      </c>
      <c r="B7456" s="1">
        <v>1484</v>
      </c>
      <c r="C7456" s="1">
        <v>29</v>
      </c>
      <c r="D7456" t="str">
        <f>VLOOKUP(B7456,Заказы!A:C,3,0)</f>
        <v>2024-03-03 16:30:00</v>
      </c>
      <c r="E7456" t="str">
        <f>VLOOKUP(C7456,Меню!A:E,4,0)</f>
        <v>Салат</v>
      </c>
      <c r="F7456">
        <f>VLOOKUP(C7456,Меню!A:E,5,0)</f>
        <v>250</v>
      </c>
    </row>
    <row r="7457" spans="1:6" ht="15.75" hidden="1" customHeight="1" x14ac:dyDescent="0.35">
      <c r="A7457" s="1">
        <v>7456</v>
      </c>
      <c r="B7457" s="1">
        <v>1484</v>
      </c>
      <c r="C7457" s="1">
        <v>49</v>
      </c>
      <c r="D7457" t="str">
        <f>VLOOKUP(B7457,Заказы!A:C,3,0)</f>
        <v>2024-03-03 16:30:00</v>
      </c>
      <c r="E7457" t="str">
        <f>VLOOKUP(C7457,Меню!A:E,4,0)</f>
        <v>Суши</v>
      </c>
      <c r="F7457">
        <f>VLOOKUP(C7457,Меню!A:E,5,0)</f>
        <v>200</v>
      </c>
    </row>
    <row r="7458" spans="1:6" ht="15.75" hidden="1" customHeight="1" x14ac:dyDescent="0.35">
      <c r="A7458" s="1">
        <v>7457</v>
      </c>
      <c r="B7458" s="1">
        <v>1484</v>
      </c>
      <c r="C7458" s="1">
        <v>26</v>
      </c>
      <c r="D7458" t="str">
        <f>VLOOKUP(B7458,Заказы!A:C,3,0)</f>
        <v>2024-03-03 16:30:00</v>
      </c>
      <c r="E7458" t="str">
        <f>VLOOKUP(C7458,Меню!A:E,4,0)</f>
        <v>Салат</v>
      </c>
      <c r="F7458">
        <f>VLOOKUP(C7458,Меню!A:E,5,0)</f>
        <v>250</v>
      </c>
    </row>
    <row r="7459" spans="1:6" ht="15.75" hidden="1" customHeight="1" x14ac:dyDescent="0.35">
      <c r="A7459" s="1">
        <v>7458</v>
      </c>
      <c r="B7459" s="1">
        <v>1484</v>
      </c>
      <c r="C7459" s="1">
        <v>14</v>
      </c>
      <c r="D7459" t="str">
        <f>VLOOKUP(B7459,Заказы!A:C,3,0)</f>
        <v>2024-03-03 16:30:00</v>
      </c>
      <c r="E7459" t="str">
        <f>VLOOKUP(C7459,Меню!A:E,4,0)</f>
        <v>Первое</v>
      </c>
      <c r="F7459">
        <f>VLOOKUP(C7459,Меню!A:E,5,0)</f>
        <v>350</v>
      </c>
    </row>
    <row r="7460" spans="1:6" ht="15.75" hidden="1" customHeight="1" x14ac:dyDescent="0.35">
      <c r="A7460" s="1">
        <v>7459</v>
      </c>
      <c r="B7460" s="1">
        <v>1484</v>
      </c>
      <c r="C7460" s="1">
        <v>53</v>
      </c>
      <c r="D7460" t="str">
        <f>VLOOKUP(B7460,Заказы!A:C,3,0)</f>
        <v>2024-03-03 16:30:00</v>
      </c>
      <c r="E7460" t="str">
        <f>VLOOKUP(C7460,Меню!A:E,4,0)</f>
        <v>Суши</v>
      </c>
      <c r="F7460">
        <f>VLOOKUP(C7460,Меню!A:E,5,0)</f>
        <v>100</v>
      </c>
    </row>
    <row r="7461" spans="1:6" ht="15.75" hidden="1" customHeight="1" x14ac:dyDescent="0.35">
      <c r="A7461" s="1">
        <v>7460</v>
      </c>
      <c r="B7461" s="1">
        <v>1484</v>
      </c>
      <c r="C7461" s="1">
        <v>29</v>
      </c>
      <c r="D7461" t="str">
        <f>VLOOKUP(B7461,Заказы!A:C,3,0)</f>
        <v>2024-03-03 16:30:00</v>
      </c>
      <c r="E7461" t="str">
        <f>VLOOKUP(C7461,Меню!A:E,4,0)</f>
        <v>Салат</v>
      </c>
      <c r="F7461">
        <f>VLOOKUP(C7461,Меню!A:E,5,0)</f>
        <v>250</v>
      </c>
    </row>
    <row r="7462" spans="1:6" ht="15.75" hidden="1" customHeight="1" x14ac:dyDescent="0.35">
      <c r="A7462" s="1">
        <v>7461</v>
      </c>
      <c r="B7462" s="1">
        <v>1484</v>
      </c>
      <c r="C7462" s="1">
        <v>25</v>
      </c>
      <c r="D7462" t="str">
        <f>VLOOKUP(B7462,Заказы!A:C,3,0)</f>
        <v>2024-03-03 16:30:00</v>
      </c>
      <c r="E7462" t="str">
        <f>VLOOKUP(C7462,Меню!A:E,4,0)</f>
        <v>Салат</v>
      </c>
      <c r="F7462">
        <f>VLOOKUP(C7462,Меню!A:E,5,0)</f>
        <v>250</v>
      </c>
    </row>
    <row r="7463" spans="1:6" ht="15.75" hidden="1" customHeight="1" x14ac:dyDescent="0.35">
      <c r="A7463" s="1">
        <v>7462</v>
      </c>
      <c r="B7463" s="1">
        <v>1484</v>
      </c>
      <c r="C7463" s="1">
        <v>50</v>
      </c>
      <c r="D7463" t="str">
        <f>VLOOKUP(B7463,Заказы!A:C,3,0)</f>
        <v>2024-03-03 16:30:00</v>
      </c>
      <c r="E7463" t="str">
        <f>VLOOKUP(C7463,Меню!A:E,4,0)</f>
        <v>Суши</v>
      </c>
      <c r="F7463">
        <f>VLOOKUP(C7463,Меню!A:E,5,0)</f>
        <v>200</v>
      </c>
    </row>
    <row r="7464" spans="1:6" ht="15.75" hidden="1" customHeight="1" x14ac:dyDescent="0.35">
      <c r="A7464" s="1">
        <v>7463</v>
      </c>
      <c r="B7464" s="1">
        <v>1485</v>
      </c>
      <c r="C7464" s="1">
        <v>8</v>
      </c>
      <c r="D7464" t="str">
        <f>VLOOKUP(B7464,Заказы!A:C,3,0)</f>
        <v>2024-03-03 17:03:00</v>
      </c>
      <c r="E7464" t="str">
        <f>VLOOKUP(C7464,Меню!A:E,4,0)</f>
        <v>Завтрак</v>
      </c>
      <c r="F7464">
        <f>VLOOKUP(C7464,Меню!A:E,5,0)</f>
        <v>180</v>
      </c>
    </row>
    <row r="7465" spans="1:6" ht="15.75" hidden="1" customHeight="1" x14ac:dyDescent="0.35">
      <c r="A7465" s="1">
        <v>7464</v>
      </c>
      <c r="B7465" s="1">
        <v>1485</v>
      </c>
      <c r="C7465" s="1">
        <v>32</v>
      </c>
      <c r="D7465" t="str">
        <f>VLOOKUP(B7465,Заказы!A:C,3,0)</f>
        <v>2024-03-03 17:03:00</v>
      </c>
      <c r="E7465" t="str">
        <f>VLOOKUP(C7465,Меню!A:E,4,0)</f>
        <v>Десерт</v>
      </c>
      <c r="F7465">
        <f>VLOOKUP(C7465,Меню!A:E,5,0)</f>
        <v>150</v>
      </c>
    </row>
    <row r="7466" spans="1:6" ht="15.75" hidden="1" customHeight="1" x14ac:dyDescent="0.35">
      <c r="A7466" s="1">
        <v>7465</v>
      </c>
      <c r="B7466" s="1">
        <v>1485</v>
      </c>
      <c r="C7466" s="1">
        <v>18</v>
      </c>
      <c r="D7466" t="str">
        <f>VLOOKUP(B7466,Заказы!A:C,3,0)</f>
        <v>2024-03-03 17:03:00</v>
      </c>
      <c r="E7466" t="str">
        <f>VLOOKUP(C7466,Меню!A:E,4,0)</f>
        <v>Первое</v>
      </c>
      <c r="F7466">
        <f>VLOOKUP(C7466,Меню!A:E,5,0)</f>
        <v>300</v>
      </c>
    </row>
    <row r="7467" spans="1:6" ht="15.75" hidden="1" customHeight="1" x14ac:dyDescent="0.35">
      <c r="A7467" s="1">
        <v>7466</v>
      </c>
      <c r="B7467" s="1">
        <v>1485</v>
      </c>
      <c r="C7467" s="1">
        <v>36</v>
      </c>
      <c r="D7467" t="str">
        <f>VLOOKUP(B7467,Заказы!A:C,3,0)</f>
        <v>2024-03-03 17:03:00</v>
      </c>
      <c r="E7467" t="str">
        <f>VLOOKUP(C7467,Меню!A:E,4,0)</f>
        <v>Десерт</v>
      </c>
      <c r="F7467">
        <f>VLOOKUP(C7467,Меню!A:E,5,0)</f>
        <v>150</v>
      </c>
    </row>
    <row r="7468" spans="1:6" ht="15.75" hidden="1" customHeight="1" x14ac:dyDescent="0.35">
      <c r="A7468" s="1">
        <v>7467</v>
      </c>
      <c r="B7468" s="1">
        <v>1485</v>
      </c>
      <c r="C7468" s="1">
        <v>41</v>
      </c>
      <c r="D7468" t="str">
        <f>VLOOKUP(B7468,Заказы!A:C,3,0)</f>
        <v>2024-03-03 17:03:00</v>
      </c>
      <c r="E7468" t="str">
        <f>VLOOKUP(C7468,Меню!A:E,4,0)</f>
        <v>Суши</v>
      </c>
      <c r="F7468">
        <f>VLOOKUP(C7468,Меню!A:E,5,0)</f>
        <v>220</v>
      </c>
    </row>
    <row r="7469" spans="1:6" ht="15.75" hidden="1" customHeight="1" x14ac:dyDescent="0.35">
      <c r="A7469" s="1">
        <v>7468</v>
      </c>
      <c r="B7469" s="1">
        <v>1485</v>
      </c>
      <c r="C7469" s="1">
        <v>22</v>
      </c>
      <c r="D7469" t="str">
        <f>VLOOKUP(B7469,Заказы!A:C,3,0)</f>
        <v>2024-03-03 17:03:00</v>
      </c>
      <c r="E7469" t="str">
        <f>VLOOKUP(C7469,Меню!A:E,4,0)</f>
        <v>Салат</v>
      </c>
      <c r="F7469">
        <f>VLOOKUP(C7469,Меню!A:E,5,0)</f>
        <v>250</v>
      </c>
    </row>
    <row r="7470" spans="1:6" ht="15.75" hidden="1" customHeight="1" x14ac:dyDescent="0.35">
      <c r="A7470" s="1">
        <v>7469</v>
      </c>
      <c r="B7470" s="1">
        <v>1485</v>
      </c>
      <c r="C7470" s="1">
        <v>11</v>
      </c>
      <c r="D7470" t="str">
        <f>VLOOKUP(B7470,Заказы!A:C,3,0)</f>
        <v>2024-03-03 17:03:00</v>
      </c>
      <c r="E7470" t="str">
        <f>VLOOKUP(C7470,Меню!A:E,4,0)</f>
        <v>Первое</v>
      </c>
      <c r="F7470">
        <f>VLOOKUP(C7470,Меню!A:E,5,0)</f>
        <v>300</v>
      </c>
    </row>
    <row r="7471" spans="1:6" ht="15.75" hidden="1" customHeight="1" x14ac:dyDescent="0.35">
      <c r="A7471" s="1">
        <v>7470</v>
      </c>
      <c r="B7471" s="1">
        <v>1486</v>
      </c>
      <c r="C7471" s="1">
        <v>56</v>
      </c>
      <c r="D7471" t="str">
        <f>VLOOKUP(B7471,Заказы!A:C,3,0)</f>
        <v>2024-03-03 19:43:00</v>
      </c>
      <c r="E7471" t="str">
        <f>VLOOKUP(C7471,Меню!A:E,4,0)</f>
        <v>Суши</v>
      </c>
      <c r="F7471">
        <f>VLOOKUP(C7471,Меню!A:E,5,0)</f>
        <v>200</v>
      </c>
    </row>
    <row r="7472" spans="1:6" ht="15.75" hidden="1" customHeight="1" x14ac:dyDescent="0.35">
      <c r="A7472" s="1">
        <v>7471</v>
      </c>
      <c r="B7472" s="1">
        <v>1486</v>
      </c>
      <c r="C7472" s="1">
        <v>31</v>
      </c>
      <c r="D7472" t="str">
        <f>VLOOKUP(B7472,Заказы!A:C,3,0)</f>
        <v>2024-03-03 19:43:00</v>
      </c>
      <c r="E7472" t="str">
        <f>VLOOKUP(C7472,Меню!A:E,4,0)</f>
        <v>Десерт</v>
      </c>
      <c r="F7472">
        <f>VLOOKUP(C7472,Меню!A:E,5,0)</f>
        <v>150</v>
      </c>
    </row>
    <row r="7473" spans="1:6" ht="15.75" hidden="1" customHeight="1" x14ac:dyDescent="0.35">
      <c r="A7473" s="1">
        <v>7472</v>
      </c>
      <c r="B7473" s="1">
        <v>1486</v>
      </c>
      <c r="C7473" s="1">
        <v>12</v>
      </c>
      <c r="D7473" t="str">
        <f>VLOOKUP(B7473,Заказы!A:C,3,0)</f>
        <v>2024-03-03 19:43:00</v>
      </c>
      <c r="E7473" t="str">
        <f>VLOOKUP(C7473,Меню!A:E,4,0)</f>
        <v>Первое</v>
      </c>
      <c r="F7473">
        <f>VLOOKUP(C7473,Меню!A:E,5,0)</f>
        <v>300</v>
      </c>
    </row>
    <row r="7474" spans="1:6" ht="15.75" hidden="1" customHeight="1" x14ac:dyDescent="0.35">
      <c r="A7474" s="1">
        <v>7473</v>
      </c>
      <c r="B7474" s="1">
        <v>1486</v>
      </c>
      <c r="C7474" s="1">
        <v>30</v>
      </c>
      <c r="D7474" t="str">
        <f>VLOOKUP(B7474,Заказы!A:C,3,0)</f>
        <v>2024-03-03 19:43:00</v>
      </c>
      <c r="E7474" t="str">
        <f>VLOOKUP(C7474,Меню!A:E,4,0)</f>
        <v>Салат</v>
      </c>
      <c r="F7474">
        <f>VLOOKUP(C7474,Меню!A:E,5,0)</f>
        <v>250</v>
      </c>
    </row>
    <row r="7475" spans="1:6" ht="15.75" hidden="1" customHeight="1" x14ac:dyDescent="0.35">
      <c r="A7475" s="1">
        <v>7474</v>
      </c>
      <c r="B7475" s="1">
        <v>1487</v>
      </c>
      <c r="C7475" s="1">
        <v>20</v>
      </c>
      <c r="D7475" t="str">
        <f>VLOOKUP(B7475,Заказы!A:C,3,0)</f>
        <v>2024-03-03 19:53:00</v>
      </c>
      <c r="E7475" t="str">
        <f>VLOOKUP(C7475,Меню!A:E,4,0)</f>
        <v>Первое</v>
      </c>
      <c r="F7475">
        <f>VLOOKUP(C7475,Меню!A:E,5,0)</f>
        <v>250</v>
      </c>
    </row>
    <row r="7476" spans="1:6" ht="15.75" hidden="1" customHeight="1" x14ac:dyDescent="0.35">
      <c r="A7476" s="1">
        <v>7475</v>
      </c>
      <c r="B7476" s="1">
        <v>1487</v>
      </c>
      <c r="C7476" s="1">
        <v>8</v>
      </c>
      <c r="D7476" t="str">
        <f>VLOOKUP(B7476,Заказы!A:C,3,0)</f>
        <v>2024-03-03 19:53:00</v>
      </c>
      <c r="E7476" t="str">
        <f>VLOOKUP(C7476,Меню!A:E,4,0)</f>
        <v>Завтрак</v>
      </c>
      <c r="F7476">
        <f>VLOOKUP(C7476,Меню!A:E,5,0)</f>
        <v>180</v>
      </c>
    </row>
    <row r="7477" spans="1:6" ht="15.75" hidden="1" customHeight="1" x14ac:dyDescent="0.35">
      <c r="A7477" s="1">
        <v>7476</v>
      </c>
      <c r="B7477" s="1">
        <v>1487</v>
      </c>
      <c r="C7477" s="1">
        <v>20</v>
      </c>
      <c r="D7477" t="str">
        <f>VLOOKUP(B7477,Заказы!A:C,3,0)</f>
        <v>2024-03-03 19:53:00</v>
      </c>
      <c r="E7477" t="str">
        <f>VLOOKUP(C7477,Меню!A:E,4,0)</f>
        <v>Первое</v>
      </c>
      <c r="F7477">
        <f>VLOOKUP(C7477,Меню!A:E,5,0)</f>
        <v>250</v>
      </c>
    </row>
    <row r="7478" spans="1:6" ht="15.75" hidden="1" customHeight="1" x14ac:dyDescent="0.35">
      <c r="A7478" s="1">
        <v>7477</v>
      </c>
      <c r="B7478" s="1">
        <v>1487</v>
      </c>
      <c r="C7478" s="1">
        <v>31</v>
      </c>
      <c r="D7478" t="str">
        <f>VLOOKUP(B7478,Заказы!A:C,3,0)</f>
        <v>2024-03-03 19:53:00</v>
      </c>
      <c r="E7478" t="str">
        <f>VLOOKUP(C7478,Меню!A:E,4,0)</f>
        <v>Десерт</v>
      </c>
      <c r="F7478">
        <f>VLOOKUP(C7478,Меню!A:E,5,0)</f>
        <v>150</v>
      </c>
    </row>
    <row r="7479" spans="1:6" ht="15.75" hidden="1" customHeight="1" x14ac:dyDescent="0.35">
      <c r="A7479" s="1">
        <v>7478</v>
      </c>
      <c r="B7479" s="1">
        <v>1488</v>
      </c>
      <c r="C7479" s="1">
        <v>51</v>
      </c>
      <c r="D7479" t="str">
        <f>VLOOKUP(B7479,Заказы!A:C,3,0)</f>
        <v>2024-03-03 21:19:00</v>
      </c>
      <c r="E7479" t="str">
        <f>VLOOKUP(C7479,Меню!A:E,4,0)</f>
        <v>Суши</v>
      </c>
      <c r="F7479">
        <f>VLOOKUP(C7479,Меню!A:E,5,0)</f>
        <v>100</v>
      </c>
    </row>
    <row r="7480" spans="1:6" ht="15.75" hidden="1" customHeight="1" x14ac:dyDescent="0.35">
      <c r="A7480" s="1">
        <v>7479</v>
      </c>
      <c r="B7480" s="1">
        <v>1488</v>
      </c>
      <c r="C7480" s="1">
        <v>55</v>
      </c>
      <c r="D7480" t="str">
        <f>VLOOKUP(B7480,Заказы!A:C,3,0)</f>
        <v>2024-03-03 21:19:00</v>
      </c>
      <c r="E7480" t="str">
        <f>VLOOKUP(C7480,Меню!A:E,4,0)</f>
        <v>Суши</v>
      </c>
      <c r="F7480">
        <f>VLOOKUP(C7480,Меню!A:E,5,0)</f>
        <v>100</v>
      </c>
    </row>
    <row r="7481" spans="1:6" ht="15.75" hidden="1" customHeight="1" x14ac:dyDescent="0.35">
      <c r="A7481" s="1">
        <v>7480</v>
      </c>
      <c r="B7481" s="1">
        <v>1488</v>
      </c>
      <c r="C7481" s="1">
        <v>59</v>
      </c>
      <c r="D7481" t="str">
        <f>VLOOKUP(B7481,Заказы!A:C,3,0)</f>
        <v>2024-03-03 21:19:00</v>
      </c>
      <c r="E7481" t="str">
        <f>VLOOKUP(C7481,Меню!A:E,4,0)</f>
        <v>Суши</v>
      </c>
      <c r="F7481">
        <f>VLOOKUP(C7481,Меню!A:E,5,0)</f>
        <v>300</v>
      </c>
    </row>
    <row r="7482" spans="1:6" ht="15.75" hidden="1" customHeight="1" x14ac:dyDescent="0.35">
      <c r="A7482" s="1">
        <v>7481</v>
      </c>
      <c r="B7482" s="1">
        <v>1488</v>
      </c>
      <c r="C7482" s="1">
        <v>3</v>
      </c>
      <c r="D7482" t="str">
        <f>VLOOKUP(B7482,Заказы!A:C,3,0)</f>
        <v>2024-03-03 21:19:00</v>
      </c>
      <c r="E7482" t="str">
        <f>VLOOKUP(C7482,Меню!A:E,4,0)</f>
        <v>Завтрак</v>
      </c>
      <c r="F7482">
        <f>VLOOKUP(C7482,Меню!A:E,5,0)</f>
        <v>150</v>
      </c>
    </row>
    <row r="7483" spans="1:6" ht="15.75" hidden="1" customHeight="1" x14ac:dyDescent="0.35">
      <c r="A7483" s="1">
        <v>7482</v>
      </c>
      <c r="B7483" s="1">
        <v>1488</v>
      </c>
      <c r="C7483" s="1">
        <v>38</v>
      </c>
      <c r="D7483" t="str">
        <f>VLOOKUP(B7483,Заказы!A:C,3,0)</f>
        <v>2024-03-03 21:19:00</v>
      </c>
      <c r="E7483" t="str">
        <f>VLOOKUP(C7483,Меню!A:E,4,0)</f>
        <v>Десерт</v>
      </c>
      <c r="F7483">
        <f>VLOOKUP(C7483,Меню!A:E,5,0)</f>
        <v>150</v>
      </c>
    </row>
    <row r="7484" spans="1:6" ht="15.75" hidden="1" customHeight="1" x14ac:dyDescent="0.35">
      <c r="A7484" s="1">
        <v>7483</v>
      </c>
      <c r="B7484" s="1">
        <v>1488</v>
      </c>
      <c r="C7484" s="1">
        <v>53</v>
      </c>
      <c r="D7484" t="str">
        <f>VLOOKUP(B7484,Заказы!A:C,3,0)</f>
        <v>2024-03-03 21:19:00</v>
      </c>
      <c r="E7484" t="str">
        <f>VLOOKUP(C7484,Меню!A:E,4,0)</f>
        <v>Суши</v>
      </c>
      <c r="F7484">
        <f>VLOOKUP(C7484,Меню!A:E,5,0)</f>
        <v>100</v>
      </c>
    </row>
    <row r="7485" spans="1:6" ht="15.75" hidden="1" customHeight="1" x14ac:dyDescent="0.35">
      <c r="A7485" s="1">
        <v>7484</v>
      </c>
      <c r="B7485" s="1">
        <v>1489</v>
      </c>
      <c r="C7485" s="1">
        <v>7</v>
      </c>
      <c r="D7485" t="str">
        <f>VLOOKUP(B7485,Заказы!A:C,3,0)</f>
        <v>2024-03-04 20:03:00</v>
      </c>
      <c r="E7485" t="str">
        <f>VLOOKUP(C7485,Меню!A:E,4,0)</f>
        <v>Завтрак</v>
      </c>
      <c r="F7485">
        <f>VLOOKUP(C7485,Меню!A:E,5,0)</f>
        <v>200</v>
      </c>
    </row>
    <row r="7486" spans="1:6" ht="15.75" hidden="1" customHeight="1" x14ac:dyDescent="0.35">
      <c r="A7486" s="1">
        <v>7485</v>
      </c>
      <c r="B7486" s="1">
        <v>1489</v>
      </c>
      <c r="C7486" s="1">
        <v>45</v>
      </c>
      <c r="D7486" t="str">
        <f>VLOOKUP(B7486,Заказы!A:C,3,0)</f>
        <v>2024-03-04 20:03:00</v>
      </c>
      <c r="E7486" t="str">
        <f>VLOOKUP(C7486,Меню!A:E,4,0)</f>
        <v>Суши</v>
      </c>
      <c r="F7486">
        <f>VLOOKUP(C7486,Меню!A:E,5,0)</f>
        <v>200</v>
      </c>
    </row>
    <row r="7487" spans="1:6" ht="15.75" hidden="1" customHeight="1" x14ac:dyDescent="0.35">
      <c r="A7487" s="1">
        <v>7486</v>
      </c>
      <c r="B7487" s="1">
        <v>1489</v>
      </c>
      <c r="C7487" s="1">
        <v>24</v>
      </c>
      <c r="D7487" t="str">
        <f>VLOOKUP(B7487,Заказы!A:C,3,0)</f>
        <v>2024-03-04 20:03:00</v>
      </c>
      <c r="E7487" t="str">
        <f>VLOOKUP(C7487,Меню!A:E,4,0)</f>
        <v>Салат</v>
      </c>
      <c r="F7487">
        <f>VLOOKUP(C7487,Меню!A:E,5,0)</f>
        <v>250</v>
      </c>
    </row>
    <row r="7488" spans="1:6" ht="15.75" hidden="1" customHeight="1" x14ac:dyDescent="0.35">
      <c r="A7488" s="1">
        <v>7487</v>
      </c>
      <c r="B7488" s="1">
        <v>1489</v>
      </c>
      <c r="C7488" s="1">
        <v>44</v>
      </c>
      <c r="D7488" t="str">
        <f>VLOOKUP(B7488,Заказы!A:C,3,0)</f>
        <v>2024-03-04 20:03:00</v>
      </c>
      <c r="E7488" t="str">
        <f>VLOOKUP(C7488,Меню!A:E,4,0)</f>
        <v>Суши</v>
      </c>
      <c r="F7488">
        <f>VLOOKUP(C7488,Меню!A:E,5,0)</f>
        <v>250</v>
      </c>
    </row>
    <row r="7489" spans="1:6" ht="15.75" hidden="1" customHeight="1" x14ac:dyDescent="0.35">
      <c r="A7489" s="1">
        <v>7488</v>
      </c>
      <c r="B7489" s="1">
        <v>1489</v>
      </c>
      <c r="C7489" s="1">
        <v>38</v>
      </c>
      <c r="D7489" t="str">
        <f>VLOOKUP(B7489,Заказы!A:C,3,0)</f>
        <v>2024-03-04 20:03:00</v>
      </c>
      <c r="E7489" t="str">
        <f>VLOOKUP(C7489,Меню!A:E,4,0)</f>
        <v>Десерт</v>
      </c>
      <c r="F7489">
        <f>VLOOKUP(C7489,Меню!A:E,5,0)</f>
        <v>150</v>
      </c>
    </row>
    <row r="7490" spans="1:6" ht="15.75" hidden="1" customHeight="1" x14ac:dyDescent="0.35">
      <c r="A7490" s="1">
        <v>7489</v>
      </c>
      <c r="B7490" s="1">
        <v>1489</v>
      </c>
      <c r="C7490" s="1">
        <v>26</v>
      </c>
      <c r="D7490" t="str">
        <f>VLOOKUP(B7490,Заказы!A:C,3,0)</f>
        <v>2024-03-04 20:03:00</v>
      </c>
      <c r="E7490" t="str">
        <f>VLOOKUP(C7490,Меню!A:E,4,0)</f>
        <v>Салат</v>
      </c>
      <c r="F7490">
        <f>VLOOKUP(C7490,Меню!A:E,5,0)</f>
        <v>250</v>
      </c>
    </row>
    <row r="7491" spans="1:6" ht="15.75" hidden="1" customHeight="1" x14ac:dyDescent="0.35">
      <c r="A7491" s="1">
        <v>7490</v>
      </c>
      <c r="B7491" s="1">
        <v>1489</v>
      </c>
      <c r="C7491" s="1">
        <v>60</v>
      </c>
      <c r="D7491" t="str">
        <f>VLOOKUP(B7491,Заказы!A:C,3,0)</f>
        <v>2024-03-04 20:03:00</v>
      </c>
      <c r="E7491" t="str">
        <f>VLOOKUP(C7491,Меню!A:E,4,0)</f>
        <v>Суши</v>
      </c>
      <c r="F7491">
        <f>VLOOKUP(C7491,Меню!A:E,5,0)</f>
        <v>250</v>
      </c>
    </row>
    <row r="7492" spans="1:6" ht="15.75" hidden="1" customHeight="1" x14ac:dyDescent="0.35">
      <c r="A7492" s="1">
        <v>7491</v>
      </c>
      <c r="B7492" s="1">
        <v>1489</v>
      </c>
      <c r="C7492" s="1">
        <v>14</v>
      </c>
      <c r="D7492" t="str">
        <f>VLOOKUP(B7492,Заказы!A:C,3,0)</f>
        <v>2024-03-04 20:03:00</v>
      </c>
      <c r="E7492" t="str">
        <f>VLOOKUP(C7492,Меню!A:E,4,0)</f>
        <v>Первое</v>
      </c>
      <c r="F7492">
        <f>VLOOKUP(C7492,Меню!A:E,5,0)</f>
        <v>350</v>
      </c>
    </row>
    <row r="7493" spans="1:6" ht="15.75" hidden="1" customHeight="1" x14ac:dyDescent="0.35">
      <c r="A7493" s="1">
        <v>7492</v>
      </c>
      <c r="B7493" s="1">
        <v>1490</v>
      </c>
      <c r="C7493" s="1">
        <v>12</v>
      </c>
      <c r="D7493" t="str">
        <f>VLOOKUP(B7493,Заказы!A:C,3,0)</f>
        <v>2024-03-04 20:15:00</v>
      </c>
      <c r="E7493" t="str">
        <f>VLOOKUP(C7493,Меню!A:E,4,0)</f>
        <v>Первое</v>
      </c>
      <c r="F7493">
        <f>VLOOKUP(C7493,Меню!A:E,5,0)</f>
        <v>300</v>
      </c>
    </row>
    <row r="7494" spans="1:6" ht="15.75" hidden="1" customHeight="1" x14ac:dyDescent="0.35">
      <c r="A7494" s="1">
        <v>7493</v>
      </c>
      <c r="B7494" s="1">
        <v>1490</v>
      </c>
      <c r="C7494" s="1">
        <v>22</v>
      </c>
      <c r="D7494" t="str">
        <f>VLOOKUP(B7494,Заказы!A:C,3,0)</f>
        <v>2024-03-04 20:15:00</v>
      </c>
      <c r="E7494" t="str">
        <f>VLOOKUP(C7494,Меню!A:E,4,0)</f>
        <v>Салат</v>
      </c>
      <c r="F7494">
        <f>VLOOKUP(C7494,Меню!A:E,5,0)</f>
        <v>250</v>
      </c>
    </row>
    <row r="7495" spans="1:6" ht="15.75" hidden="1" customHeight="1" x14ac:dyDescent="0.35">
      <c r="A7495" s="1">
        <v>7494</v>
      </c>
      <c r="B7495" s="1">
        <v>1490</v>
      </c>
      <c r="C7495" s="1">
        <v>1</v>
      </c>
      <c r="D7495" t="str">
        <f>VLOOKUP(B7495,Заказы!A:C,3,0)</f>
        <v>2024-03-04 20:15:00</v>
      </c>
      <c r="E7495" t="str">
        <f>VLOOKUP(C7495,Меню!A:E,4,0)</f>
        <v>Завтрак</v>
      </c>
      <c r="F7495">
        <f>VLOOKUP(C7495,Меню!A:E,5,0)</f>
        <v>200</v>
      </c>
    </row>
    <row r="7496" spans="1:6" ht="15.75" hidden="1" customHeight="1" x14ac:dyDescent="0.35">
      <c r="A7496" s="1">
        <v>7495</v>
      </c>
      <c r="B7496" s="1">
        <v>1490</v>
      </c>
      <c r="C7496" s="1">
        <v>28</v>
      </c>
      <c r="D7496" t="str">
        <f>VLOOKUP(B7496,Заказы!A:C,3,0)</f>
        <v>2024-03-04 20:15:00</v>
      </c>
      <c r="E7496" t="str">
        <f>VLOOKUP(C7496,Меню!A:E,4,0)</f>
        <v>Салат</v>
      </c>
      <c r="F7496">
        <f>VLOOKUP(C7496,Меню!A:E,5,0)</f>
        <v>250</v>
      </c>
    </row>
    <row r="7497" spans="1:6" ht="15.75" hidden="1" customHeight="1" x14ac:dyDescent="0.35">
      <c r="A7497" s="1">
        <v>7496</v>
      </c>
      <c r="B7497" s="1">
        <v>1490</v>
      </c>
      <c r="C7497" s="1">
        <v>40</v>
      </c>
      <c r="D7497" t="str">
        <f>VLOOKUP(B7497,Заказы!A:C,3,0)</f>
        <v>2024-03-04 20:15:00</v>
      </c>
      <c r="E7497" t="str">
        <f>VLOOKUP(C7497,Меню!A:E,4,0)</f>
        <v>Десерт</v>
      </c>
      <c r="F7497">
        <f>VLOOKUP(C7497,Меню!A:E,5,0)</f>
        <v>150</v>
      </c>
    </row>
    <row r="7498" spans="1:6" ht="15.75" hidden="1" customHeight="1" x14ac:dyDescent="0.35">
      <c r="A7498" s="1">
        <v>7497</v>
      </c>
      <c r="B7498" s="1">
        <v>1490</v>
      </c>
      <c r="C7498" s="1">
        <v>57</v>
      </c>
      <c r="D7498" t="str">
        <f>VLOOKUP(B7498,Заказы!A:C,3,0)</f>
        <v>2024-03-04 20:15:00</v>
      </c>
      <c r="E7498" t="str">
        <f>VLOOKUP(C7498,Меню!A:E,4,0)</f>
        <v>Суши</v>
      </c>
      <c r="F7498">
        <f>VLOOKUP(C7498,Меню!A:E,5,0)</f>
        <v>200</v>
      </c>
    </row>
    <row r="7499" spans="1:6" ht="15.75" hidden="1" customHeight="1" x14ac:dyDescent="0.35">
      <c r="A7499" s="1">
        <v>7498</v>
      </c>
      <c r="B7499" s="1">
        <v>1490</v>
      </c>
      <c r="C7499" s="1">
        <v>26</v>
      </c>
      <c r="D7499" t="str">
        <f>VLOOKUP(B7499,Заказы!A:C,3,0)</f>
        <v>2024-03-04 20:15:00</v>
      </c>
      <c r="E7499" t="str">
        <f>VLOOKUP(C7499,Меню!A:E,4,0)</f>
        <v>Салат</v>
      </c>
      <c r="F7499">
        <f>VLOOKUP(C7499,Меню!A:E,5,0)</f>
        <v>250</v>
      </c>
    </row>
    <row r="7500" spans="1:6" ht="15.75" hidden="1" customHeight="1" x14ac:dyDescent="0.35">
      <c r="A7500" s="1">
        <v>7499</v>
      </c>
      <c r="B7500" s="1">
        <v>1490</v>
      </c>
      <c r="C7500" s="1">
        <v>13</v>
      </c>
      <c r="D7500" t="str">
        <f>VLOOKUP(B7500,Заказы!A:C,3,0)</f>
        <v>2024-03-04 20:15:00</v>
      </c>
      <c r="E7500" t="str">
        <f>VLOOKUP(C7500,Меню!A:E,4,0)</f>
        <v>Первое</v>
      </c>
      <c r="F7500">
        <f>VLOOKUP(C7500,Меню!A:E,5,0)</f>
        <v>280</v>
      </c>
    </row>
    <row r="7501" spans="1:6" ht="15.75" hidden="1" customHeight="1" x14ac:dyDescent="0.35">
      <c r="A7501" s="1">
        <v>7500</v>
      </c>
      <c r="B7501" s="1">
        <v>1490</v>
      </c>
      <c r="C7501" s="1">
        <v>19</v>
      </c>
      <c r="D7501" t="str">
        <f>VLOOKUP(B7501,Заказы!A:C,3,0)</f>
        <v>2024-03-04 20:15:00</v>
      </c>
      <c r="E7501" t="str">
        <f>VLOOKUP(C7501,Меню!A:E,4,0)</f>
        <v>Первое</v>
      </c>
      <c r="F7501">
        <f>VLOOKUP(C7501,Меню!A:E,5,0)</f>
        <v>300</v>
      </c>
    </row>
    <row r="7502" spans="1:6" ht="15.75" hidden="1" customHeight="1" x14ac:dyDescent="0.35">
      <c r="A7502" s="1">
        <v>7501</v>
      </c>
      <c r="B7502" s="1">
        <v>1490</v>
      </c>
      <c r="C7502" s="1">
        <v>54</v>
      </c>
      <c r="D7502" t="str">
        <f>VLOOKUP(B7502,Заказы!A:C,3,0)</f>
        <v>2024-03-04 20:15:00</v>
      </c>
      <c r="E7502" t="str">
        <f>VLOOKUP(C7502,Меню!A:E,4,0)</f>
        <v>Суши</v>
      </c>
      <c r="F7502">
        <f>VLOOKUP(C7502,Меню!A:E,5,0)</f>
        <v>100</v>
      </c>
    </row>
    <row r="7503" spans="1:6" ht="15.75" hidden="1" customHeight="1" x14ac:dyDescent="0.35">
      <c r="A7503" s="1">
        <v>7502</v>
      </c>
      <c r="B7503" s="1">
        <v>1491</v>
      </c>
      <c r="C7503" s="1">
        <v>52</v>
      </c>
      <c r="D7503" t="str">
        <f>VLOOKUP(B7503,Заказы!A:C,3,0)</f>
        <v>2024-03-04 21:26:00</v>
      </c>
      <c r="E7503" t="str">
        <f>VLOOKUP(C7503,Меню!A:E,4,0)</f>
        <v>Суши</v>
      </c>
      <c r="F7503">
        <f>VLOOKUP(C7503,Меню!A:E,5,0)</f>
        <v>100</v>
      </c>
    </row>
    <row r="7504" spans="1:6" ht="15.75" hidden="1" customHeight="1" x14ac:dyDescent="0.35">
      <c r="A7504" s="1">
        <v>7503</v>
      </c>
      <c r="B7504" s="1">
        <v>1491</v>
      </c>
      <c r="C7504" s="1">
        <v>20</v>
      </c>
      <c r="D7504" t="str">
        <f>VLOOKUP(B7504,Заказы!A:C,3,0)</f>
        <v>2024-03-04 21:26:00</v>
      </c>
      <c r="E7504" t="str">
        <f>VLOOKUP(C7504,Меню!A:E,4,0)</f>
        <v>Первое</v>
      </c>
      <c r="F7504">
        <f>VLOOKUP(C7504,Меню!A:E,5,0)</f>
        <v>250</v>
      </c>
    </row>
    <row r="7505" spans="1:6" ht="15.75" hidden="1" customHeight="1" x14ac:dyDescent="0.35">
      <c r="A7505" s="1">
        <v>7504</v>
      </c>
      <c r="B7505" s="1">
        <v>1491</v>
      </c>
      <c r="C7505" s="1">
        <v>55</v>
      </c>
      <c r="D7505" t="str">
        <f>VLOOKUP(B7505,Заказы!A:C,3,0)</f>
        <v>2024-03-04 21:26:00</v>
      </c>
      <c r="E7505" t="str">
        <f>VLOOKUP(C7505,Меню!A:E,4,0)</f>
        <v>Суши</v>
      </c>
      <c r="F7505">
        <f>VLOOKUP(C7505,Меню!A:E,5,0)</f>
        <v>100</v>
      </c>
    </row>
    <row r="7506" spans="1:6" ht="15.75" hidden="1" customHeight="1" x14ac:dyDescent="0.35">
      <c r="A7506" s="1">
        <v>7505</v>
      </c>
      <c r="B7506" s="1">
        <v>1491</v>
      </c>
      <c r="C7506" s="1">
        <v>55</v>
      </c>
      <c r="D7506" t="str">
        <f>VLOOKUP(B7506,Заказы!A:C,3,0)</f>
        <v>2024-03-04 21:26:00</v>
      </c>
      <c r="E7506" t="str">
        <f>VLOOKUP(C7506,Меню!A:E,4,0)</f>
        <v>Суши</v>
      </c>
      <c r="F7506">
        <f>VLOOKUP(C7506,Меню!A:E,5,0)</f>
        <v>100</v>
      </c>
    </row>
    <row r="7507" spans="1:6" ht="15.75" hidden="1" customHeight="1" x14ac:dyDescent="0.35">
      <c r="A7507" s="1">
        <v>7506</v>
      </c>
      <c r="B7507" s="1">
        <v>1492</v>
      </c>
      <c r="C7507" s="1">
        <v>11</v>
      </c>
      <c r="D7507" t="str">
        <f>VLOOKUP(B7507,Заказы!A:C,3,0)</f>
        <v>2024-03-04 21:34:00</v>
      </c>
      <c r="E7507" t="str">
        <f>VLOOKUP(C7507,Меню!A:E,4,0)</f>
        <v>Первое</v>
      </c>
      <c r="F7507">
        <f>VLOOKUP(C7507,Меню!A:E,5,0)</f>
        <v>300</v>
      </c>
    </row>
    <row r="7508" spans="1:6" ht="15.75" hidden="1" customHeight="1" x14ac:dyDescent="0.35">
      <c r="A7508" s="1">
        <v>7507</v>
      </c>
      <c r="B7508" s="1">
        <v>1492</v>
      </c>
      <c r="C7508" s="1">
        <v>8</v>
      </c>
      <c r="D7508" t="str">
        <f>VLOOKUP(B7508,Заказы!A:C,3,0)</f>
        <v>2024-03-04 21:34:00</v>
      </c>
      <c r="E7508" t="str">
        <f>VLOOKUP(C7508,Меню!A:E,4,0)</f>
        <v>Завтрак</v>
      </c>
      <c r="F7508">
        <f>VLOOKUP(C7508,Меню!A:E,5,0)</f>
        <v>180</v>
      </c>
    </row>
    <row r="7509" spans="1:6" ht="15.75" hidden="1" customHeight="1" x14ac:dyDescent="0.35">
      <c r="A7509" s="1">
        <v>7508</v>
      </c>
      <c r="B7509" s="1">
        <v>1492</v>
      </c>
      <c r="C7509" s="1">
        <v>23</v>
      </c>
      <c r="D7509" t="str">
        <f>VLOOKUP(B7509,Заказы!A:C,3,0)</f>
        <v>2024-03-04 21:34:00</v>
      </c>
      <c r="E7509" t="str">
        <f>VLOOKUP(C7509,Меню!A:E,4,0)</f>
        <v>Салат</v>
      </c>
      <c r="F7509">
        <f>VLOOKUP(C7509,Меню!A:E,5,0)</f>
        <v>250</v>
      </c>
    </row>
    <row r="7510" spans="1:6" ht="15.75" hidden="1" customHeight="1" x14ac:dyDescent="0.35">
      <c r="A7510" s="1">
        <v>7509</v>
      </c>
      <c r="B7510" s="1">
        <v>1492</v>
      </c>
      <c r="C7510" s="1">
        <v>17</v>
      </c>
      <c r="D7510" t="str">
        <f>VLOOKUP(B7510,Заказы!A:C,3,0)</f>
        <v>2024-03-04 21:34:00</v>
      </c>
      <c r="E7510" t="str">
        <f>VLOOKUP(C7510,Меню!A:E,4,0)</f>
        <v>Первое</v>
      </c>
      <c r="F7510">
        <f>VLOOKUP(C7510,Меню!A:E,5,0)</f>
        <v>250</v>
      </c>
    </row>
    <row r="7511" spans="1:6" ht="15.75" hidden="1" customHeight="1" x14ac:dyDescent="0.35">
      <c r="A7511" s="1">
        <v>7510</v>
      </c>
      <c r="B7511" s="1">
        <v>1492</v>
      </c>
      <c r="C7511" s="1">
        <v>53</v>
      </c>
      <c r="D7511" t="str">
        <f>VLOOKUP(B7511,Заказы!A:C,3,0)</f>
        <v>2024-03-04 21:34:00</v>
      </c>
      <c r="E7511" t="str">
        <f>VLOOKUP(C7511,Меню!A:E,4,0)</f>
        <v>Суши</v>
      </c>
      <c r="F7511">
        <f>VLOOKUP(C7511,Меню!A:E,5,0)</f>
        <v>100</v>
      </c>
    </row>
    <row r="7512" spans="1:6" ht="15.75" hidden="1" customHeight="1" x14ac:dyDescent="0.35">
      <c r="A7512" s="1">
        <v>7511</v>
      </c>
      <c r="B7512" s="1">
        <v>1492</v>
      </c>
      <c r="C7512" s="1">
        <v>24</v>
      </c>
      <c r="D7512" t="str">
        <f>VLOOKUP(B7512,Заказы!A:C,3,0)</f>
        <v>2024-03-04 21:34:00</v>
      </c>
      <c r="E7512" t="str">
        <f>VLOOKUP(C7512,Меню!A:E,4,0)</f>
        <v>Салат</v>
      </c>
      <c r="F7512">
        <f>VLOOKUP(C7512,Меню!A:E,5,0)</f>
        <v>250</v>
      </c>
    </row>
    <row r="7513" spans="1:6" ht="15.75" hidden="1" customHeight="1" x14ac:dyDescent="0.35">
      <c r="A7513" s="1">
        <v>7512</v>
      </c>
      <c r="B7513" s="1">
        <v>1492</v>
      </c>
      <c r="C7513" s="1">
        <v>29</v>
      </c>
      <c r="D7513" t="str">
        <f>VLOOKUP(B7513,Заказы!A:C,3,0)</f>
        <v>2024-03-04 21:34:00</v>
      </c>
      <c r="E7513" t="str">
        <f>VLOOKUP(C7513,Меню!A:E,4,0)</f>
        <v>Салат</v>
      </c>
      <c r="F7513">
        <f>VLOOKUP(C7513,Меню!A:E,5,0)</f>
        <v>250</v>
      </c>
    </row>
    <row r="7514" spans="1:6" ht="15.75" hidden="1" customHeight="1" x14ac:dyDescent="0.35">
      <c r="A7514" s="1">
        <v>7513</v>
      </c>
      <c r="B7514" s="1">
        <v>1492</v>
      </c>
      <c r="C7514" s="1">
        <v>59</v>
      </c>
      <c r="D7514" t="str">
        <f>VLOOKUP(B7514,Заказы!A:C,3,0)</f>
        <v>2024-03-04 21:34:00</v>
      </c>
      <c r="E7514" t="str">
        <f>VLOOKUP(C7514,Меню!A:E,4,0)</f>
        <v>Суши</v>
      </c>
      <c r="F7514">
        <f>VLOOKUP(C7514,Меню!A:E,5,0)</f>
        <v>300</v>
      </c>
    </row>
    <row r="7515" spans="1:6" ht="15.75" hidden="1" customHeight="1" x14ac:dyDescent="0.35">
      <c r="A7515" s="1">
        <v>7514</v>
      </c>
      <c r="B7515" s="1">
        <v>1492</v>
      </c>
      <c r="C7515" s="1">
        <v>2</v>
      </c>
      <c r="D7515" t="str">
        <f>VLOOKUP(B7515,Заказы!A:C,3,0)</f>
        <v>2024-03-04 21:34:00</v>
      </c>
      <c r="E7515" t="str">
        <f>VLOOKUP(C7515,Меню!A:E,4,0)</f>
        <v>Завтрак</v>
      </c>
      <c r="F7515">
        <f>VLOOKUP(C7515,Меню!A:E,5,0)</f>
        <v>250</v>
      </c>
    </row>
    <row r="7516" spans="1:6" ht="15.75" hidden="1" customHeight="1" x14ac:dyDescent="0.35">
      <c r="A7516" s="1">
        <v>7515</v>
      </c>
      <c r="B7516" s="1">
        <v>1493</v>
      </c>
      <c r="C7516" s="1">
        <v>35</v>
      </c>
      <c r="D7516" t="str">
        <f>VLOOKUP(B7516,Заказы!A:C,3,0)</f>
        <v>2024-03-04 21:56:00</v>
      </c>
      <c r="E7516" t="str">
        <f>VLOOKUP(C7516,Меню!A:E,4,0)</f>
        <v>Десерт</v>
      </c>
      <c r="F7516">
        <f>VLOOKUP(C7516,Меню!A:E,5,0)</f>
        <v>150</v>
      </c>
    </row>
    <row r="7517" spans="1:6" ht="15.75" hidden="1" customHeight="1" x14ac:dyDescent="0.35">
      <c r="A7517" s="1">
        <v>7516</v>
      </c>
      <c r="B7517" s="1">
        <v>1493</v>
      </c>
      <c r="C7517" s="1">
        <v>33</v>
      </c>
      <c r="D7517" t="str">
        <f>VLOOKUP(B7517,Заказы!A:C,3,0)</f>
        <v>2024-03-04 21:56:00</v>
      </c>
      <c r="E7517" t="str">
        <f>VLOOKUP(C7517,Меню!A:E,4,0)</f>
        <v>Десерт</v>
      </c>
      <c r="F7517">
        <f>VLOOKUP(C7517,Меню!A:E,5,0)</f>
        <v>150</v>
      </c>
    </row>
    <row r="7518" spans="1:6" ht="15.75" hidden="1" customHeight="1" x14ac:dyDescent="0.35">
      <c r="A7518" s="1">
        <v>7517</v>
      </c>
      <c r="B7518" s="1">
        <v>1493</v>
      </c>
      <c r="C7518" s="1">
        <v>44</v>
      </c>
      <c r="D7518" t="str">
        <f>VLOOKUP(B7518,Заказы!A:C,3,0)</f>
        <v>2024-03-04 21:56:00</v>
      </c>
      <c r="E7518" t="str">
        <f>VLOOKUP(C7518,Меню!A:E,4,0)</f>
        <v>Суши</v>
      </c>
      <c r="F7518">
        <f>VLOOKUP(C7518,Меню!A:E,5,0)</f>
        <v>250</v>
      </c>
    </row>
    <row r="7519" spans="1:6" ht="15.75" hidden="1" customHeight="1" x14ac:dyDescent="0.35">
      <c r="A7519" s="1">
        <v>7518</v>
      </c>
      <c r="B7519" s="1">
        <v>1493</v>
      </c>
      <c r="C7519" s="1">
        <v>35</v>
      </c>
      <c r="D7519" t="str">
        <f>VLOOKUP(B7519,Заказы!A:C,3,0)</f>
        <v>2024-03-04 21:56:00</v>
      </c>
      <c r="E7519" t="str">
        <f>VLOOKUP(C7519,Меню!A:E,4,0)</f>
        <v>Десерт</v>
      </c>
      <c r="F7519">
        <f>VLOOKUP(C7519,Меню!A:E,5,0)</f>
        <v>150</v>
      </c>
    </row>
    <row r="7520" spans="1:6" ht="15.75" hidden="1" customHeight="1" x14ac:dyDescent="0.35">
      <c r="A7520" s="1">
        <v>7519</v>
      </c>
      <c r="B7520" s="1">
        <v>1493</v>
      </c>
      <c r="C7520" s="1">
        <v>35</v>
      </c>
      <c r="D7520" t="str">
        <f>VLOOKUP(B7520,Заказы!A:C,3,0)</f>
        <v>2024-03-04 21:56:00</v>
      </c>
      <c r="E7520" t="str">
        <f>VLOOKUP(C7520,Меню!A:E,4,0)</f>
        <v>Десерт</v>
      </c>
      <c r="F7520">
        <f>VLOOKUP(C7520,Меню!A:E,5,0)</f>
        <v>150</v>
      </c>
    </row>
    <row r="7521" spans="1:6" ht="15.75" hidden="1" customHeight="1" x14ac:dyDescent="0.35">
      <c r="A7521" s="1">
        <v>7520</v>
      </c>
      <c r="B7521" s="1">
        <v>1493</v>
      </c>
      <c r="C7521" s="1">
        <v>6</v>
      </c>
      <c r="D7521" t="str">
        <f>VLOOKUP(B7521,Заказы!A:C,3,0)</f>
        <v>2024-03-04 21:56:00</v>
      </c>
      <c r="E7521" t="str">
        <f>VLOOKUP(C7521,Меню!A:E,4,0)</f>
        <v>Завтрак</v>
      </c>
      <c r="F7521">
        <f>VLOOKUP(C7521,Меню!A:E,5,0)</f>
        <v>300</v>
      </c>
    </row>
    <row r="7522" spans="1:6" ht="15.75" hidden="1" customHeight="1" x14ac:dyDescent="0.35">
      <c r="A7522" s="1">
        <v>7521</v>
      </c>
      <c r="B7522" s="1">
        <v>1493</v>
      </c>
      <c r="C7522" s="1">
        <v>57</v>
      </c>
      <c r="D7522" t="str">
        <f>VLOOKUP(B7522,Заказы!A:C,3,0)</f>
        <v>2024-03-04 21:56:00</v>
      </c>
      <c r="E7522" t="str">
        <f>VLOOKUP(C7522,Меню!A:E,4,0)</f>
        <v>Суши</v>
      </c>
      <c r="F7522">
        <f>VLOOKUP(C7522,Меню!A:E,5,0)</f>
        <v>200</v>
      </c>
    </row>
    <row r="7523" spans="1:6" ht="15.75" hidden="1" customHeight="1" x14ac:dyDescent="0.35">
      <c r="A7523" s="1">
        <v>7522</v>
      </c>
      <c r="B7523" s="1">
        <v>1494</v>
      </c>
      <c r="C7523" s="1">
        <v>9</v>
      </c>
      <c r="D7523" t="str">
        <f>VLOOKUP(B7523,Заказы!A:C,3,0)</f>
        <v>2024-03-05 15:53:00</v>
      </c>
      <c r="E7523" t="str">
        <f>VLOOKUP(C7523,Меню!A:E,4,0)</f>
        <v>Завтрак</v>
      </c>
      <c r="F7523">
        <f>VLOOKUP(C7523,Меню!A:E,5,0)</f>
        <v>220</v>
      </c>
    </row>
    <row r="7524" spans="1:6" ht="15.75" hidden="1" customHeight="1" x14ac:dyDescent="0.35">
      <c r="A7524" s="1">
        <v>7523</v>
      </c>
      <c r="B7524" s="1">
        <v>1494</v>
      </c>
      <c r="C7524" s="1">
        <v>1</v>
      </c>
      <c r="D7524" t="str">
        <f>VLOOKUP(B7524,Заказы!A:C,3,0)</f>
        <v>2024-03-05 15:53:00</v>
      </c>
      <c r="E7524" t="str">
        <f>VLOOKUP(C7524,Меню!A:E,4,0)</f>
        <v>Завтрак</v>
      </c>
      <c r="F7524">
        <f>VLOOKUP(C7524,Меню!A:E,5,0)</f>
        <v>200</v>
      </c>
    </row>
    <row r="7525" spans="1:6" ht="15.75" hidden="1" customHeight="1" x14ac:dyDescent="0.35">
      <c r="A7525" s="1">
        <v>7524</v>
      </c>
      <c r="B7525" s="1">
        <v>1495</v>
      </c>
      <c r="C7525" s="1">
        <v>32</v>
      </c>
      <c r="D7525" t="str">
        <f>VLOOKUP(B7525,Заказы!A:C,3,0)</f>
        <v>2024-03-05 18:38:00</v>
      </c>
      <c r="E7525" t="str">
        <f>VLOOKUP(C7525,Меню!A:E,4,0)</f>
        <v>Десерт</v>
      </c>
      <c r="F7525">
        <f>VLOOKUP(C7525,Меню!A:E,5,0)</f>
        <v>150</v>
      </c>
    </row>
    <row r="7526" spans="1:6" ht="15.75" hidden="1" customHeight="1" x14ac:dyDescent="0.35">
      <c r="A7526" s="1">
        <v>7525</v>
      </c>
      <c r="B7526" s="1">
        <v>1495</v>
      </c>
      <c r="C7526" s="1">
        <v>9</v>
      </c>
      <c r="D7526" t="str">
        <f>VLOOKUP(B7526,Заказы!A:C,3,0)</f>
        <v>2024-03-05 18:38:00</v>
      </c>
      <c r="E7526" t="str">
        <f>VLOOKUP(C7526,Меню!A:E,4,0)</f>
        <v>Завтрак</v>
      </c>
      <c r="F7526">
        <f>VLOOKUP(C7526,Меню!A:E,5,0)</f>
        <v>220</v>
      </c>
    </row>
    <row r="7527" spans="1:6" ht="15.75" hidden="1" customHeight="1" x14ac:dyDescent="0.35">
      <c r="A7527" s="1">
        <v>7526</v>
      </c>
      <c r="B7527" s="1">
        <v>1495</v>
      </c>
      <c r="C7527" s="1">
        <v>10</v>
      </c>
      <c r="D7527" t="str">
        <f>VLOOKUP(B7527,Заказы!A:C,3,0)</f>
        <v>2024-03-05 18:38:00</v>
      </c>
      <c r="E7527" t="str">
        <f>VLOOKUP(C7527,Меню!A:E,4,0)</f>
        <v>Завтрак</v>
      </c>
      <c r="F7527">
        <f>VLOOKUP(C7527,Меню!A:E,5,0)</f>
        <v>200</v>
      </c>
    </row>
    <row r="7528" spans="1:6" ht="15.75" hidden="1" customHeight="1" x14ac:dyDescent="0.35">
      <c r="A7528" s="1">
        <v>7527</v>
      </c>
      <c r="B7528" s="1">
        <v>1495</v>
      </c>
      <c r="C7528" s="1">
        <v>7</v>
      </c>
      <c r="D7528" t="str">
        <f>VLOOKUP(B7528,Заказы!A:C,3,0)</f>
        <v>2024-03-05 18:38:00</v>
      </c>
      <c r="E7528" t="str">
        <f>VLOOKUP(C7528,Меню!A:E,4,0)</f>
        <v>Завтрак</v>
      </c>
      <c r="F7528">
        <f>VLOOKUP(C7528,Меню!A:E,5,0)</f>
        <v>200</v>
      </c>
    </row>
    <row r="7529" spans="1:6" ht="15.75" hidden="1" customHeight="1" x14ac:dyDescent="0.35">
      <c r="A7529" s="1">
        <v>7528</v>
      </c>
      <c r="B7529" s="1">
        <v>1495</v>
      </c>
      <c r="C7529" s="1">
        <v>26</v>
      </c>
      <c r="D7529" t="str">
        <f>VLOOKUP(B7529,Заказы!A:C,3,0)</f>
        <v>2024-03-05 18:38:00</v>
      </c>
      <c r="E7529" t="str">
        <f>VLOOKUP(C7529,Меню!A:E,4,0)</f>
        <v>Салат</v>
      </c>
      <c r="F7529">
        <f>VLOOKUP(C7529,Меню!A:E,5,0)</f>
        <v>250</v>
      </c>
    </row>
    <row r="7530" spans="1:6" ht="15.75" hidden="1" customHeight="1" x14ac:dyDescent="0.35">
      <c r="A7530" s="1">
        <v>7529</v>
      </c>
      <c r="B7530" s="1">
        <v>1496</v>
      </c>
      <c r="C7530" s="1">
        <v>32</v>
      </c>
      <c r="D7530" t="str">
        <f>VLOOKUP(B7530,Заказы!A:C,3,0)</f>
        <v>2024-03-05 19:25:00</v>
      </c>
      <c r="E7530" t="str">
        <f>VLOOKUP(C7530,Меню!A:E,4,0)</f>
        <v>Десерт</v>
      </c>
      <c r="F7530">
        <f>VLOOKUP(C7530,Меню!A:E,5,0)</f>
        <v>150</v>
      </c>
    </row>
    <row r="7531" spans="1:6" ht="15.75" hidden="1" customHeight="1" x14ac:dyDescent="0.35">
      <c r="A7531" s="1">
        <v>7530</v>
      </c>
      <c r="B7531" s="1">
        <v>1496</v>
      </c>
      <c r="C7531" s="1">
        <v>60</v>
      </c>
      <c r="D7531" t="str">
        <f>VLOOKUP(B7531,Заказы!A:C,3,0)</f>
        <v>2024-03-05 19:25:00</v>
      </c>
      <c r="E7531" t="str">
        <f>VLOOKUP(C7531,Меню!A:E,4,0)</f>
        <v>Суши</v>
      </c>
      <c r="F7531">
        <f>VLOOKUP(C7531,Меню!A:E,5,0)</f>
        <v>250</v>
      </c>
    </row>
    <row r="7532" spans="1:6" ht="15.75" hidden="1" customHeight="1" x14ac:dyDescent="0.35">
      <c r="A7532" s="1">
        <v>7531</v>
      </c>
      <c r="B7532" s="1">
        <v>1496</v>
      </c>
      <c r="C7532" s="1">
        <v>42</v>
      </c>
      <c r="D7532" t="str">
        <f>VLOOKUP(B7532,Заказы!A:C,3,0)</f>
        <v>2024-03-05 19:25:00</v>
      </c>
      <c r="E7532" t="str">
        <f>VLOOKUP(C7532,Меню!A:E,4,0)</f>
        <v>Суши</v>
      </c>
      <c r="F7532">
        <f>VLOOKUP(C7532,Меню!A:E,5,0)</f>
        <v>250</v>
      </c>
    </row>
    <row r="7533" spans="1:6" ht="15.75" hidden="1" customHeight="1" x14ac:dyDescent="0.35">
      <c r="A7533" s="1">
        <v>7532</v>
      </c>
      <c r="B7533" s="1">
        <v>1496</v>
      </c>
      <c r="C7533" s="1">
        <v>49</v>
      </c>
      <c r="D7533" t="str">
        <f>VLOOKUP(B7533,Заказы!A:C,3,0)</f>
        <v>2024-03-05 19:25:00</v>
      </c>
      <c r="E7533" t="str">
        <f>VLOOKUP(C7533,Меню!A:E,4,0)</f>
        <v>Суши</v>
      </c>
      <c r="F7533">
        <f>VLOOKUP(C7533,Меню!A:E,5,0)</f>
        <v>200</v>
      </c>
    </row>
    <row r="7534" spans="1:6" ht="15.75" hidden="1" customHeight="1" x14ac:dyDescent="0.35">
      <c r="A7534" s="1">
        <v>7533</v>
      </c>
      <c r="B7534" s="1">
        <v>1496</v>
      </c>
      <c r="C7534" s="1">
        <v>38</v>
      </c>
      <c r="D7534" t="str">
        <f>VLOOKUP(B7534,Заказы!A:C,3,0)</f>
        <v>2024-03-05 19:25:00</v>
      </c>
      <c r="E7534" t="str">
        <f>VLOOKUP(C7534,Меню!A:E,4,0)</f>
        <v>Десерт</v>
      </c>
      <c r="F7534">
        <f>VLOOKUP(C7534,Меню!A:E,5,0)</f>
        <v>150</v>
      </c>
    </row>
    <row r="7535" spans="1:6" ht="15.75" hidden="1" customHeight="1" x14ac:dyDescent="0.35">
      <c r="A7535" s="1">
        <v>7534</v>
      </c>
      <c r="B7535" s="1">
        <v>1496</v>
      </c>
      <c r="C7535" s="1">
        <v>6</v>
      </c>
      <c r="D7535" t="str">
        <f>VLOOKUP(B7535,Заказы!A:C,3,0)</f>
        <v>2024-03-05 19:25:00</v>
      </c>
      <c r="E7535" t="str">
        <f>VLOOKUP(C7535,Меню!A:E,4,0)</f>
        <v>Завтрак</v>
      </c>
      <c r="F7535">
        <f>VLOOKUP(C7535,Меню!A:E,5,0)</f>
        <v>300</v>
      </c>
    </row>
    <row r="7536" spans="1:6" ht="15.75" hidden="1" customHeight="1" x14ac:dyDescent="0.35">
      <c r="A7536" s="1">
        <v>7535</v>
      </c>
      <c r="B7536" s="1">
        <v>1497</v>
      </c>
      <c r="C7536" s="1">
        <v>5</v>
      </c>
      <c r="D7536" t="str">
        <f>VLOOKUP(B7536,Заказы!A:C,3,0)</f>
        <v>2024-03-06 15:42:00</v>
      </c>
      <c r="E7536" t="str">
        <f>VLOOKUP(C7536,Меню!A:E,4,0)</f>
        <v>Завтрак</v>
      </c>
      <c r="F7536">
        <f>VLOOKUP(C7536,Меню!A:E,5,0)</f>
        <v>220</v>
      </c>
    </row>
    <row r="7537" spans="1:6" ht="15.75" hidden="1" customHeight="1" x14ac:dyDescent="0.35">
      <c r="A7537" s="1">
        <v>7536</v>
      </c>
      <c r="B7537" s="1">
        <v>1497</v>
      </c>
      <c r="C7537" s="1">
        <v>5</v>
      </c>
      <c r="D7537" t="str">
        <f>VLOOKUP(B7537,Заказы!A:C,3,0)</f>
        <v>2024-03-06 15:42:00</v>
      </c>
      <c r="E7537" t="str">
        <f>VLOOKUP(C7537,Меню!A:E,4,0)</f>
        <v>Завтрак</v>
      </c>
      <c r="F7537">
        <f>VLOOKUP(C7537,Меню!A:E,5,0)</f>
        <v>220</v>
      </c>
    </row>
    <row r="7538" spans="1:6" ht="15.75" hidden="1" customHeight="1" x14ac:dyDescent="0.35">
      <c r="A7538" s="1">
        <v>7537</v>
      </c>
      <c r="B7538" s="1">
        <v>1497</v>
      </c>
      <c r="C7538" s="1">
        <v>12</v>
      </c>
      <c r="D7538" t="str">
        <f>VLOOKUP(B7538,Заказы!A:C,3,0)</f>
        <v>2024-03-06 15:42:00</v>
      </c>
      <c r="E7538" t="str">
        <f>VLOOKUP(C7538,Меню!A:E,4,0)</f>
        <v>Первое</v>
      </c>
      <c r="F7538">
        <f>VLOOKUP(C7538,Меню!A:E,5,0)</f>
        <v>300</v>
      </c>
    </row>
    <row r="7539" spans="1:6" ht="15.75" hidden="1" customHeight="1" x14ac:dyDescent="0.35">
      <c r="A7539" s="1">
        <v>7538</v>
      </c>
      <c r="B7539" s="1">
        <v>1497</v>
      </c>
      <c r="C7539" s="1">
        <v>51</v>
      </c>
      <c r="D7539" t="str">
        <f>VLOOKUP(B7539,Заказы!A:C,3,0)</f>
        <v>2024-03-06 15:42:00</v>
      </c>
      <c r="E7539" t="str">
        <f>VLOOKUP(C7539,Меню!A:E,4,0)</f>
        <v>Суши</v>
      </c>
      <c r="F7539">
        <f>VLOOKUP(C7539,Меню!A:E,5,0)</f>
        <v>100</v>
      </c>
    </row>
    <row r="7540" spans="1:6" ht="15.75" hidden="1" customHeight="1" x14ac:dyDescent="0.35">
      <c r="A7540" s="1">
        <v>7539</v>
      </c>
      <c r="B7540" s="1">
        <v>1497</v>
      </c>
      <c r="C7540" s="1">
        <v>57</v>
      </c>
      <c r="D7540" t="str">
        <f>VLOOKUP(B7540,Заказы!A:C,3,0)</f>
        <v>2024-03-06 15:42:00</v>
      </c>
      <c r="E7540" t="str">
        <f>VLOOKUP(C7540,Меню!A:E,4,0)</f>
        <v>Суши</v>
      </c>
      <c r="F7540">
        <f>VLOOKUP(C7540,Меню!A:E,5,0)</f>
        <v>200</v>
      </c>
    </row>
    <row r="7541" spans="1:6" ht="15.75" hidden="1" customHeight="1" x14ac:dyDescent="0.35">
      <c r="A7541" s="1">
        <v>7540</v>
      </c>
      <c r="B7541" s="1">
        <v>1497</v>
      </c>
      <c r="C7541" s="1">
        <v>25</v>
      </c>
      <c r="D7541" t="str">
        <f>VLOOKUP(B7541,Заказы!A:C,3,0)</f>
        <v>2024-03-06 15:42:00</v>
      </c>
      <c r="E7541" t="str">
        <f>VLOOKUP(C7541,Меню!A:E,4,0)</f>
        <v>Салат</v>
      </c>
      <c r="F7541">
        <f>VLOOKUP(C7541,Меню!A:E,5,0)</f>
        <v>250</v>
      </c>
    </row>
    <row r="7542" spans="1:6" ht="15.75" hidden="1" customHeight="1" x14ac:dyDescent="0.35">
      <c r="A7542" s="1">
        <v>7541</v>
      </c>
      <c r="B7542" s="1">
        <v>1498</v>
      </c>
      <c r="C7542" s="1">
        <v>1</v>
      </c>
      <c r="D7542" t="str">
        <f>VLOOKUP(B7542,Заказы!A:C,3,0)</f>
        <v>2024-03-06 15:47:00</v>
      </c>
      <c r="E7542" t="str">
        <f>VLOOKUP(C7542,Меню!A:E,4,0)</f>
        <v>Завтрак</v>
      </c>
      <c r="F7542">
        <f>VLOOKUP(C7542,Меню!A:E,5,0)</f>
        <v>200</v>
      </c>
    </row>
    <row r="7543" spans="1:6" ht="15.75" hidden="1" customHeight="1" x14ac:dyDescent="0.35">
      <c r="A7543" s="1">
        <v>7542</v>
      </c>
      <c r="B7543" s="1">
        <v>1498</v>
      </c>
      <c r="C7543" s="1">
        <v>42</v>
      </c>
      <c r="D7543" t="str">
        <f>VLOOKUP(B7543,Заказы!A:C,3,0)</f>
        <v>2024-03-06 15:47:00</v>
      </c>
      <c r="E7543" t="str">
        <f>VLOOKUP(C7543,Меню!A:E,4,0)</f>
        <v>Суши</v>
      </c>
      <c r="F7543">
        <f>VLOOKUP(C7543,Меню!A:E,5,0)</f>
        <v>250</v>
      </c>
    </row>
    <row r="7544" spans="1:6" ht="15.75" hidden="1" customHeight="1" x14ac:dyDescent="0.35">
      <c r="A7544" s="1">
        <v>7543</v>
      </c>
      <c r="B7544" s="1">
        <v>1498</v>
      </c>
      <c r="C7544" s="1">
        <v>54</v>
      </c>
      <c r="D7544" t="str">
        <f>VLOOKUP(B7544,Заказы!A:C,3,0)</f>
        <v>2024-03-06 15:47:00</v>
      </c>
      <c r="E7544" t="str">
        <f>VLOOKUP(C7544,Меню!A:E,4,0)</f>
        <v>Суши</v>
      </c>
      <c r="F7544">
        <f>VLOOKUP(C7544,Меню!A:E,5,0)</f>
        <v>100</v>
      </c>
    </row>
    <row r="7545" spans="1:6" ht="15.75" hidden="1" customHeight="1" x14ac:dyDescent="0.35">
      <c r="A7545" s="1">
        <v>7544</v>
      </c>
      <c r="B7545" s="1">
        <v>1498</v>
      </c>
      <c r="C7545" s="1">
        <v>55</v>
      </c>
      <c r="D7545" t="str">
        <f>VLOOKUP(B7545,Заказы!A:C,3,0)</f>
        <v>2024-03-06 15:47:00</v>
      </c>
      <c r="E7545" t="str">
        <f>VLOOKUP(C7545,Меню!A:E,4,0)</f>
        <v>Суши</v>
      </c>
      <c r="F7545">
        <f>VLOOKUP(C7545,Меню!A:E,5,0)</f>
        <v>100</v>
      </c>
    </row>
    <row r="7546" spans="1:6" ht="15.75" hidden="1" customHeight="1" x14ac:dyDescent="0.35">
      <c r="A7546" s="1">
        <v>7545</v>
      </c>
      <c r="B7546" s="1">
        <v>1498</v>
      </c>
      <c r="C7546" s="1">
        <v>17</v>
      </c>
      <c r="D7546" t="str">
        <f>VLOOKUP(B7546,Заказы!A:C,3,0)</f>
        <v>2024-03-06 15:47:00</v>
      </c>
      <c r="E7546" t="str">
        <f>VLOOKUP(C7546,Меню!A:E,4,0)</f>
        <v>Первое</v>
      </c>
      <c r="F7546">
        <f>VLOOKUP(C7546,Меню!A:E,5,0)</f>
        <v>250</v>
      </c>
    </row>
    <row r="7547" spans="1:6" ht="15.75" hidden="1" customHeight="1" x14ac:dyDescent="0.35">
      <c r="A7547" s="1">
        <v>7546</v>
      </c>
      <c r="B7547" s="1">
        <v>1498</v>
      </c>
      <c r="C7547" s="1">
        <v>35</v>
      </c>
      <c r="D7547" t="str">
        <f>VLOOKUP(B7547,Заказы!A:C,3,0)</f>
        <v>2024-03-06 15:47:00</v>
      </c>
      <c r="E7547" t="str">
        <f>VLOOKUP(C7547,Меню!A:E,4,0)</f>
        <v>Десерт</v>
      </c>
      <c r="F7547">
        <f>VLOOKUP(C7547,Меню!A:E,5,0)</f>
        <v>150</v>
      </c>
    </row>
    <row r="7548" spans="1:6" ht="15.75" hidden="1" customHeight="1" x14ac:dyDescent="0.35">
      <c r="A7548" s="1">
        <v>7547</v>
      </c>
      <c r="B7548" s="1">
        <v>1498</v>
      </c>
      <c r="C7548" s="1">
        <v>42</v>
      </c>
      <c r="D7548" t="str">
        <f>VLOOKUP(B7548,Заказы!A:C,3,0)</f>
        <v>2024-03-06 15:47:00</v>
      </c>
      <c r="E7548" t="str">
        <f>VLOOKUP(C7548,Меню!A:E,4,0)</f>
        <v>Суши</v>
      </c>
      <c r="F7548">
        <f>VLOOKUP(C7548,Меню!A:E,5,0)</f>
        <v>250</v>
      </c>
    </row>
    <row r="7549" spans="1:6" ht="15.75" hidden="1" customHeight="1" x14ac:dyDescent="0.35">
      <c r="A7549" s="1">
        <v>7548</v>
      </c>
      <c r="B7549" s="1">
        <v>1498</v>
      </c>
      <c r="C7549" s="1">
        <v>56</v>
      </c>
      <c r="D7549" t="str">
        <f>VLOOKUP(B7549,Заказы!A:C,3,0)</f>
        <v>2024-03-06 15:47:00</v>
      </c>
      <c r="E7549" t="str">
        <f>VLOOKUP(C7549,Меню!A:E,4,0)</f>
        <v>Суши</v>
      </c>
      <c r="F7549">
        <f>VLOOKUP(C7549,Меню!A:E,5,0)</f>
        <v>200</v>
      </c>
    </row>
    <row r="7550" spans="1:6" ht="15.75" hidden="1" customHeight="1" x14ac:dyDescent="0.35">
      <c r="A7550" s="1">
        <v>7549</v>
      </c>
      <c r="B7550" s="1">
        <v>1498</v>
      </c>
      <c r="C7550" s="1">
        <v>39</v>
      </c>
      <c r="D7550" t="str">
        <f>VLOOKUP(B7550,Заказы!A:C,3,0)</f>
        <v>2024-03-06 15:47:00</v>
      </c>
      <c r="E7550" t="str">
        <f>VLOOKUP(C7550,Меню!A:E,4,0)</f>
        <v>Десерт</v>
      </c>
      <c r="F7550">
        <f>VLOOKUP(C7550,Меню!A:E,5,0)</f>
        <v>150</v>
      </c>
    </row>
    <row r="7551" spans="1:6" ht="15.75" hidden="1" customHeight="1" x14ac:dyDescent="0.35">
      <c r="A7551" s="1">
        <v>7550</v>
      </c>
      <c r="B7551" s="1">
        <v>1499</v>
      </c>
      <c r="C7551" s="1">
        <v>58</v>
      </c>
      <c r="D7551" t="str">
        <f>VLOOKUP(B7551,Заказы!A:C,3,0)</f>
        <v>2024-03-06 19:15:00</v>
      </c>
      <c r="E7551" t="str">
        <f>VLOOKUP(C7551,Меню!A:E,4,0)</f>
        <v>Суши</v>
      </c>
      <c r="F7551">
        <f>VLOOKUP(C7551,Меню!A:E,5,0)</f>
        <v>200</v>
      </c>
    </row>
    <row r="7552" spans="1:6" ht="15.75" hidden="1" customHeight="1" x14ac:dyDescent="0.35">
      <c r="A7552" s="1">
        <v>7551</v>
      </c>
      <c r="B7552" s="1">
        <v>1499</v>
      </c>
      <c r="C7552" s="1">
        <v>32</v>
      </c>
      <c r="D7552" t="str">
        <f>VLOOKUP(B7552,Заказы!A:C,3,0)</f>
        <v>2024-03-06 19:15:00</v>
      </c>
      <c r="E7552" t="str">
        <f>VLOOKUP(C7552,Меню!A:E,4,0)</f>
        <v>Десерт</v>
      </c>
      <c r="F7552">
        <f>VLOOKUP(C7552,Меню!A:E,5,0)</f>
        <v>150</v>
      </c>
    </row>
    <row r="7553" spans="1:6" ht="15.75" hidden="1" customHeight="1" x14ac:dyDescent="0.35">
      <c r="A7553" s="1">
        <v>7552</v>
      </c>
      <c r="B7553" s="1">
        <v>1499</v>
      </c>
      <c r="C7553" s="1">
        <v>51</v>
      </c>
      <c r="D7553" t="str">
        <f>VLOOKUP(B7553,Заказы!A:C,3,0)</f>
        <v>2024-03-06 19:15:00</v>
      </c>
      <c r="E7553" t="str">
        <f>VLOOKUP(C7553,Меню!A:E,4,0)</f>
        <v>Суши</v>
      </c>
      <c r="F7553">
        <f>VLOOKUP(C7553,Меню!A:E,5,0)</f>
        <v>100</v>
      </c>
    </row>
    <row r="7554" spans="1:6" ht="15.75" hidden="1" customHeight="1" x14ac:dyDescent="0.35">
      <c r="A7554" s="1">
        <v>7553</v>
      </c>
      <c r="B7554" s="1">
        <v>1499</v>
      </c>
      <c r="C7554" s="1">
        <v>40</v>
      </c>
      <c r="D7554" t="str">
        <f>VLOOKUP(B7554,Заказы!A:C,3,0)</f>
        <v>2024-03-06 19:15:00</v>
      </c>
      <c r="E7554" t="str">
        <f>VLOOKUP(C7554,Меню!A:E,4,0)</f>
        <v>Десерт</v>
      </c>
      <c r="F7554">
        <f>VLOOKUP(C7554,Меню!A:E,5,0)</f>
        <v>150</v>
      </c>
    </row>
    <row r="7555" spans="1:6" ht="15.75" hidden="1" customHeight="1" x14ac:dyDescent="0.35">
      <c r="A7555" s="1">
        <v>7554</v>
      </c>
      <c r="B7555" s="1">
        <v>1499</v>
      </c>
      <c r="C7555" s="1">
        <v>38</v>
      </c>
      <c r="D7555" t="str">
        <f>VLOOKUP(B7555,Заказы!A:C,3,0)</f>
        <v>2024-03-06 19:15:00</v>
      </c>
      <c r="E7555" t="str">
        <f>VLOOKUP(C7555,Меню!A:E,4,0)</f>
        <v>Десерт</v>
      </c>
      <c r="F7555">
        <f>VLOOKUP(C7555,Меню!A:E,5,0)</f>
        <v>150</v>
      </c>
    </row>
    <row r="7556" spans="1:6" ht="15.75" hidden="1" customHeight="1" x14ac:dyDescent="0.35">
      <c r="A7556" s="1">
        <v>7555</v>
      </c>
      <c r="B7556" s="1">
        <v>1499</v>
      </c>
      <c r="C7556" s="1">
        <v>13</v>
      </c>
      <c r="D7556" t="str">
        <f>VLOOKUP(B7556,Заказы!A:C,3,0)</f>
        <v>2024-03-06 19:15:00</v>
      </c>
      <c r="E7556" t="str">
        <f>VLOOKUP(C7556,Меню!A:E,4,0)</f>
        <v>Первое</v>
      </c>
      <c r="F7556">
        <f>VLOOKUP(C7556,Меню!A:E,5,0)</f>
        <v>280</v>
      </c>
    </row>
    <row r="7557" spans="1:6" ht="15.75" hidden="1" customHeight="1" x14ac:dyDescent="0.35">
      <c r="A7557" s="1">
        <v>7556</v>
      </c>
      <c r="B7557" s="1">
        <v>1499</v>
      </c>
      <c r="C7557" s="1">
        <v>33</v>
      </c>
      <c r="D7557" t="str">
        <f>VLOOKUP(B7557,Заказы!A:C,3,0)</f>
        <v>2024-03-06 19:15:00</v>
      </c>
      <c r="E7557" t="str">
        <f>VLOOKUP(C7557,Меню!A:E,4,0)</f>
        <v>Десерт</v>
      </c>
      <c r="F7557">
        <f>VLOOKUP(C7557,Меню!A:E,5,0)</f>
        <v>150</v>
      </c>
    </row>
    <row r="7558" spans="1:6" ht="15.75" hidden="1" customHeight="1" x14ac:dyDescent="0.35">
      <c r="A7558" s="1">
        <v>7557</v>
      </c>
      <c r="B7558" s="1">
        <v>1500</v>
      </c>
      <c r="C7558" s="1">
        <v>25</v>
      </c>
      <c r="D7558" t="str">
        <f>VLOOKUP(B7558,Заказы!A:C,3,0)</f>
        <v>2024-03-07 15:49:00</v>
      </c>
      <c r="E7558" t="str">
        <f>VLOOKUP(C7558,Меню!A:E,4,0)</f>
        <v>Салат</v>
      </c>
      <c r="F7558">
        <f>VLOOKUP(C7558,Меню!A:E,5,0)</f>
        <v>250</v>
      </c>
    </row>
    <row r="7559" spans="1:6" ht="15.75" hidden="1" customHeight="1" x14ac:dyDescent="0.35">
      <c r="A7559" s="1">
        <v>7558</v>
      </c>
      <c r="B7559" s="1">
        <v>1500</v>
      </c>
      <c r="C7559" s="1">
        <v>24</v>
      </c>
      <c r="D7559" t="str">
        <f>VLOOKUP(B7559,Заказы!A:C,3,0)</f>
        <v>2024-03-07 15:49:00</v>
      </c>
      <c r="E7559" t="str">
        <f>VLOOKUP(C7559,Меню!A:E,4,0)</f>
        <v>Салат</v>
      </c>
      <c r="F7559">
        <f>VLOOKUP(C7559,Меню!A:E,5,0)</f>
        <v>250</v>
      </c>
    </row>
    <row r="7560" spans="1:6" ht="15.75" hidden="1" customHeight="1" x14ac:dyDescent="0.35">
      <c r="A7560" s="1">
        <v>7559</v>
      </c>
      <c r="B7560" s="1">
        <v>1500</v>
      </c>
      <c r="C7560" s="1">
        <v>28</v>
      </c>
      <c r="D7560" t="str">
        <f>VLOOKUP(B7560,Заказы!A:C,3,0)</f>
        <v>2024-03-07 15:49:00</v>
      </c>
      <c r="E7560" t="str">
        <f>VLOOKUP(C7560,Меню!A:E,4,0)</f>
        <v>Салат</v>
      </c>
      <c r="F7560">
        <f>VLOOKUP(C7560,Меню!A:E,5,0)</f>
        <v>250</v>
      </c>
    </row>
    <row r="7561" spans="1:6" ht="15.75" hidden="1" customHeight="1" x14ac:dyDescent="0.35">
      <c r="A7561" s="1">
        <v>7560</v>
      </c>
      <c r="B7561" s="1">
        <v>1500</v>
      </c>
      <c r="C7561" s="1">
        <v>57</v>
      </c>
      <c r="D7561" t="str">
        <f>VLOOKUP(B7561,Заказы!A:C,3,0)</f>
        <v>2024-03-07 15:49:00</v>
      </c>
      <c r="E7561" t="str">
        <f>VLOOKUP(C7561,Меню!A:E,4,0)</f>
        <v>Суши</v>
      </c>
      <c r="F7561">
        <f>VLOOKUP(C7561,Меню!A:E,5,0)</f>
        <v>200</v>
      </c>
    </row>
    <row r="7562" spans="1:6" ht="15.75" hidden="1" customHeight="1" x14ac:dyDescent="0.35">
      <c r="A7562" s="1">
        <v>7561</v>
      </c>
      <c r="B7562" s="1">
        <v>1500</v>
      </c>
      <c r="C7562" s="1">
        <v>1</v>
      </c>
      <c r="D7562" t="str">
        <f>VLOOKUP(B7562,Заказы!A:C,3,0)</f>
        <v>2024-03-07 15:49:00</v>
      </c>
      <c r="E7562" t="str">
        <f>VLOOKUP(C7562,Меню!A:E,4,0)</f>
        <v>Завтрак</v>
      </c>
      <c r="F7562">
        <f>VLOOKUP(C7562,Меню!A:E,5,0)</f>
        <v>200</v>
      </c>
    </row>
    <row r="7563" spans="1:6" ht="15.75" hidden="1" customHeight="1" x14ac:dyDescent="0.35">
      <c r="A7563" s="1">
        <v>7562</v>
      </c>
      <c r="B7563" s="1">
        <v>1500</v>
      </c>
      <c r="C7563" s="1">
        <v>59</v>
      </c>
      <c r="D7563" t="str">
        <f>VLOOKUP(B7563,Заказы!A:C,3,0)</f>
        <v>2024-03-07 15:49:00</v>
      </c>
      <c r="E7563" t="str">
        <f>VLOOKUP(C7563,Меню!A:E,4,0)</f>
        <v>Суши</v>
      </c>
      <c r="F7563">
        <f>VLOOKUP(C7563,Меню!A:E,5,0)</f>
        <v>300</v>
      </c>
    </row>
    <row r="7564" spans="1:6" ht="15.75" hidden="1" customHeight="1" x14ac:dyDescent="0.35">
      <c r="A7564" s="1">
        <v>7563</v>
      </c>
      <c r="B7564" s="1">
        <v>1500</v>
      </c>
      <c r="C7564" s="1">
        <v>21</v>
      </c>
      <c r="D7564" t="str">
        <f>VLOOKUP(B7564,Заказы!A:C,3,0)</f>
        <v>2024-03-07 15:49:00</v>
      </c>
      <c r="E7564" t="str">
        <f>VLOOKUP(C7564,Меню!A:E,4,0)</f>
        <v>Салат</v>
      </c>
      <c r="F7564">
        <f>VLOOKUP(C7564,Меню!A:E,5,0)</f>
        <v>250</v>
      </c>
    </row>
    <row r="7565" spans="1:6" ht="15.75" hidden="1" customHeight="1" x14ac:dyDescent="0.35">
      <c r="A7565" s="1">
        <v>7564</v>
      </c>
      <c r="B7565" s="1">
        <v>1500</v>
      </c>
      <c r="C7565" s="1">
        <v>60</v>
      </c>
      <c r="D7565" t="str">
        <f>VLOOKUP(B7565,Заказы!A:C,3,0)</f>
        <v>2024-03-07 15:49:00</v>
      </c>
      <c r="E7565" t="str">
        <f>VLOOKUP(C7565,Меню!A:E,4,0)</f>
        <v>Суши</v>
      </c>
      <c r="F7565">
        <f>VLOOKUP(C7565,Меню!A:E,5,0)</f>
        <v>250</v>
      </c>
    </row>
    <row r="7566" spans="1:6" ht="15.75" hidden="1" customHeight="1" x14ac:dyDescent="0.35">
      <c r="A7566" s="1">
        <v>7565</v>
      </c>
      <c r="B7566" s="1">
        <v>1500</v>
      </c>
      <c r="C7566" s="1">
        <v>4</v>
      </c>
      <c r="D7566" t="str">
        <f>VLOOKUP(B7566,Заказы!A:C,3,0)</f>
        <v>2024-03-07 15:49:00</v>
      </c>
      <c r="E7566" t="str">
        <f>VLOOKUP(C7566,Меню!A:E,4,0)</f>
        <v>Завтрак</v>
      </c>
      <c r="F7566">
        <f>VLOOKUP(C7566,Меню!A:E,5,0)</f>
        <v>180</v>
      </c>
    </row>
    <row r="7567" spans="1:6" ht="15.75" hidden="1" customHeight="1" x14ac:dyDescent="0.35">
      <c r="A7567" s="1">
        <v>7566</v>
      </c>
      <c r="B7567" s="1">
        <v>1501</v>
      </c>
      <c r="C7567" s="1">
        <v>32</v>
      </c>
      <c r="D7567" t="str">
        <f>VLOOKUP(B7567,Заказы!A:C,3,0)</f>
        <v>2024-03-07 19:18:00</v>
      </c>
      <c r="E7567" t="str">
        <f>VLOOKUP(C7567,Меню!A:E,4,0)</f>
        <v>Десерт</v>
      </c>
      <c r="F7567">
        <f>VLOOKUP(C7567,Меню!A:E,5,0)</f>
        <v>150</v>
      </c>
    </row>
    <row r="7568" spans="1:6" ht="15.75" hidden="1" customHeight="1" x14ac:dyDescent="0.35">
      <c r="A7568" s="1">
        <v>7567</v>
      </c>
      <c r="B7568" s="1">
        <v>1501</v>
      </c>
      <c r="C7568" s="1">
        <v>30</v>
      </c>
      <c r="D7568" t="str">
        <f>VLOOKUP(B7568,Заказы!A:C,3,0)</f>
        <v>2024-03-07 19:18:00</v>
      </c>
      <c r="E7568" t="str">
        <f>VLOOKUP(C7568,Меню!A:E,4,0)</f>
        <v>Салат</v>
      </c>
      <c r="F7568">
        <f>VLOOKUP(C7568,Меню!A:E,5,0)</f>
        <v>250</v>
      </c>
    </row>
    <row r="7569" spans="1:6" ht="15.75" hidden="1" customHeight="1" x14ac:dyDescent="0.35">
      <c r="A7569" s="1">
        <v>7568</v>
      </c>
      <c r="B7569" s="1">
        <v>1501</v>
      </c>
      <c r="C7569" s="1">
        <v>20</v>
      </c>
      <c r="D7569" t="str">
        <f>VLOOKUP(B7569,Заказы!A:C,3,0)</f>
        <v>2024-03-07 19:18:00</v>
      </c>
      <c r="E7569" t="str">
        <f>VLOOKUP(C7569,Меню!A:E,4,0)</f>
        <v>Первое</v>
      </c>
      <c r="F7569">
        <f>VLOOKUP(C7569,Меню!A:E,5,0)</f>
        <v>250</v>
      </c>
    </row>
    <row r="7570" spans="1:6" ht="15.75" hidden="1" customHeight="1" x14ac:dyDescent="0.35">
      <c r="A7570" s="1">
        <v>7569</v>
      </c>
      <c r="B7570" s="1">
        <v>1501</v>
      </c>
      <c r="C7570" s="1">
        <v>50</v>
      </c>
      <c r="D7570" t="str">
        <f>VLOOKUP(B7570,Заказы!A:C,3,0)</f>
        <v>2024-03-07 19:18:00</v>
      </c>
      <c r="E7570" t="str">
        <f>VLOOKUP(C7570,Меню!A:E,4,0)</f>
        <v>Суши</v>
      </c>
      <c r="F7570">
        <f>VLOOKUP(C7570,Меню!A:E,5,0)</f>
        <v>200</v>
      </c>
    </row>
    <row r="7571" spans="1:6" ht="15.75" hidden="1" customHeight="1" x14ac:dyDescent="0.35">
      <c r="A7571" s="1">
        <v>7570</v>
      </c>
      <c r="B7571" s="1">
        <v>1502</v>
      </c>
      <c r="C7571" s="1">
        <v>39</v>
      </c>
      <c r="D7571" t="str">
        <f>VLOOKUP(B7571,Заказы!A:C,3,0)</f>
        <v>2024-03-07 20:11:00</v>
      </c>
      <c r="E7571" t="str">
        <f>VLOOKUP(C7571,Меню!A:E,4,0)</f>
        <v>Десерт</v>
      </c>
      <c r="F7571">
        <f>VLOOKUP(C7571,Меню!A:E,5,0)</f>
        <v>150</v>
      </c>
    </row>
    <row r="7572" spans="1:6" ht="15.75" hidden="1" customHeight="1" x14ac:dyDescent="0.35">
      <c r="A7572" s="1">
        <v>7571</v>
      </c>
      <c r="B7572" s="1">
        <v>1502</v>
      </c>
      <c r="C7572" s="1">
        <v>28</v>
      </c>
      <c r="D7572" t="str">
        <f>VLOOKUP(B7572,Заказы!A:C,3,0)</f>
        <v>2024-03-07 20:11:00</v>
      </c>
      <c r="E7572" t="str">
        <f>VLOOKUP(C7572,Меню!A:E,4,0)</f>
        <v>Салат</v>
      </c>
      <c r="F7572">
        <f>VLOOKUP(C7572,Меню!A:E,5,0)</f>
        <v>250</v>
      </c>
    </row>
    <row r="7573" spans="1:6" ht="15.75" hidden="1" customHeight="1" x14ac:dyDescent="0.35">
      <c r="A7573" s="1">
        <v>7572</v>
      </c>
      <c r="B7573" s="1">
        <v>1502</v>
      </c>
      <c r="C7573" s="1">
        <v>20</v>
      </c>
      <c r="D7573" t="str">
        <f>VLOOKUP(B7573,Заказы!A:C,3,0)</f>
        <v>2024-03-07 20:11:00</v>
      </c>
      <c r="E7573" t="str">
        <f>VLOOKUP(C7573,Меню!A:E,4,0)</f>
        <v>Первое</v>
      </c>
      <c r="F7573">
        <f>VLOOKUP(C7573,Меню!A:E,5,0)</f>
        <v>250</v>
      </c>
    </row>
    <row r="7574" spans="1:6" ht="15.75" hidden="1" customHeight="1" x14ac:dyDescent="0.35">
      <c r="A7574" s="1">
        <v>7573</v>
      </c>
      <c r="B7574" s="1">
        <v>1502</v>
      </c>
      <c r="C7574" s="1">
        <v>27</v>
      </c>
      <c r="D7574" t="str">
        <f>VLOOKUP(B7574,Заказы!A:C,3,0)</f>
        <v>2024-03-07 20:11:00</v>
      </c>
      <c r="E7574" t="str">
        <f>VLOOKUP(C7574,Меню!A:E,4,0)</f>
        <v>Салат</v>
      </c>
      <c r="F7574">
        <f>VLOOKUP(C7574,Меню!A:E,5,0)</f>
        <v>250</v>
      </c>
    </row>
    <row r="7575" spans="1:6" ht="15.75" hidden="1" customHeight="1" x14ac:dyDescent="0.35">
      <c r="A7575" s="1">
        <v>7574</v>
      </c>
      <c r="B7575" s="1">
        <v>1502</v>
      </c>
      <c r="C7575" s="1">
        <v>24</v>
      </c>
      <c r="D7575" t="str">
        <f>VLOOKUP(B7575,Заказы!A:C,3,0)</f>
        <v>2024-03-07 20:11:00</v>
      </c>
      <c r="E7575" t="str">
        <f>VLOOKUP(C7575,Меню!A:E,4,0)</f>
        <v>Салат</v>
      </c>
      <c r="F7575">
        <f>VLOOKUP(C7575,Меню!A:E,5,0)</f>
        <v>250</v>
      </c>
    </row>
    <row r="7576" spans="1:6" ht="15.75" hidden="1" customHeight="1" x14ac:dyDescent="0.35">
      <c r="A7576" s="1">
        <v>7575</v>
      </c>
      <c r="B7576" s="1">
        <v>1503</v>
      </c>
      <c r="C7576" s="1">
        <v>40</v>
      </c>
      <c r="D7576" t="str">
        <f>VLOOKUP(B7576,Заказы!A:C,3,0)</f>
        <v>2024-03-07 22:38:00</v>
      </c>
      <c r="E7576" t="str">
        <f>VLOOKUP(C7576,Меню!A:E,4,0)</f>
        <v>Десерт</v>
      </c>
      <c r="F7576">
        <f>VLOOKUP(C7576,Меню!A:E,5,0)</f>
        <v>150</v>
      </c>
    </row>
    <row r="7577" spans="1:6" ht="15.75" hidden="1" customHeight="1" x14ac:dyDescent="0.35">
      <c r="A7577" s="1">
        <v>7576</v>
      </c>
      <c r="B7577" s="1">
        <v>1503</v>
      </c>
      <c r="C7577" s="1">
        <v>38</v>
      </c>
      <c r="D7577" t="str">
        <f>VLOOKUP(B7577,Заказы!A:C,3,0)</f>
        <v>2024-03-07 22:38:00</v>
      </c>
      <c r="E7577" t="str">
        <f>VLOOKUP(C7577,Меню!A:E,4,0)</f>
        <v>Десерт</v>
      </c>
      <c r="F7577">
        <f>VLOOKUP(C7577,Меню!A:E,5,0)</f>
        <v>150</v>
      </c>
    </row>
    <row r="7578" spans="1:6" ht="15.75" hidden="1" customHeight="1" x14ac:dyDescent="0.35">
      <c r="A7578" s="1">
        <v>7577</v>
      </c>
      <c r="B7578" s="1">
        <v>1503</v>
      </c>
      <c r="C7578" s="1">
        <v>42</v>
      </c>
      <c r="D7578" t="str">
        <f>VLOOKUP(B7578,Заказы!A:C,3,0)</f>
        <v>2024-03-07 22:38:00</v>
      </c>
      <c r="E7578" t="str">
        <f>VLOOKUP(C7578,Меню!A:E,4,0)</f>
        <v>Суши</v>
      </c>
      <c r="F7578">
        <f>VLOOKUP(C7578,Меню!A:E,5,0)</f>
        <v>250</v>
      </c>
    </row>
    <row r="7579" spans="1:6" ht="15.75" hidden="1" customHeight="1" x14ac:dyDescent="0.35">
      <c r="A7579" s="1">
        <v>7578</v>
      </c>
      <c r="B7579" s="1">
        <v>1503</v>
      </c>
      <c r="C7579" s="1">
        <v>32</v>
      </c>
      <c r="D7579" t="str">
        <f>VLOOKUP(B7579,Заказы!A:C,3,0)</f>
        <v>2024-03-07 22:38:00</v>
      </c>
      <c r="E7579" t="str">
        <f>VLOOKUP(C7579,Меню!A:E,4,0)</f>
        <v>Десерт</v>
      </c>
      <c r="F7579">
        <f>VLOOKUP(C7579,Меню!A:E,5,0)</f>
        <v>150</v>
      </c>
    </row>
    <row r="7580" spans="1:6" ht="15.75" hidden="1" customHeight="1" x14ac:dyDescent="0.35">
      <c r="A7580" s="1">
        <v>7579</v>
      </c>
      <c r="B7580" s="1">
        <v>1503</v>
      </c>
      <c r="C7580" s="1">
        <v>4</v>
      </c>
      <c r="D7580" t="str">
        <f>VLOOKUP(B7580,Заказы!A:C,3,0)</f>
        <v>2024-03-07 22:38:00</v>
      </c>
      <c r="E7580" t="str">
        <f>VLOOKUP(C7580,Меню!A:E,4,0)</f>
        <v>Завтрак</v>
      </c>
      <c r="F7580">
        <f>VLOOKUP(C7580,Меню!A:E,5,0)</f>
        <v>180</v>
      </c>
    </row>
    <row r="7581" spans="1:6" ht="15.75" hidden="1" customHeight="1" x14ac:dyDescent="0.35">
      <c r="A7581" s="1">
        <v>7580</v>
      </c>
      <c r="B7581" s="1">
        <v>1504</v>
      </c>
      <c r="C7581" s="1">
        <v>50</v>
      </c>
      <c r="D7581" t="str">
        <f>VLOOKUP(B7581,Заказы!A:C,3,0)</f>
        <v>2024-03-08 20:02:00</v>
      </c>
      <c r="E7581" t="str">
        <f>VLOOKUP(C7581,Меню!A:E,4,0)</f>
        <v>Суши</v>
      </c>
      <c r="F7581">
        <f>VLOOKUP(C7581,Меню!A:E,5,0)</f>
        <v>200</v>
      </c>
    </row>
    <row r="7582" spans="1:6" ht="15.75" hidden="1" customHeight="1" x14ac:dyDescent="0.35">
      <c r="A7582" s="1">
        <v>7581</v>
      </c>
      <c r="B7582" s="1">
        <v>1504</v>
      </c>
      <c r="C7582" s="1">
        <v>21</v>
      </c>
      <c r="D7582" t="str">
        <f>VLOOKUP(B7582,Заказы!A:C,3,0)</f>
        <v>2024-03-08 20:02:00</v>
      </c>
      <c r="E7582" t="str">
        <f>VLOOKUP(C7582,Меню!A:E,4,0)</f>
        <v>Салат</v>
      </c>
      <c r="F7582">
        <f>VLOOKUP(C7582,Меню!A:E,5,0)</f>
        <v>250</v>
      </c>
    </row>
    <row r="7583" spans="1:6" ht="15.75" hidden="1" customHeight="1" x14ac:dyDescent="0.35">
      <c r="A7583" s="1">
        <v>7582</v>
      </c>
      <c r="B7583" s="1">
        <v>1504</v>
      </c>
      <c r="C7583" s="1">
        <v>18</v>
      </c>
      <c r="D7583" t="str">
        <f>VLOOKUP(B7583,Заказы!A:C,3,0)</f>
        <v>2024-03-08 20:02:00</v>
      </c>
      <c r="E7583" t="str">
        <f>VLOOKUP(C7583,Меню!A:E,4,0)</f>
        <v>Первое</v>
      </c>
      <c r="F7583">
        <f>VLOOKUP(C7583,Меню!A:E,5,0)</f>
        <v>300</v>
      </c>
    </row>
    <row r="7584" spans="1:6" ht="15.75" hidden="1" customHeight="1" x14ac:dyDescent="0.35">
      <c r="A7584" s="1">
        <v>7583</v>
      </c>
      <c r="B7584" s="1">
        <v>1504</v>
      </c>
      <c r="C7584" s="1">
        <v>29</v>
      </c>
      <c r="D7584" t="str">
        <f>VLOOKUP(B7584,Заказы!A:C,3,0)</f>
        <v>2024-03-08 20:02:00</v>
      </c>
      <c r="E7584" t="str">
        <f>VLOOKUP(C7584,Меню!A:E,4,0)</f>
        <v>Салат</v>
      </c>
      <c r="F7584">
        <f>VLOOKUP(C7584,Меню!A:E,5,0)</f>
        <v>250</v>
      </c>
    </row>
    <row r="7585" spans="1:6" ht="15.75" hidden="1" customHeight="1" x14ac:dyDescent="0.35">
      <c r="A7585" s="1">
        <v>7584</v>
      </c>
      <c r="B7585" s="1">
        <v>1505</v>
      </c>
      <c r="C7585" s="1">
        <v>29</v>
      </c>
      <c r="D7585" t="str">
        <f>VLOOKUP(B7585,Заказы!A:C,3,0)</f>
        <v>2024-03-08 20:24:00</v>
      </c>
      <c r="E7585" t="str">
        <f>VLOOKUP(C7585,Меню!A:E,4,0)</f>
        <v>Салат</v>
      </c>
      <c r="F7585">
        <f>VLOOKUP(C7585,Меню!A:E,5,0)</f>
        <v>250</v>
      </c>
    </row>
    <row r="7586" spans="1:6" ht="15.75" hidden="1" customHeight="1" x14ac:dyDescent="0.35">
      <c r="A7586" s="1">
        <v>7585</v>
      </c>
      <c r="B7586" s="1">
        <v>1505</v>
      </c>
      <c r="C7586" s="1">
        <v>40</v>
      </c>
      <c r="D7586" t="str">
        <f>VLOOKUP(B7586,Заказы!A:C,3,0)</f>
        <v>2024-03-08 20:24:00</v>
      </c>
      <c r="E7586" t="str">
        <f>VLOOKUP(C7586,Меню!A:E,4,0)</f>
        <v>Десерт</v>
      </c>
      <c r="F7586">
        <f>VLOOKUP(C7586,Меню!A:E,5,0)</f>
        <v>150</v>
      </c>
    </row>
    <row r="7587" spans="1:6" ht="15.75" hidden="1" customHeight="1" x14ac:dyDescent="0.35">
      <c r="A7587" s="1">
        <v>7586</v>
      </c>
      <c r="B7587" s="1">
        <v>1505</v>
      </c>
      <c r="C7587" s="1">
        <v>24</v>
      </c>
      <c r="D7587" t="str">
        <f>VLOOKUP(B7587,Заказы!A:C,3,0)</f>
        <v>2024-03-08 20:24:00</v>
      </c>
      <c r="E7587" t="str">
        <f>VLOOKUP(C7587,Меню!A:E,4,0)</f>
        <v>Салат</v>
      </c>
      <c r="F7587">
        <f>VLOOKUP(C7587,Меню!A:E,5,0)</f>
        <v>250</v>
      </c>
    </row>
    <row r="7588" spans="1:6" ht="15.75" hidden="1" customHeight="1" x14ac:dyDescent="0.35">
      <c r="A7588" s="1">
        <v>7587</v>
      </c>
      <c r="B7588" s="1">
        <v>1505</v>
      </c>
      <c r="C7588" s="1">
        <v>55</v>
      </c>
      <c r="D7588" t="str">
        <f>VLOOKUP(B7588,Заказы!A:C,3,0)</f>
        <v>2024-03-08 20:24:00</v>
      </c>
      <c r="E7588" t="str">
        <f>VLOOKUP(C7588,Меню!A:E,4,0)</f>
        <v>Суши</v>
      </c>
      <c r="F7588">
        <f>VLOOKUP(C7588,Меню!A:E,5,0)</f>
        <v>100</v>
      </c>
    </row>
    <row r="7589" spans="1:6" ht="15.75" hidden="1" customHeight="1" x14ac:dyDescent="0.35">
      <c r="A7589" s="1">
        <v>7588</v>
      </c>
      <c r="B7589" s="1">
        <v>1505</v>
      </c>
      <c r="C7589" s="1">
        <v>53</v>
      </c>
      <c r="D7589" t="str">
        <f>VLOOKUP(B7589,Заказы!A:C,3,0)</f>
        <v>2024-03-08 20:24:00</v>
      </c>
      <c r="E7589" t="str">
        <f>VLOOKUP(C7589,Меню!A:E,4,0)</f>
        <v>Суши</v>
      </c>
      <c r="F7589">
        <f>VLOOKUP(C7589,Меню!A:E,5,0)</f>
        <v>100</v>
      </c>
    </row>
    <row r="7590" spans="1:6" ht="15.75" hidden="1" customHeight="1" x14ac:dyDescent="0.35">
      <c r="A7590" s="1">
        <v>7589</v>
      </c>
      <c r="B7590" s="1">
        <v>1505</v>
      </c>
      <c r="C7590" s="1">
        <v>40</v>
      </c>
      <c r="D7590" t="str">
        <f>VLOOKUP(B7590,Заказы!A:C,3,0)</f>
        <v>2024-03-08 20:24:00</v>
      </c>
      <c r="E7590" t="str">
        <f>VLOOKUP(C7590,Меню!A:E,4,0)</f>
        <v>Десерт</v>
      </c>
      <c r="F7590">
        <f>VLOOKUP(C7590,Меню!A:E,5,0)</f>
        <v>150</v>
      </c>
    </row>
    <row r="7591" spans="1:6" ht="15.75" hidden="1" customHeight="1" x14ac:dyDescent="0.35">
      <c r="A7591" s="1">
        <v>7590</v>
      </c>
      <c r="B7591" s="1">
        <v>1506</v>
      </c>
      <c r="C7591" s="1">
        <v>3</v>
      </c>
      <c r="D7591" t="str">
        <f>VLOOKUP(B7591,Заказы!A:C,3,0)</f>
        <v>2024-03-08 20:36:00</v>
      </c>
      <c r="E7591" t="str">
        <f>VLOOKUP(C7591,Меню!A:E,4,0)</f>
        <v>Завтрак</v>
      </c>
      <c r="F7591">
        <f>VLOOKUP(C7591,Меню!A:E,5,0)</f>
        <v>150</v>
      </c>
    </row>
    <row r="7592" spans="1:6" ht="15.75" hidden="1" customHeight="1" x14ac:dyDescent="0.35">
      <c r="A7592" s="1">
        <v>7591</v>
      </c>
      <c r="B7592" s="1">
        <v>1506</v>
      </c>
      <c r="C7592" s="1">
        <v>25</v>
      </c>
      <c r="D7592" t="str">
        <f>VLOOKUP(B7592,Заказы!A:C,3,0)</f>
        <v>2024-03-08 20:36:00</v>
      </c>
      <c r="E7592" t="str">
        <f>VLOOKUP(C7592,Меню!A:E,4,0)</f>
        <v>Салат</v>
      </c>
      <c r="F7592">
        <f>VLOOKUP(C7592,Меню!A:E,5,0)</f>
        <v>250</v>
      </c>
    </row>
    <row r="7593" spans="1:6" ht="15.75" hidden="1" customHeight="1" x14ac:dyDescent="0.35">
      <c r="A7593" s="1">
        <v>7592</v>
      </c>
      <c r="B7593" s="1">
        <v>1506</v>
      </c>
      <c r="C7593" s="1">
        <v>48</v>
      </c>
      <c r="D7593" t="str">
        <f>VLOOKUP(B7593,Заказы!A:C,3,0)</f>
        <v>2024-03-08 20:36:00</v>
      </c>
      <c r="E7593" t="str">
        <f>VLOOKUP(C7593,Меню!A:E,4,0)</f>
        <v>Суши</v>
      </c>
      <c r="F7593">
        <f>VLOOKUP(C7593,Меню!A:E,5,0)</f>
        <v>200</v>
      </c>
    </row>
    <row r="7594" spans="1:6" ht="15.75" hidden="1" customHeight="1" x14ac:dyDescent="0.35">
      <c r="A7594" s="1">
        <v>7593</v>
      </c>
      <c r="B7594" s="1">
        <v>1506</v>
      </c>
      <c r="C7594" s="1">
        <v>10</v>
      </c>
      <c r="D7594" t="str">
        <f>VLOOKUP(B7594,Заказы!A:C,3,0)</f>
        <v>2024-03-08 20:36:00</v>
      </c>
      <c r="E7594" t="str">
        <f>VLOOKUP(C7594,Меню!A:E,4,0)</f>
        <v>Завтрак</v>
      </c>
      <c r="F7594">
        <f>VLOOKUP(C7594,Меню!A:E,5,0)</f>
        <v>200</v>
      </c>
    </row>
    <row r="7595" spans="1:6" ht="15.75" hidden="1" customHeight="1" x14ac:dyDescent="0.35">
      <c r="A7595" s="1">
        <v>7594</v>
      </c>
      <c r="B7595" s="1">
        <v>1506</v>
      </c>
      <c r="C7595" s="1">
        <v>22</v>
      </c>
      <c r="D7595" t="str">
        <f>VLOOKUP(B7595,Заказы!A:C,3,0)</f>
        <v>2024-03-08 20:36:00</v>
      </c>
      <c r="E7595" t="str">
        <f>VLOOKUP(C7595,Меню!A:E,4,0)</f>
        <v>Салат</v>
      </c>
      <c r="F7595">
        <f>VLOOKUP(C7595,Меню!A:E,5,0)</f>
        <v>250</v>
      </c>
    </row>
    <row r="7596" spans="1:6" ht="15.75" hidden="1" customHeight="1" x14ac:dyDescent="0.35">
      <c r="A7596" s="1">
        <v>7595</v>
      </c>
      <c r="B7596" s="1">
        <v>1506</v>
      </c>
      <c r="C7596" s="1">
        <v>55</v>
      </c>
      <c r="D7596" t="str">
        <f>VLOOKUP(B7596,Заказы!A:C,3,0)</f>
        <v>2024-03-08 20:36:00</v>
      </c>
      <c r="E7596" t="str">
        <f>VLOOKUP(C7596,Меню!A:E,4,0)</f>
        <v>Суши</v>
      </c>
      <c r="F7596">
        <f>VLOOKUP(C7596,Меню!A:E,5,0)</f>
        <v>100</v>
      </c>
    </row>
    <row r="7597" spans="1:6" ht="15.75" hidden="1" customHeight="1" x14ac:dyDescent="0.35">
      <c r="A7597" s="1">
        <v>7596</v>
      </c>
      <c r="B7597" s="1">
        <v>1507</v>
      </c>
      <c r="C7597" s="1">
        <v>11</v>
      </c>
      <c r="D7597" t="str">
        <f>VLOOKUP(B7597,Заказы!A:C,3,0)</f>
        <v>2024-03-09 15:56:00</v>
      </c>
      <c r="E7597" t="str">
        <f>VLOOKUP(C7597,Меню!A:E,4,0)</f>
        <v>Первое</v>
      </c>
      <c r="F7597">
        <f>VLOOKUP(C7597,Меню!A:E,5,0)</f>
        <v>300</v>
      </c>
    </row>
    <row r="7598" spans="1:6" ht="15.75" hidden="1" customHeight="1" x14ac:dyDescent="0.35">
      <c r="A7598" s="1">
        <v>7597</v>
      </c>
      <c r="B7598" s="1">
        <v>1507</v>
      </c>
      <c r="C7598" s="1">
        <v>2</v>
      </c>
      <c r="D7598" t="str">
        <f>VLOOKUP(B7598,Заказы!A:C,3,0)</f>
        <v>2024-03-09 15:56:00</v>
      </c>
      <c r="E7598" t="str">
        <f>VLOOKUP(C7598,Меню!A:E,4,0)</f>
        <v>Завтрак</v>
      </c>
      <c r="F7598">
        <f>VLOOKUP(C7598,Меню!A:E,5,0)</f>
        <v>250</v>
      </c>
    </row>
    <row r="7599" spans="1:6" ht="15.75" hidden="1" customHeight="1" x14ac:dyDescent="0.35">
      <c r="A7599" s="1">
        <v>7598</v>
      </c>
      <c r="B7599" s="1">
        <v>1508</v>
      </c>
      <c r="C7599" s="1">
        <v>1</v>
      </c>
      <c r="D7599" t="str">
        <f>VLOOKUP(B7599,Заказы!A:C,3,0)</f>
        <v>2024-03-09 19:18:00</v>
      </c>
      <c r="E7599" t="str">
        <f>VLOOKUP(C7599,Меню!A:E,4,0)</f>
        <v>Завтрак</v>
      </c>
      <c r="F7599">
        <f>VLOOKUP(C7599,Меню!A:E,5,0)</f>
        <v>200</v>
      </c>
    </row>
    <row r="7600" spans="1:6" ht="15.75" hidden="1" customHeight="1" x14ac:dyDescent="0.35">
      <c r="A7600" s="1">
        <v>7599</v>
      </c>
      <c r="B7600" s="1">
        <v>1508</v>
      </c>
      <c r="C7600" s="1">
        <v>38</v>
      </c>
      <c r="D7600" t="str">
        <f>VLOOKUP(B7600,Заказы!A:C,3,0)</f>
        <v>2024-03-09 19:18:00</v>
      </c>
      <c r="E7600" t="str">
        <f>VLOOKUP(C7600,Меню!A:E,4,0)</f>
        <v>Десерт</v>
      </c>
      <c r="F7600">
        <f>VLOOKUP(C7600,Меню!A:E,5,0)</f>
        <v>150</v>
      </c>
    </row>
    <row r="7601" spans="1:6" ht="15.75" hidden="1" customHeight="1" x14ac:dyDescent="0.35">
      <c r="A7601" s="1">
        <v>7600</v>
      </c>
      <c r="B7601" s="1">
        <v>1508</v>
      </c>
      <c r="C7601" s="1">
        <v>15</v>
      </c>
      <c r="D7601" t="str">
        <f>VLOOKUP(B7601,Заказы!A:C,3,0)</f>
        <v>2024-03-09 19:18:00</v>
      </c>
      <c r="E7601" t="str">
        <f>VLOOKUP(C7601,Меню!A:E,4,0)</f>
        <v>Первое</v>
      </c>
      <c r="F7601">
        <f>VLOOKUP(C7601,Меню!A:E,5,0)</f>
        <v>250</v>
      </c>
    </row>
    <row r="7602" spans="1:6" ht="15.75" hidden="1" customHeight="1" x14ac:dyDescent="0.35">
      <c r="A7602" s="1">
        <v>7601</v>
      </c>
      <c r="B7602" s="1">
        <v>1508</v>
      </c>
      <c r="C7602" s="1">
        <v>39</v>
      </c>
      <c r="D7602" t="str">
        <f>VLOOKUP(B7602,Заказы!A:C,3,0)</f>
        <v>2024-03-09 19:18:00</v>
      </c>
      <c r="E7602" t="str">
        <f>VLOOKUP(C7602,Меню!A:E,4,0)</f>
        <v>Десерт</v>
      </c>
      <c r="F7602">
        <f>VLOOKUP(C7602,Меню!A:E,5,0)</f>
        <v>150</v>
      </c>
    </row>
    <row r="7603" spans="1:6" ht="15.75" hidden="1" customHeight="1" x14ac:dyDescent="0.35">
      <c r="A7603" s="1">
        <v>7602</v>
      </c>
      <c r="B7603" s="1">
        <v>1508</v>
      </c>
      <c r="C7603" s="1">
        <v>40</v>
      </c>
      <c r="D7603" t="str">
        <f>VLOOKUP(B7603,Заказы!A:C,3,0)</f>
        <v>2024-03-09 19:18:00</v>
      </c>
      <c r="E7603" t="str">
        <f>VLOOKUP(C7603,Меню!A:E,4,0)</f>
        <v>Десерт</v>
      </c>
      <c r="F7603">
        <f>VLOOKUP(C7603,Меню!A:E,5,0)</f>
        <v>150</v>
      </c>
    </row>
    <row r="7604" spans="1:6" ht="15.75" hidden="1" customHeight="1" x14ac:dyDescent="0.35">
      <c r="A7604" s="1">
        <v>7603</v>
      </c>
      <c r="B7604" s="1">
        <v>1508</v>
      </c>
      <c r="C7604" s="1">
        <v>20</v>
      </c>
      <c r="D7604" t="str">
        <f>VLOOKUP(B7604,Заказы!A:C,3,0)</f>
        <v>2024-03-09 19:18:00</v>
      </c>
      <c r="E7604" t="str">
        <f>VLOOKUP(C7604,Меню!A:E,4,0)</f>
        <v>Первое</v>
      </c>
      <c r="F7604">
        <f>VLOOKUP(C7604,Меню!A:E,5,0)</f>
        <v>250</v>
      </c>
    </row>
    <row r="7605" spans="1:6" ht="15.75" hidden="1" customHeight="1" x14ac:dyDescent="0.35">
      <c r="A7605" s="1">
        <v>7604</v>
      </c>
      <c r="B7605" s="1">
        <v>1509</v>
      </c>
      <c r="C7605" s="1">
        <v>58</v>
      </c>
      <c r="D7605" t="str">
        <f>VLOOKUP(B7605,Заказы!A:C,3,0)</f>
        <v>2024-03-09 22:57:00</v>
      </c>
      <c r="E7605" t="str">
        <f>VLOOKUP(C7605,Меню!A:E,4,0)</f>
        <v>Суши</v>
      </c>
      <c r="F7605">
        <f>VLOOKUP(C7605,Меню!A:E,5,0)</f>
        <v>200</v>
      </c>
    </row>
    <row r="7606" spans="1:6" ht="15.75" hidden="1" customHeight="1" x14ac:dyDescent="0.35">
      <c r="A7606" s="1">
        <v>7605</v>
      </c>
      <c r="B7606" s="1">
        <v>1509</v>
      </c>
      <c r="C7606" s="1">
        <v>45</v>
      </c>
      <c r="D7606" t="str">
        <f>VLOOKUP(B7606,Заказы!A:C,3,0)</f>
        <v>2024-03-09 22:57:00</v>
      </c>
      <c r="E7606" t="str">
        <f>VLOOKUP(C7606,Меню!A:E,4,0)</f>
        <v>Суши</v>
      </c>
      <c r="F7606">
        <f>VLOOKUP(C7606,Меню!A:E,5,0)</f>
        <v>200</v>
      </c>
    </row>
    <row r="7607" spans="1:6" ht="15.75" hidden="1" customHeight="1" x14ac:dyDescent="0.35">
      <c r="A7607" s="1">
        <v>7606</v>
      </c>
      <c r="B7607" s="1">
        <v>1509</v>
      </c>
      <c r="C7607" s="1">
        <v>1</v>
      </c>
      <c r="D7607" t="str">
        <f>VLOOKUP(B7607,Заказы!A:C,3,0)</f>
        <v>2024-03-09 22:57:00</v>
      </c>
      <c r="E7607" t="str">
        <f>VLOOKUP(C7607,Меню!A:E,4,0)</f>
        <v>Завтрак</v>
      </c>
      <c r="F7607">
        <f>VLOOKUP(C7607,Меню!A:E,5,0)</f>
        <v>200</v>
      </c>
    </row>
    <row r="7608" spans="1:6" ht="15.75" hidden="1" customHeight="1" x14ac:dyDescent="0.35">
      <c r="A7608" s="1">
        <v>7607</v>
      </c>
      <c r="B7608" s="1">
        <v>1509</v>
      </c>
      <c r="C7608" s="1">
        <v>41</v>
      </c>
      <c r="D7608" t="str">
        <f>VLOOKUP(B7608,Заказы!A:C,3,0)</f>
        <v>2024-03-09 22:57:00</v>
      </c>
      <c r="E7608" t="str">
        <f>VLOOKUP(C7608,Меню!A:E,4,0)</f>
        <v>Суши</v>
      </c>
      <c r="F7608">
        <f>VLOOKUP(C7608,Меню!A:E,5,0)</f>
        <v>220</v>
      </c>
    </row>
    <row r="7609" spans="1:6" ht="15.75" hidden="1" customHeight="1" x14ac:dyDescent="0.35">
      <c r="A7609" s="1">
        <v>7608</v>
      </c>
      <c r="B7609" s="1">
        <v>1509</v>
      </c>
      <c r="C7609" s="1">
        <v>1</v>
      </c>
      <c r="D7609" t="str">
        <f>VLOOKUP(B7609,Заказы!A:C,3,0)</f>
        <v>2024-03-09 22:57:00</v>
      </c>
      <c r="E7609" t="str">
        <f>VLOOKUP(C7609,Меню!A:E,4,0)</f>
        <v>Завтрак</v>
      </c>
      <c r="F7609">
        <f>VLOOKUP(C7609,Меню!A:E,5,0)</f>
        <v>200</v>
      </c>
    </row>
    <row r="7610" spans="1:6" ht="15.75" hidden="1" customHeight="1" x14ac:dyDescent="0.35">
      <c r="A7610" s="1">
        <v>7609</v>
      </c>
      <c r="B7610" s="1">
        <v>1509</v>
      </c>
      <c r="C7610" s="1">
        <v>39</v>
      </c>
      <c r="D7610" t="str">
        <f>VLOOKUP(B7610,Заказы!A:C,3,0)</f>
        <v>2024-03-09 22:57:00</v>
      </c>
      <c r="E7610" t="str">
        <f>VLOOKUP(C7610,Меню!A:E,4,0)</f>
        <v>Десерт</v>
      </c>
      <c r="F7610">
        <f>VLOOKUP(C7610,Меню!A:E,5,0)</f>
        <v>150</v>
      </c>
    </row>
    <row r="7611" spans="1:6" ht="15.75" hidden="1" customHeight="1" x14ac:dyDescent="0.35">
      <c r="A7611" s="1">
        <v>7610</v>
      </c>
      <c r="B7611" s="1">
        <v>1509</v>
      </c>
      <c r="C7611" s="1">
        <v>16</v>
      </c>
      <c r="D7611" t="str">
        <f>VLOOKUP(B7611,Заказы!A:C,3,0)</f>
        <v>2024-03-09 22:57:00</v>
      </c>
      <c r="E7611" t="str">
        <f>VLOOKUP(C7611,Меню!A:E,4,0)</f>
        <v>Первое</v>
      </c>
      <c r="F7611">
        <f>VLOOKUP(C7611,Меню!A:E,5,0)</f>
        <v>250</v>
      </c>
    </row>
    <row r="7612" spans="1:6" ht="15.75" hidden="1" customHeight="1" x14ac:dyDescent="0.35">
      <c r="A7612" s="1">
        <v>7611</v>
      </c>
      <c r="B7612" s="1">
        <v>1509</v>
      </c>
      <c r="C7612" s="1">
        <v>17</v>
      </c>
      <c r="D7612" t="str">
        <f>VLOOKUP(B7612,Заказы!A:C,3,0)</f>
        <v>2024-03-09 22:57:00</v>
      </c>
      <c r="E7612" t="str">
        <f>VLOOKUP(C7612,Меню!A:E,4,0)</f>
        <v>Первое</v>
      </c>
      <c r="F7612">
        <f>VLOOKUP(C7612,Меню!A:E,5,0)</f>
        <v>250</v>
      </c>
    </row>
    <row r="7613" spans="1:6" ht="15.75" hidden="1" customHeight="1" x14ac:dyDescent="0.35">
      <c r="A7613" s="1">
        <v>7612</v>
      </c>
      <c r="B7613" s="1">
        <v>1510</v>
      </c>
      <c r="C7613" s="1">
        <v>34</v>
      </c>
      <c r="D7613" t="str">
        <f>VLOOKUP(B7613,Заказы!A:C,3,0)</f>
        <v>2024-03-10 17:45:00</v>
      </c>
      <c r="E7613" t="str">
        <f>VLOOKUP(C7613,Меню!A:E,4,0)</f>
        <v>Десерт</v>
      </c>
      <c r="F7613">
        <f>VLOOKUP(C7613,Меню!A:E,5,0)</f>
        <v>150</v>
      </c>
    </row>
    <row r="7614" spans="1:6" ht="15.75" hidden="1" customHeight="1" x14ac:dyDescent="0.35">
      <c r="A7614" s="1">
        <v>7613</v>
      </c>
      <c r="B7614" s="1">
        <v>1510</v>
      </c>
      <c r="C7614" s="1">
        <v>17</v>
      </c>
      <c r="D7614" t="str">
        <f>VLOOKUP(B7614,Заказы!A:C,3,0)</f>
        <v>2024-03-10 17:45:00</v>
      </c>
      <c r="E7614" t="str">
        <f>VLOOKUP(C7614,Меню!A:E,4,0)</f>
        <v>Первое</v>
      </c>
      <c r="F7614">
        <f>VLOOKUP(C7614,Меню!A:E,5,0)</f>
        <v>250</v>
      </c>
    </row>
    <row r="7615" spans="1:6" ht="15.75" hidden="1" customHeight="1" x14ac:dyDescent="0.35">
      <c r="A7615" s="1">
        <v>7614</v>
      </c>
      <c r="B7615" s="1">
        <v>1511</v>
      </c>
      <c r="C7615" s="1">
        <v>33</v>
      </c>
      <c r="D7615" t="str">
        <f>VLOOKUP(B7615,Заказы!A:C,3,0)</f>
        <v>2024-03-10 19:44:00</v>
      </c>
      <c r="E7615" t="str">
        <f>VLOOKUP(C7615,Меню!A:E,4,0)</f>
        <v>Десерт</v>
      </c>
      <c r="F7615">
        <f>VLOOKUP(C7615,Меню!A:E,5,0)</f>
        <v>150</v>
      </c>
    </row>
    <row r="7616" spans="1:6" ht="15.75" hidden="1" customHeight="1" x14ac:dyDescent="0.35">
      <c r="A7616" s="1">
        <v>7615</v>
      </c>
      <c r="B7616" s="1">
        <v>1511</v>
      </c>
      <c r="C7616" s="1">
        <v>5</v>
      </c>
      <c r="D7616" t="str">
        <f>VLOOKUP(B7616,Заказы!A:C,3,0)</f>
        <v>2024-03-10 19:44:00</v>
      </c>
      <c r="E7616" t="str">
        <f>VLOOKUP(C7616,Меню!A:E,4,0)</f>
        <v>Завтрак</v>
      </c>
      <c r="F7616">
        <f>VLOOKUP(C7616,Меню!A:E,5,0)</f>
        <v>220</v>
      </c>
    </row>
    <row r="7617" spans="1:6" ht="15.75" hidden="1" customHeight="1" x14ac:dyDescent="0.35">
      <c r="A7617" s="1">
        <v>7616</v>
      </c>
      <c r="B7617" s="1">
        <v>1511</v>
      </c>
      <c r="C7617" s="1">
        <v>24</v>
      </c>
      <c r="D7617" t="str">
        <f>VLOOKUP(B7617,Заказы!A:C,3,0)</f>
        <v>2024-03-10 19:44:00</v>
      </c>
      <c r="E7617" t="str">
        <f>VLOOKUP(C7617,Меню!A:E,4,0)</f>
        <v>Салат</v>
      </c>
      <c r="F7617">
        <f>VLOOKUP(C7617,Меню!A:E,5,0)</f>
        <v>250</v>
      </c>
    </row>
    <row r="7618" spans="1:6" ht="15.75" hidden="1" customHeight="1" x14ac:dyDescent="0.35">
      <c r="A7618" s="1">
        <v>7617</v>
      </c>
      <c r="B7618" s="1">
        <v>1511</v>
      </c>
      <c r="C7618" s="1">
        <v>5</v>
      </c>
      <c r="D7618" t="str">
        <f>VLOOKUP(B7618,Заказы!A:C,3,0)</f>
        <v>2024-03-10 19:44:00</v>
      </c>
      <c r="E7618" t="str">
        <f>VLOOKUP(C7618,Меню!A:E,4,0)</f>
        <v>Завтрак</v>
      </c>
      <c r="F7618">
        <f>VLOOKUP(C7618,Меню!A:E,5,0)</f>
        <v>220</v>
      </c>
    </row>
    <row r="7619" spans="1:6" ht="15.75" hidden="1" customHeight="1" x14ac:dyDescent="0.35">
      <c r="A7619" s="1">
        <v>7618</v>
      </c>
      <c r="B7619" s="1">
        <v>1511</v>
      </c>
      <c r="C7619" s="1">
        <v>55</v>
      </c>
      <c r="D7619" t="str">
        <f>VLOOKUP(B7619,Заказы!A:C,3,0)</f>
        <v>2024-03-10 19:44:00</v>
      </c>
      <c r="E7619" t="str">
        <f>VLOOKUP(C7619,Меню!A:E,4,0)</f>
        <v>Суши</v>
      </c>
      <c r="F7619">
        <f>VLOOKUP(C7619,Меню!A:E,5,0)</f>
        <v>100</v>
      </c>
    </row>
    <row r="7620" spans="1:6" ht="15.75" hidden="1" customHeight="1" x14ac:dyDescent="0.35">
      <c r="A7620" s="1">
        <v>7619</v>
      </c>
      <c r="B7620" s="1">
        <v>1511</v>
      </c>
      <c r="C7620" s="1">
        <v>17</v>
      </c>
      <c r="D7620" t="str">
        <f>VLOOKUP(B7620,Заказы!A:C,3,0)</f>
        <v>2024-03-10 19:44:00</v>
      </c>
      <c r="E7620" t="str">
        <f>VLOOKUP(C7620,Меню!A:E,4,0)</f>
        <v>Первое</v>
      </c>
      <c r="F7620">
        <f>VLOOKUP(C7620,Меню!A:E,5,0)</f>
        <v>250</v>
      </c>
    </row>
    <row r="7621" spans="1:6" ht="15.75" hidden="1" customHeight="1" x14ac:dyDescent="0.35">
      <c r="A7621" s="1">
        <v>7620</v>
      </c>
      <c r="B7621" s="1">
        <v>1511</v>
      </c>
      <c r="C7621" s="1">
        <v>23</v>
      </c>
      <c r="D7621" t="str">
        <f>VLOOKUP(B7621,Заказы!A:C,3,0)</f>
        <v>2024-03-10 19:44:00</v>
      </c>
      <c r="E7621" t="str">
        <f>VLOOKUP(C7621,Меню!A:E,4,0)</f>
        <v>Салат</v>
      </c>
      <c r="F7621">
        <f>VLOOKUP(C7621,Меню!A:E,5,0)</f>
        <v>250</v>
      </c>
    </row>
    <row r="7622" spans="1:6" ht="15.75" hidden="1" customHeight="1" x14ac:dyDescent="0.35">
      <c r="A7622" s="1">
        <v>7621</v>
      </c>
      <c r="B7622" s="1">
        <v>1512</v>
      </c>
      <c r="C7622" s="1">
        <v>16</v>
      </c>
      <c r="D7622" t="str">
        <f>VLOOKUP(B7622,Заказы!A:C,3,0)</f>
        <v>2024-03-10 20:31:00</v>
      </c>
      <c r="E7622" t="str">
        <f>VLOOKUP(C7622,Меню!A:E,4,0)</f>
        <v>Первое</v>
      </c>
      <c r="F7622">
        <f>VLOOKUP(C7622,Меню!A:E,5,0)</f>
        <v>250</v>
      </c>
    </row>
    <row r="7623" spans="1:6" ht="15.75" hidden="1" customHeight="1" x14ac:dyDescent="0.35">
      <c r="A7623" s="1">
        <v>7622</v>
      </c>
      <c r="B7623" s="1">
        <v>1512</v>
      </c>
      <c r="C7623" s="1">
        <v>43</v>
      </c>
      <c r="D7623" t="str">
        <f>VLOOKUP(B7623,Заказы!A:C,3,0)</f>
        <v>2024-03-10 20:31:00</v>
      </c>
      <c r="E7623" t="str">
        <f>VLOOKUP(C7623,Меню!A:E,4,0)</f>
        <v>Суши</v>
      </c>
      <c r="F7623">
        <f>VLOOKUP(C7623,Меню!A:E,5,0)</f>
        <v>250</v>
      </c>
    </row>
    <row r="7624" spans="1:6" ht="15.75" hidden="1" customHeight="1" x14ac:dyDescent="0.35">
      <c r="A7624" s="1">
        <v>7623</v>
      </c>
      <c r="B7624" s="1">
        <v>1512</v>
      </c>
      <c r="C7624" s="1">
        <v>29</v>
      </c>
      <c r="D7624" t="str">
        <f>VLOOKUP(B7624,Заказы!A:C,3,0)</f>
        <v>2024-03-10 20:31:00</v>
      </c>
      <c r="E7624" t="str">
        <f>VLOOKUP(C7624,Меню!A:E,4,0)</f>
        <v>Салат</v>
      </c>
      <c r="F7624">
        <f>VLOOKUP(C7624,Меню!A:E,5,0)</f>
        <v>250</v>
      </c>
    </row>
    <row r="7625" spans="1:6" ht="15.75" hidden="1" customHeight="1" x14ac:dyDescent="0.35">
      <c r="A7625" s="1">
        <v>7624</v>
      </c>
      <c r="B7625" s="1">
        <v>1512</v>
      </c>
      <c r="C7625" s="1">
        <v>7</v>
      </c>
      <c r="D7625" t="str">
        <f>VLOOKUP(B7625,Заказы!A:C,3,0)</f>
        <v>2024-03-10 20:31:00</v>
      </c>
      <c r="E7625" t="str">
        <f>VLOOKUP(C7625,Меню!A:E,4,0)</f>
        <v>Завтрак</v>
      </c>
      <c r="F7625">
        <f>VLOOKUP(C7625,Меню!A:E,5,0)</f>
        <v>200</v>
      </c>
    </row>
    <row r="7626" spans="1:6" ht="15.75" hidden="1" customHeight="1" x14ac:dyDescent="0.35">
      <c r="A7626" s="1">
        <v>7625</v>
      </c>
      <c r="B7626" s="1">
        <v>1512</v>
      </c>
      <c r="C7626" s="1">
        <v>4</v>
      </c>
      <c r="D7626" t="str">
        <f>VLOOKUP(B7626,Заказы!A:C,3,0)</f>
        <v>2024-03-10 20:31:00</v>
      </c>
      <c r="E7626" t="str">
        <f>VLOOKUP(C7626,Меню!A:E,4,0)</f>
        <v>Завтрак</v>
      </c>
      <c r="F7626">
        <f>VLOOKUP(C7626,Меню!A:E,5,0)</f>
        <v>180</v>
      </c>
    </row>
    <row r="7627" spans="1:6" ht="15.75" hidden="1" customHeight="1" x14ac:dyDescent="0.35">
      <c r="A7627" s="1">
        <v>7626</v>
      </c>
      <c r="B7627" s="1">
        <v>1512</v>
      </c>
      <c r="C7627" s="1">
        <v>44</v>
      </c>
      <c r="D7627" t="str">
        <f>VLOOKUP(B7627,Заказы!A:C,3,0)</f>
        <v>2024-03-10 20:31:00</v>
      </c>
      <c r="E7627" t="str">
        <f>VLOOKUP(C7627,Меню!A:E,4,0)</f>
        <v>Суши</v>
      </c>
      <c r="F7627">
        <f>VLOOKUP(C7627,Меню!A:E,5,0)</f>
        <v>250</v>
      </c>
    </row>
  </sheetData>
  <autoFilter ref="A1:F7627" xr:uid="{00000000-0001-0000-0300-000000000000}">
    <filterColumn colId="3">
      <filters>
        <filter val="2024-01-01 17:20:00"/>
        <filter val="2024-01-01 22:20:00"/>
        <filter val="2024-01-02 15:19:00"/>
        <filter val="2024-01-02 15:21:00"/>
        <filter val="2024-01-02 15:40:00"/>
        <filter val="2024-01-02 15:49:00"/>
        <filter val="2024-01-02 16:15:00"/>
        <filter val="2024-01-02 17:03:00"/>
        <filter val="2024-01-02 18:38:00"/>
        <filter val="2024-01-02 19:33:00"/>
        <filter val="2024-01-02 19:46:00"/>
        <filter val="2024-01-02 20:11:00"/>
        <filter val="2024-01-02 20:18:00"/>
        <filter val="2024-01-02 22:51:00"/>
        <filter val="2024-01-03 16:44:00"/>
        <filter val="2024-01-03 18:20:00"/>
        <filter val="2024-01-03 20:58:00"/>
        <filter val="2024-01-04 15:30:00"/>
        <filter val="2024-01-04 18:51:00"/>
        <filter val="2024-01-04 19:14:00"/>
        <filter val="2024-01-04 20:41:00"/>
        <filter val="2024-01-04 22:00:00"/>
        <filter val="2024-01-05 15:52:00"/>
        <filter val="2024-01-05 17:12:00"/>
        <filter val="2024-01-05 21:19:00"/>
        <filter val="2024-01-05 22:19:00"/>
        <filter val="2024-01-06 19:06:00"/>
        <filter val="2024-01-06 19:50:00"/>
        <filter val="2024-01-06 20:14:00"/>
        <filter val="2024-01-06 20:22:00"/>
        <filter val="2024-01-06 21:47:00"/>
        <filter val="2024-01-07 16:41:00"/>
        <filter val="2024-01-07 16:50:00"/>
        <filter val="2024-01-07 16:59:00"/>
        <filter val="2024-01-07 21:43:00"/>
        <filter val="2024-01-07 21:55:00"/>
        <filter val="2024-01-07 22:20:00"/>
        <filter val="2024-01-08 18:17:00"/>
        <filter val="2024-01-08 22:32:00"/>
        <filter val="2024-01-08 22:56:00"/>
        <filter val="2024-01-09 15:20:00"/>
        <filter val="2024-01-09 17:29:00"/>
        <filter val="2024-01-09 20:04:00"/>
        <filter val="2024-01-10 16:56:00"/>
        <filter val="2024-01-10 19:31:00"/>
        <filter val="2024-01-10 21:13:00"/>
        <filter val="2024-01-10 21:50:00"/>
        <filter val="2024-01-11 15:30:00"/>
        <filter val="2024-01-11 18:59:00"/>
        <filter val="2024-01-11 19:09:00"/>
        <filter val="2024-01-11 20:17:00"/>
        <filter val="2024-01-11 21:31:00"/>
        <filter val="2024-01-12 17:10:00"/>
        <filter val="2024-01-12 19:24:00"/>
        <filter val="2024-01-12 21:25:00"/>
        <filter val="2024-01-13 15:08:00"/>
        <filter val="2024-01-13 15:11:00"/>
        <filter val="2024-01-13 16:43:00"/>
        <filter val="2024-01-13 17:29:00"/>
        <filter val="2024-01-13 19:34:00"/>
        <filter val="2024-01-13 20:49:00"/>
        <filter val="2024-01-13 21:53:00"/>
        <filter val="2024-01-14 15:51:00"/>
        <filter val="2024-01-14 18:39:00"/>
        <filter val="2024-01-14 19:32:00"/>
        <filter val="2024-01-14 22:46:00"/>
        <filter val="2024-01-15 15:07:00"/>
        <filter val="2024-01-15 15:19:00"/>
        <filter val="2024-01-15 21:27:00"/>
        <filter val="2024-01-16 16:00:00"/>
        <filter val="2024-01-16 16:29:00"/>
        <filter val="2024-01-16 17:13:00"/>
        <filter val="2024-01-16 20:22:00"/>
        <filter val="2024-01-16 21:59:00"/>
        <filter val="2024-01-16 22:05:00"/>
        <filter val="2024-01-17 18:05:00"/>
        <filter val="2024-01-17 18:58:00"/>
        <filter val="2024-01-17 19:30:00"/>
        <filter val="2024-01-17 22:11:00"/>
        <filter val="2024-01-18 17:06:00"/>
        <filter val="2024-01-18 18:16:00"/>
        <filter val="2024-01-18 20:57:00"/>
        <filter val="2024-01-18 21:23:00"/>
        <filter val="2024-01-19 15:53:00"/>
        <filter val="2024-01-19 19:26:00"/>
        <filter val="2024-01-19 20:29:00"/>
        <filter val="2024-01-19 21:52:00"/>
        <filter val="2024-01-20 16:31:00"/>
        <filter val="2024-01-20 17:03:00"/>
        <filter val="2024-01-20 17:24:00"/>
        <filter val="2024-01-20 18:18:00"/>
        <filter val="2024-01-20 21:20:00"/>
        <filter val="2024-01-21 17:53:00"/>
        <filter val="2024-01-21 18:26:00"/>
        <filter val="2024-01-21 19:42:00"/>
        <filter val="2024-01-21 21:45:00"/>
        <filter val="2024-01-22 15:14:00"/>
        <filter val="2024-01-22 16:30:00"/>
        <filter val="2024-01-22 19:36:00"/>
        <filter val="2024-01-22 21:46:00"/>
        <filter val="2024-01-23 15:25:00"/>
        <filter val="2024-01-23 15:45:00"/>
        <filter val="2024-01-23 16:04:00"/>
        <filter val="2024-01-23 17:58:00"/>
        <filter val="2024-01-24 15:18:00"/>
        <filter val="2024-01-24 17:11:00"/>
        <filter val="2024-01-24 19:50:00"/>
        <filter val="2024-01-24 21:22:00"/>
        <filter val="2024-01-25 16:09:00"/>
        <filter val="2024-01-25 18:46:00"/>
        <filter val="2024-01-25 19:52:00"/>
        <filter val="2024-01-26 17:30:00"/>
        <filter val="2024-01-26 20:33:00"/>
        <filter val="2024-01-27 15:08:00"/>
        <filter val="2024-01-27 16:18:00"/>
        <filter val="2024-01-27 18:28:00"/>
        <filter val="2024-01-27 20:48:00"/>
        <filter val="2024-01-27 22:44:00"/>
        <filter val="2024-01-28 17:15:00"/>
        <filter val="2024-01-28 17:19:00"/>
        <filter val="2024-01-28 19:50:00"/>
        <filter val="2024-01-28 20:14:00"/>
        <filter val="2024-01-28 22:31:00"/>
        <filter val="2024-01-28 22:38:00"/>
        <filter val="2024-01-28 22:45:00"/>
        <filter val="2024-01-29 17:59:00"/>
        <filter val="2024-01-29 21:24:00"/>
        <filter val="2024-01-30 16:15:00"/>
        <filter val="2024-01-31 15:09:00"/>
        <filter val="2024-01-31 20:38:00"/>
        <filter val="2024-01-31 20:49:00"/>
        <filter val="2024-01-31 22:28:00"/>
      </filters>
    </filterColumn>
    <filterColumn colId="4">
      <filters>
        <filter val="Десерт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1E55-5162-4DB5-A1BE-92E7105689F6}">
  <dimension ref="A1:H94"/>
  <sheetViews>
    <sheetView tabSelected="1" workbookViewId="0">
      <selection activeCell="H1" sqref="H1"/>
    </sheetView>
  </sheetViews>
  <sheetFormatPr defaultRowHeight="14.5" x14ac:dyDescent="0.35"/>
  <sheetData>
    <row r="1" spans="1:8" x14ac:dyDescent="0.35">
      <c r="A1" s="1">
        <v>6284</v>
      </c>
      <c r="B1" s="1">
        <v>1245</v>
      </c>
      <c r="C1" s="1">
        <v>35</v>
      </c>
      <c r="D1" t="s">
        <v>1323</v>
      </c>
      <c r="E1" t="s">
        <v>39</v>
      </c>
      <c r="F1">
        <v>150</v>
      </c>
      <c r="H1">
        <f>SUM(F:F)</f>
        <v>13650</v>
      </c>
    </row>
    <row r="2" spans="1:8" x14ac:dyDescent="0.35">
      <c r="A2" s="1">
        <v>6292</v>
      </c>
      <c r="B2" s="1">
        <v>1246</v>
      </c>
      <c r="C2" s="1">
        <v>33</v>
      </c>
      <c r="D2" t="s">
        <v>1324</v>
      </c>
      <c r="E2" t="s">
        <v>39</v>
      </c>
      <c r="F2">
        <v>150</v>
      </c>
    </row>
    <row r="3" spans="1:8" x14ac:dyDescent="0.35">
      <c r="A3" s="1">
        <v>6294</v>
      </c>
      <c r="B3" s="1">
        <v>1246</v>
      </c>
      <c r="C3" s="1">
        <v>35</v>
      </c>
      <c r="D3" t="s">
        <v>1324</v>
      </c>
      <c r="E3" t="s">
        <v>39</v>
      </c>
      <c r="F3">
        <v>150</v>
      </c>
    </row>
    <row r="4" spans="1:8" x14ac:dyDescent="0.35">
      <c r="A4" s="1">
        <v>6297</v>
      </c>
      <c r="B4" s="1">
        <v>1246</v>
      </c>
      <c r="C4" s="1">
        <v>33</v>
      </c>
      <c r="D4" t="s">
        <v>1324</v>
      </c>
      <c r="E4" t="s">
        <v>39</v>
      </c>
      <c r="F4">
        <v>150</v>
      </c>
    </row>
    <row r="5" spans="1:8" x14ac:dyDescent="0.35">
      <c r="A5" s="1">
        <v>6301</v>
      </c>
      <c r="B5" s="1">
        <v>1247</v>
      </c>
      <c r="C5" s="1">
        <v>36</v>
      </c>
      <c r="D5" t="s">
        <v>1325</v>
      </c>
      <c r="E5" t="s">
        <v>39</v>
      </c>
      <c r="F5">
        <v>150</v>
      </c>
    </row>
    <row r="6" spans="1:8" x14ac:dyDescent="0.35">
      <c r="A6" s="1">
        <v>6311</v>
      </c>
      <c r="B6" s="1">
        <v>1249</v>
      </c>
      <c r="C6" s="1">
        <v>35</v>
      </c>
      <c r="D6" t="s">
        <v>1327</v>
      </c>
      <c r="E6" t="s">
        <v>39</v>
      </c>
      <c r="F6">
        <v>150</v>
      </c>
    </row>
    <row r="7" spans="1:8" x14ac:dyDescent="0.35">
      <c r="A7" s="1">
        <v>6312</v>
      </c>
      <c r="B7" s="1">
        <v>1250</v>
      </c>
      <c r="C7" s="1">
        <v>35</v>
      </c>
      <c r="D7" t="s">
        <v>1328</v>
      </c>
      <c r="E7" t="s">
        <v>39</v>
      </c>
      <c r="F7">
        <v>150</v>
      </c>
    </row>
    <row r="8" spans="1:8" x14ac:dyDescent="0.35">
      <c r="A8" s="1">
        <v>6315</v>
      </c>
      <c r="B8" s="1">
        <v>1251</v>
      </c>
      <c r="C8" s="1">
        <v>39</v>
      </c>
      <c r="D8" t="s">
        <v>1329</v>
      </c>
      <c r="E8" t="s">
        <v>39</v>
      </c>
      <c r="F8">
        <v>150</v>
      </c>
    </row>
    <row r="9" spans="1:8" x14ac:dyDescent="0.35">
      <c r="A9" s="1">
        <v>6317</v>
      </c>
      <c r="B9" s="1">
        <v>1251</v>
      </c>
      <c r="C9" s="1">
        <v>32</v>
      </c>
      <c r="D9" t="s">
        <v>1329</v>
      </c>
      <c r="E9" t="s">
        <v>39</v>
      </c>
      <c r="F9">
        <v>150</v>
      </c>
    </row>
    <row r="10" spans="1:8" x14ac:dyDescent="0.35">
      <c r="A10" s="1">
        <v>6332</v>
      </c>
      <c r="B10" s="1">
        <v>1253</v>
      </c>
      <c r="C10" s="1">
        <v>35</v>
      </c>
      <c r="D10" t="s">
        <v>1331</v>
      </c>
      <c r="E10" t="s">
        <v>39</v>
      </c>
      <c r="F10">
        <v>150</v>
      </c>
    </row>
    <row r="11" spans="1:8" x14ac:dyDescent="0.35">
      <c r="A11" s="1">
        <v>6333</v>
      </c>
      <c r="B11" s="1">
        <v>1254</v>
      </c>
      <c r="C11" s="1">
        <v>38</v>
      </c>
      <c r="D11" t="s">
        <v>1332</v>
      </c>
      <c r="E11" t="s">
        <v>39</v>
      </c>
      <c r="F11">
        <v>150</v>
      </c>
    </row>
    <row r="12" spans="1:8" x14ac:dyDescent="0.35">
      <c r="A12" s="1">
        <v>6334</v>
      </c>
      <c r="B12" s="1">
        <v>1255</v>
      </c>
      <c r="C12" s="1">
        <v>40</v>
      </c>
      <c r="D12" t="s">
        <v>1333</v>
      </c>
      <c r="E12" t="s">
        <v>39</v>
      </c>
      <c r="F12">
        <v>150</v>
      </c>
    </row>
    <row r="13" spans="1:8" x14ac:dyDescent="0.35">
      <c r="A13" s="1">
        <v>6336</v>
      </c>
      <c r="B13" s="1">
        <v>1255</v>
      </c>
      <c r="C13" s="1">
        <v>36</v>
      </c>
      <c r="D13" t="s">
        <v>1333</v>
      </c>
      <c r="E13" t="s">
        <v>39</v>
      </c>
      <c r="F13">
        <v>150</v>
      </c>
    </row>
    <row r="14" spans="1:8" x14ac:dyDescent="0.35">
      <c r="A14" s="1">
        <v>6339</v>
      </c>
      <c r="B14" s="1">
        <v>1255</v>
      </c>
      <c r="C14" s="1">
        <v>32</v>
      </c>
      <c r="D14" t="s">
        <v>1333</v>
      </c>
      <c r="E14" t="s">
        <v>39</v>
      </c>
      <c r="F14">
        <v>150</v>
      </c>
    </row>
    <row r="15" spans="1:8" x14ac:dyDescent="0.35">
      <c r="A15" s="1">
        <v>6349</v>
      </c>
      <c r="B15" s="1">
        <v>1256</v>
      </c>
      <c r="C15" s="1">
        <v>34</v>
      </c>
      <c r="D15" t="s">
        <v>1334</v>
      </c>
      <c r="E15" t="s">
        <v>39</v>
      </c>
      <c r="F15">
        <v>150</v>
      </c>
    </row>
    <row r="16" spans="1:8" x14ac:dyDescent="0.35">
      <c r="A16" s="1">
        <v>6354</v>
      </c>
      <c r="B16" s="1">
        <v>1258</v>
      </c>
      <c r="C16" s="1">
        <v>37</v>
      </c>
      <c r="D16" t="s">
        <v>1336</v>
      </c>
      <c r="E16" t="s">
        <v>39</v>
      </c>
      <c r="F16">
        <v>100</v>
      </c>
    </row>
    <row r="17" spans="1:6" x14ac:dyDescent="0.35">
      <c r="A17" s="1">
        <v>6358</v>
      </c>
      <c r="B17" s="1">
        <v>1259</v>
      </c>
      <c r="C17" s="1">
        <v>35</v>
      </c>
      <c r="D17" t="s">
        <v>1337</v>
      </c>
      <c r="E17" t="s">
        <v>39</v>
      </c>
      <c r="F17">
        <v>150</v>
      </c>
    </row>
    <row r="18" spans="1:6" x14ac:dyDescent="0.35">
      <c r="A18" s="1">
        <v>6378</v>
      </c>
      <c r="B18" s="1">
        <v>1264</v>
      </c>
      <c r="C18" s="1">
        <v>32</v>
      </c>
      <c r="D18" t="s">
        <v>1342</v>
      </c>
      <c r="E18" t="s">
        <v>39</v>
      </c>
      <c r="F18">
        <v>150</v>
      </c>
    </row>
    <row r="19" spans="1:6" x14ac:dyDescent="0.35">
      <c r="A19" s="1">
        <v>6380</v>
      </c>
      <c r="B19" s="1">
        <v>1264</v>
      </c>
      <c r="C19" s="1">
        <v>36</v>
      </c>
      <c r="D19" t="s">
        <v>1342</v>
      </c>
      <c r="E19" t="s">
        <v>39</v>
      </c>
      <c r="F19">
        <v>150</v>
      </c>
    </row>
    <row r="20" spans="1:6" x14ac:dyDescent="0.35">
      <c r="A20" s="1">
        <v>6381</v>
      </c>
      <c r="B20" s="1">
        <v>1264</v>
      </c>
      <c r="C20" s="1">
        <v>39</v>
      </c>
      <c r="D20" t="s">
        <v>1342</v>
      </c>
      <c r="E20" t="s">
        <v>39</v>
      </c>
      <c r="F20">
        <v>150</v>
      </c>
    </row>
    <row r="21" spans="1:6" x14ac:dyDescent="0.35">
      <c r="A21" s="1">
        <v>6401</v>
      </c>
      <c r="B21" s="1">
        <v>1268</v>
      </c>
      <c r="C21" s="1">
        <v>35</v>
      </c>
      <c r="D21" t="s">
        <v>1346</v>
      </c>
      <c r="E21" t="s">
        <v>39</v>
      </c>
      <c r="F21">
        <v>150</v>
      </c>
    </row>
    <row r="22" spans="1:6" x14ac:dyDescent="0.35">
      <c r="A22" s="1">
        <v>6404</v>
      </c>
      <c r="B22" s="1">
        <v>1269</v>
      </c>
      <c r="C22" s="1">
        <v>34</v>
      </c>
      <c r="D22" t="s">
        <v>1347</v>
      </c>
      <c r="E22" t="s">
        <v>39</v>
      </c>
      <c r="F22">
        <v>150</v>
      </c>
    </row>
    <row r="23" spans="1:6" x14ac:dyDescent="0.35">
      <c r="A23" s="1">
        <v>6405</v>
      </c>
      <c r="B23" s="1">
        <v>1269</v>
      </c>
      <c r="C23" s="1">
        <v>37</v>
      </c>
      <c r="D23" t="s">
        <v>1347</v>
      </c>
      <c r="E23" t="s">
        <v>39</v>
      </c>
      <c r="F23">
        <v>100</v>
      </c>
    </row>
    <row r="24" spans="1:6" x14ac:dyDescent="0.35">
      <c r="A24" s="1">
        <v>6409</v>
      </c>
      <c r="B24" s="1">
        <v>1269</v>
      </c>
      <c r="C24" s="1">
        <v>37</v>
      </c>
      <c r="D24" t="s">
        <v>1347</v>
      </c>
      <c r="E24" t="s">
        <v>39</v>
      </c>
      <c r="F24">
        <v>100</v>
      </c>
    </row>
    <row r="25" spans="1:6" x14ac:dyDescent="0.35">
      <c r="A25" s="1">
        <v>6411</v>
      </c>
      <c r="B25" s="1">
        <v>1270</v>
      </c>
      <c r="C25" s="1">
        <v>32</v>
      </c>
      <c r="D25" t="s">
        <v>1348</v>
      </c>
      <c r="E25" t="s">
        <v>39</v>
      </c>
      <c r="F25">
        <v>150</v>
      </c>
    </row>
    <row r="26" spans="1:6" x14ac:dyDescent="0.35">
      <c r="A26" s="1">
        <v>6412</v>
      </c>
      <c r="B26" s="1">
        <v>1270</v>
      </c>
      <c r="C26" s="1">
        <v>34</v>
      </c>
      <c r="D26" t="s">
        <v>1348</v>
      </c>
      <c r="E26" t="s">
        <v>39</v>
      </c>
      <c r="F26">
        <v>150</v>
      </c>
    </row>
    <row r="27" spans="1:6" x14ac:dyDescent="0.35">
      <c r="A27" s="1">
        <v>6430</v>
      </c>
      <c r="B27" s="1">
        <v>1275</v>
      </c>
      <c r="C27" s="1">
        <v>34</v>
      </c>
      <c r="D27" t="s">
        <v>1353</v>
      </c>
      <c r="E27" t="s">
        <v>39</v>
      </c>
      <c r="F27">
        <v>150</v>
      </c>
    </row>
    <row r="28" spans="1:6" x14ac:dyDescent="0.35">
      <c r="A28" s="1">
        <v>6433</v>
      </c>
      <c r="B28" s="1">
        <v>1275</v>
      </c>
      <c r="C28" s="1">
        <v>39</v>
      </c>
      <c r="D28" t="s">
        <v>1353</v>
      </c>
      <c r="E28" t="s">
        <v>39</v>
      </c>
      <c r="F28">
        <v>150</v>
      </c>
    </row>
    <row r="29" spans="1:6" x14ac:dyDescent="0.35">
      <c r="A29" s="1">
        <v>6440</v>
      </c>
      <c r="B29" s="1">
        <v>1276</v>
      </c>
      <c r="C29" s="1">
        <v>39</v>
      </c>
      <c r="D29" t="s">
        <v>1354</v>
      </c>
      <c r="E29" t="s">
        <v>39</v>
      </c>
      <c r="F29">
        <v>150</v>
      </c>
    </row>
    <row r="30" spans="1:6" x14ac:dyDescent="0.35">
      <c r="A30" s="1">
        <v>6445</v>
      </c>
      <c r="B30" s="1">
        <v>1277</v>
      </c>
      <c r="C30" s="1">
        <v>35</v>
      </c>
      <c r="D30" t="s">
        <v>1355</v>
      </c>
      <c r="E30" t="s">
        <v>39</v>
      </c>
      <c r="F30">
        <v>150</v>
      </c>
    </row>
    <row r="31" spans="1:6" x14ac:dyDescent="0.35">
      <c r="A31" s="1">
        <v>6449</v>
      </c>
      <c r="B31" s="1">
        <v>1277</v>
      </c>
      <c r="C31" s="1">
        <v>33</v>
      </c>
      <c r="D31" t="s">
        <v>1355</v>
      </c>
      <c r="E31" t="s">
        <v>39</v>
      </c>
      <c r="F31">
        <v>150</v>
      </c>
    </row>
    <row r="32" spans="1:6" x14ac:dyDescent="0.35">
      <c r="A32" s="1">
        <v>6458</v>
      </c>
      <c r="B32" s="1">
        <v>1278</v>
      </c>
      <c r="C32" s="1">
        <v>35</v>
      </c>
      <c r="D32" t="s">
        <v>1356</v>
      </c>
      <c r="E32" t="s">
        <v>39</v>
      </c>
      <c r="F32">
        <v>150</v>
      </c>
    </row>
    <row r="33" spans="1:6" x14ac:dyDescent="0.35">
      <c r="A33" s="1">
        <v>6465</v>
      </c>
      <c r="B33" s="1">
        <v>1279</v>
      </c>
      <c r="C33" s="1">
        <v>33</v>
      </c>
      <c r="D33" t="s">
        <v>1357</v>
      </c>
      <c r="E33" t="s">
        <v>39</v>
      </c>
      <c r="F33">
        <v>150</v>
      </c>
    </row>
    <row r="34" spans="1:6" x14ac:dyDescent="0.35">
      <c r="A34" s="1">
        <v>6466</v>
      </c>
      <c r="B34" s="1">
        <v>1279</v>
      </c>
      <c r="C34" s="1">
        <v>32</v>
      </c>
      <c r="D34" t="s">
        <v>1357</v>
      </c>
      <c r="E34" t="s">
        <v>39</v>
      </c>
      <c r="F34">
        <v>150</v>
      </c>
    </row>
    <row r="35" spans="1:6" x14ac:dyDescent="0.35">
      <c r="A35" s="1">
        <v>6477</v>
      </c>
      <c r="B35" s="1">
        <v>1282</v>
      </c>
      <c r="C35" s="1">
        <v>37</v>
      </c>
      <c r="D35" t="s">
        <v>1360</v>
      </c>
      <c r="E35" t="s">
        <v>39</v>
      </c>
      <c r="F35">
        <v>100</v>
      </c>
    </row>
    <row r="36" spans="1:6" x14ac:dyDescent="0.35">
      <c r="A36" s="1">
        <v>6480</v>
      </c>
      <c r="B36" s="1">
        <v>1283</v>
      </c>
      <c r="C36" s="1">
        <v>33</v>
      </c>
      <c r="D36" t="s">
        <v>1361</v>
      </c>
      <c r="E36" t="s">
        <v>39</v>
      </c>
      <c r="F36">
        <v>150</v>
      </c>
    </row>
    <row r="37" spans="1:6" x14ac:dyDescent="0.35">
      <c r="A37" s="1">
        <v>6482</v>
      </c>
      <c r="B37" s="1">
        <v>1283</v>
      </c>
      <c r="C37" s="1">
        <v>39</v>
      </c>
      <c r="D37" t="s">
        <v>1361</v>
      </c>
      <c r="E37" t="s">
        <v>39</v>
      </c>
      <c r="F37">
        <v>150</v>
      </c>
    </row>
    <row r="38" spans="1:6" x14ac:dyDescent="0.35">
      <c r="A38" s="1">
        <v>6496</v>
      </c>
      <c r="B38" s="1">
        <v>1285</v>
      </c>
      <c r="C38" s="1">
        <v>39</v>
      </c>
      <c r="D38" t="s">
        <v>1363</v>
      </c>
      <c r="E38" t="s">
        <v>39</v>
      </c>
      <c r="F38">
        <v>150</v>
      </c>
    </row>
    <row r="39" spans="1:6" x14ac:dyDescent="0.35">
      <c r="A39" s="1">
        <v>6506</v>
      </c>
      <c r="B39" s="1">
        <v>1287</v>
      </c>
      <c r="C39" s="1">
        <v>31</v>
      </c>
      <c r="D39" t="s">
        <v>1365</v>
      </c>
      <c r="E39" t="s">
        <v>39</v>
      </c>
      <c r="F39">
        <v>150</v>
      </c>
    </row>
    <row r="40" spans="1:6" x14ac:dyDescent="0.35">
      <c r="A40" s="1">
        <v>6508</v>
      </c>
      <c r="B40" s="1">
        <v>1287</v>
      </c>
      <c r="C40" s="1">
        <v>32</v>
      </c>
      <c r="D40" t="s">
        <v>1365</v>
      </c>
      <c r="E40" t="s">
        <v>39</v>
      </c>
      <c r="F40">
        <v>150</v>
      </c>
    </row>
    <row r="41" spans="1:6" x14ac:dyDescent="0.35">
      <c r="A41" s="1">
        <v>6518</v>
      </c>
      <c r="B41" s="1">
        <v>1289</v>
      </c>
      <c r="C41" s="1">
        <v>37</v>
      </c>
      <c r="D41" t="s">
        <v>1367</v>
      </c>
      <c r="E41" t="s">
        <v>39</v>
      </c>
      <c r="F41">
        <v>100</v>
      </c>
    </row>
    <row r="42" spans="1:6" x14ac:dyDescent="0.35">
      <c r="A42" s="1">
        <v>6534</v>
      </c>
      <c r="B42" s="1">
        <v>1293</v>
      </c>
      <c r="C42" s="1">
        <v>40</v>
      </c>
      <c r="D42" t="s">
        <v>1371</v>
      </c>
      <c r="E42" t="s">
        <v>39</v>
      </c>
      <c r="F42">
        <v>150</v>
      </c>
    </row>
    <row r="43" spans="1:6" x14ac:dyDescent="0.35">
      <c r="A43" s="1">
        <v>6535</v>
      </c>
      <c r="B43" s="1">
        <v>1293</v>
      </c>
      <c r="C43" s="1">
        <v>36</v>
      </c>
      <c r="D43" t="s">
        <v>1371</v>
      </c>
      <c r="E43" t="s">
        <v>39</v>
      </c>
      <c r="F43">
        <v>150</v>
      </c>
    </row>
    <row r="44" spans="1:6" x14ac:dyDescent="0.35">
      <c r="A44" s="1">
        <v>6549</v>
      </c>
      <c r="B44" s="1">
        <v>1296</v>
      </c>
      <c r="C44" s="1">
        <v>38</v>
      </c>
      <c r="D44" t="s">
        <v>1374</v>
      </c>
      <c r="E44" t="s">
        <v>39</v>
      </c>
      <c r="F44">
        <v>150</v>
      </c>
    </row>
    <row r="45" spans="1:6" x14ac:dyDescent="0.35">
      <c r="A45" s="1">
        <v>6551</v>
      </c>
      <c r="B45" s="1">
        <v>1296</v>
      </c>
      <c r="C45" s="1">
        <v>37</v>
      </c>
      <c r="D45" t="s">
        <v>1374</v>
      </c>
      <c r="E45" t="s">
        <v>39</v>
      </c>
      <c r="F45">
        <v>100</v>
      </c>
    </row>
    <row r="46" spans="1:6" x14ac:dyDescent="0.35">
      <c r="A46" s="1">
        <v>6555</v>
      </c>
      <c r="B46" s="1">
        <v>1297</v>
      </c>
      <c r="C46" s="1">
        <v>35</v>
      </c>
      <c r="D46" t="s">
        <v>1375</v>
      </c>
      <c r="E46" t="s">
        <v>39</v>
      </c>
      <c r="F46">
        <v>150</v>
      </c>
    </row>
    <row r="47" spans="1:6" x14ac:dyDescent="0.35">
      <c r="A47" s="1">
        <v>6557</v>
      </c>
      <c r="B47" s="1">
        <v>1298</v>
      </c>
      <c r="C47" s="1">
        <v>32</v>
      </c>
      <c r="D47" t="s">
        <v>1376</v>
      </c>
      <c r="E47" t="s">
        <v>39</v>
      </c>
      <c r="F47">
        <v>150</v>
      </c>
    </row>
    <row r="48" spans="1:6" x14ac:dyDescent="0.35">
      <c r="A48" s="1">
        <v>6558</v>
      </c>
      <c r="B48" s="1">
        <v>1298</v>
      </c>
      <c r="C48" s="1">
        <v>38</v>
      </c>
      <c r="D48" t="s">
        <v>1376</v>
      </c>
      <c r="E48" t="s">
        <v>39</v>
      </c>
      <c r="F48">
        <v>150</v>
      </c>
    </row>
    <row r="49" spans="1:6" x14ac:dyDescent="0.35">
      <c r="A49" s="1">
        <v>6564</v>
      </c>
      <c r="B49" s="1">
        <v>1300</v>
      </c>
      <c r="C49" s="1">
        <v>39</v>
      </c>
      <c r="D49" t="s">
        <v>1378</v>
      </c>
      <c r="E49" t="s">
        <v>39</v>
      </c>
      <c r="F49">
        <v>150</v>
      </c>
    </row>
    <row r="50" spans="1:6" x14ac:dyDescent="0.35">
      <c r="A50" s="1">
        <v>6577</v>
      </c>
      <c r="B50" s="1">
        <v>1304</v>
      </c>
      <c r="C50" s="1">
        <v>33</v>
      </c>
      <c r="D50" t="s">
        <v>1382</v>
      </c>
      <c r="E50" t="s">
        <v>39</v>
      </c>
      <c r="F50">
        <v>150</v>
      </c>
    </row>
    <row r="51" spans="1:6" x14ac:dyDescent="0.35">
      <c r="A51" s="1">
        <v>6578</v>
      </c>
      <c r="B51" s="1">
        <v>1304</v>
      </c>
      <c r="C51" s="1">
        <v>35</v>
      </c>
      <c r="D51" t="s">
        <v>1382</v>
      </c>
      <c r="E51" t="s">
        <v>39</v>
      </c>
      <c r="F51">
        <v>150</v>
      </c>
    </row>
    <row r="52" spans="1:6" x14ac:dyDescent="0.35">
      <c r="A52" s="1">
        <v>6580</v>
      </c>
      <c r="B52" s="1">
        <v>1304</v>
      </c>
      <c r="C52" s="1">
        <v>32</v>
      </c>
      <c r="D52" t="s">
        <v>1382</v>
      </c>
      <c r="E52" t="s">
        <v>39</v>
      </c>
      <c r="F52">
        <v>150</v>
      </c>
    </row>
    <row r="53" spans="1:6" x14ac:dyDescent="0.35">
      <c r="A53" s="1">
        <v>6591</v>
      </c>
      <c r="B53" s="1">
        <v>1306</v>
      </c>
      <c r="C53" s="1">
        <v>34</v>
      </c>
      <c r="D53" t="s">
        <v>1384</v>
      </c>
      <c r="E53" t="s">
        <v>39</v>
      </c>
      <c r="F53">
        <v>150</v>
      </c>
    </row>
    <row r="54" spans="1:6" x14ac:dyDescent="0.35">
      <c r="A54" s="1">
        <v>6620</v>
      </c>
      <c r="B54" s="1">
        <v>1312</v>
      </c>
      <c r="C54" s="1">
        <v>39</v>
      </c>
      <c r="D54" t="s">
        <v>1390</v>
      </c>
      <c r="E54" t="s">
        <v>39</v>
      </c>
      <c r="F54">
        <v>150</v>
      </c>
    </row>
    <row r="55" spans="1:6" x14ac:dyDescent="0.35">
      <c r="A55" s="1">
        <v>6628</v>
      </c>
      <c r="B55" s="1">
        <v>1313</v>
      </c>
      <c r="C55" s="1">
        <v>34</v>
      </c>
      <c r="D55" t="s">
        <v>1391</v>
      </c>
      <c r="E55" t="s">
        <v>39</v>
      </c>
      <c r="F55">
        <v>150</v>
      </c>
    </row>
    <row r="56" spans="1:6" x14ac:dyDescent="0.35">
      <c r="A56" s="1">
        <v>6630</v>
      </c>
      <c r="B56" s="1">
        <v>1314</v>
      </c>
      <c r="C56" s="1">
        <v>39</v>
      </c>
      <c r="D56" t="s">
        <v>1392</v>
      </c>
      <c r="E56" t="s">
        <v>39</v>
      </c>
      <c r="F56">
        <v>150</v>
      </c>
    </row>
    <row r="57" spans="1:6" x14ac:dyDescent="0.35">
      <c r="A57" s="1">
        <v>6631</v>
      </c>
      <c r="B57" s="1">
        <v>1314</v>
      </c>
      <c r="C57" s="1">
        <v>32</v>
      </c>
      <c r="D57" t="s">
        <v>1392</v>
      </c>
      <c r="E57" t="s">
        <v>39</v>
      </c>
      <c r="F57">
        <v>150</v>
      </c>
    </row>
    <row r="58" spans="1:6" x14ac:dyDescent="0.35">
      <c r="A58" s="1">
        <v>6644</v>
      </c>
      <c r="B58" s="1">
        <v>1316</v>
      </c>
      <c r="C58" s="1">
        <v>35</v>
      </c>
      <c r="D58" t="s">
        <v>1394</v>
      </c>
      <c r="E58" t="s">
        <v>39</v>
      </c>
      <c r="F58">
        <v>150</v>
      </c>
    </row>
    <row r="59" spans="1:6" x14ac:dyDescent="0.35">
      <c r="A59" s="1">
        <v>6648</v>
      </c>
      <c r="B59" s="1">
        <v>1317</v>
      </c>
      <c r="C59" s="1">
        <v>35</v>
      </c>
      <c r="D59" t="s">
        <v>1395</v>
      </c>
      <c r="E59" t="s">
        <v>39</v>
      </c>
      <c r="F59">
        <v>150</v>
      </c>
    </row>
    <row r="60" spans="1:6" x14ac:dyDescent="0.35">
      <c r="A60" s="1">
        <v>6662</v>
      </c>
      <c r="B60" s="1">
        <v>1320</v>
      </c>
      <c r="C60" s="1">
        <v>37</v>
      </c>
      <c r="D60" t="s">
        <v>1398</v>
      </c>
      <c r="E60" t="s">
        <v>39</v>
      </c>
      <c r="F60">
        <v>100</v>
      </c>
    </row>
    <row r="61" spans="1:6" x14ac:dyDescent="0.35">
      <c r="A61" s="1">
        <v>6676</v>
      </c>
      <c r="B61" s="1">
        <v>1324</v>
      </c>
      <c r="C61" s="1">
        <v>31</v>
      </c>
      <c r="D61" t="s">
        <v>1402</v>
      </c>
      <c r="E61" t="s">
        <v>39</v>
      </c>
      <c r="F61">
        <v>150</v>
      </c>
    </row>
    <row r="62" spans="1:6" x14ac:dyDescent="0.35">
      <c r="A62" s="1">
        <v>6684</v>
      </c>
      <c r="B62" s="1">
        <v>1326</v>
      </c>
      <c r="C62" s="1">
        <v>40</v>
      </c>
      <c r="D62" t="s">
        <v>1404</v>
      </c>
      <c r="E62" t="s">
        <v>39</v>
      </c>
      <c r="F62">
        <v>150</v>
      </c>
    </row>
    <row r="63" spans="1:6" x14ac:dyDescent="0.35">
      <c r="A63" s="1">
        <v>6693</v>
      </c>
      <c r="B63" s="1">
        <v>1327</v>
      </c>
      <c r="C63" s="1">
        <v>34</v>
      </c>
      <c r="D63" t="s">
        <v>1405</v>
      </c>
      <c r="E63" t="s">
        <v>39</v>
      </c>
      <c r="F63">
        <v>150</v>
      </c>
    </row>
    <row r="64" spans="1:6" x14ac:dyDescent="0.35">
      <c r="A64" s="1">
        <v>6705</v>
      </c>
      <c r="B64" s="1">
        <v>1330</v>
      </c>
      <c r="C64" s="1">
        <v>33</v>
      </c>
      <c r="D64" t="s">
        <v>1408</v>
      </c>
      <c r="E64" t="s">
        <v>39</v>
      </c>
      <c r="F64">
        <v>150</v>
      </c>
    </row>
    <row r="65" spans="1:6" x14ac:dyDescent="0.35">
      <c r="A65" s="1">
        <v>6712</v>
      </c>
      <c r="B65" s="1">
        <v>1333</v>
      </c>
      <c r="C65" s="1">
        <v>31</v>
      </c>
      <c r="D65" t="s">
        <v>1411</v>
      </c>
      <c r="E65" t="s">
        <v>39</v>
      </c>
      <c r="F65">
        <v>150</v>
      </c>
    </row>
    <row r="66" spans="1:6" x14ac:dyDescent="0.35">
      <c r="A66" s="1">
        <v>6718</v>
      </c>
      <c r="B66" s="1">
        <v>1334</v>
      </c>
      <c r="C66" s="1">
        <v>39</v>
      </c>
      <c r="D66" t="s">
        <v>1412</v>
      </c>
      <c r="E66" t="s">
        <v>39</v>
      </c>
      <c r="F66">
        <v>150</v>
      </c>
    </row>
    <row r="67" spans="1:6" x14ac:dyDescent="0.35">
      <c r="A67" s="1">
        <v>6721</v>
      </c>
      <c r="B67" s="1">
        <v>1334</v>
      </c>
      <c r="C67" s="1">
        <v>34</v>
      </c>
      <c r="D67" t="s">
        <v>1412</v>
      </c>
      <c r="E67" t="s">
        <v>39</v>
      </c>
      <c r="F67">
        <v>150</v>
      </c>
    </row>
    <row r="68" spans="1:6" x14ac:dyDescent="0.35">
      <c r="A68" s="1">
        <v>6728</v>
      </c>
      <c r="B68" s="1">
        <v>1335</v>
      </c>
      <c r="C68" s="1">
        <v>40</v>
      </c>
      <c r="D68" t="s">
        <v>1413</v>
      </c>
      <c r="E68" t="s">
        <v>39</v>
      </c>
      <c r="F68">
        <v>150</v>
      </c>
    </row>
    <row r="69" spans="1:6" x14ac:dyDescent="0.35">
      <c r="A69" s="1">
        <v>6734</v>
      </c>
      <c r="B69" s="1">
        <v>1338</v>
      </c>
      <c r="C69" s="1">
        <v>36</v>
      </c>
      <c r="D69" t="s">
        <v>1416</v>
      </c>
      <c r="E69" t="s">
        <v>39</v>
      </c>
      <c r="F69">
        <v>150</v>
      </c>
    </row>
    <row r="70" spans="1:6" x14ac:dyDescent="0.35">
      <c r="A70" s="1">
        <v>6736</v>
      </c>
      <c r="B70" s="1">
        <v>1339</v>
      </c>
      <c r="C70" s="1">
        <v>39</v>
      </c>
      <c r="D70" t="s">
        <v>1417</v>
      </c>
      <c r="E70" t="s">
        <v>39</v>
      </c>
      <c r="F70">
        <v>150</v>
      </c>
    </row>
    <row r="71" spans="1:6" x14ac:dyDescent="0.35">
      <c r="A71" s="1">
        <v>6743</v>
      </c>
      <c r="B71" s="1">
        <v>1340</v>
      </c>
      <c r="C71" s="1">
        <v>37</v>
      </c>
      <c r="D71" t="s">
        <v>1418</v>
      </c>
      <c r="E71" t="s">
        <v>39</v>
      </c>
      <c r="F71">
        <v>100</v>
      </c>
    </row>
    <row r="72" spans="1:6" x14ac:dyDescent="0.35">
      <c r="A72" s="1">
        <v>6744</v>
      </c>
      <c r="B72" s="1">
        <v>1340</v>
      </c>
      <c r="C72" s="1">
        <v>31</v>
      </c>
      <c r="D72" t="s">
        <v>1418</v>
      </c>
      <c r="E72" t="s">
        <v>39</v>
      </c>
      <c r="F72">
        <v>150</v>
      </c>
    </row>
    <row r="73" spans="1:6" x14ac:dyDescent="0.35">
      <c r="A73" s="1">
        <v>6751</v>
      </c>
      <c r="B73" s="1">
        <v>1342</v>
      </c>
      <c r="C73" s="1">
        <v>33</v>
      </c>
      <c r="D73" t="s">
        <v>1420</v>
      </c>
      <c r="E73" t="s">
        <v>39</v>
      </c>
      <c r="F73">
        <v>150</v>
      </c>
    </row>
    <row r="74" spans="1:6" x14ac:dyDescent="0.35">
      <c r="A74" s="1">
        <v>6752</v>
      </c>
      <c r="B74" s="1">
        <v>1342</v>
      </c>
      <c r="C74" s="1">
        <v>34</v>
      </c>
      <c r="D74" t="s">
        <v>1420</v>
      </c>
      <c r="E74" t="s">
        <v>39</v>
      </c>
      <c r="F74">
        <v>150</v>
      </c>
    </row>
    <row r="75" spans="1:6" x14ac:dyDescent="0.35">
      <c r="A75" s="1">
        <v>6761</v>
      </c>
      <c r="B75" s="1">
        <v>1344</v>
      </c>
      <c r="C75" s="1">
        <v>32</v>
      </c>
      <c r="D75" t="s">
        <v>1422</v>
      </c>
      <c r="E75" t="s">
        <v>39</v>
      </c>
      <c r="F75">
        <v>150</v>
      </c>
    </row>
    <row r="76" spans="1:6" x14ac:dyDescent="0.35">
      <c r="A76" s="1">
        <v>6762</v>
      </c>
      <c r="B76" s="1">
        <v>1344</v>
      </c>
      <c r="C76" s="1">
        <v>35</v>
      </c>
      <c r="D76" t="s">
        <v>1422</v>
      </c>
      <c r="E76" t="s">
        <v>39</v>
      </c>
      <c r="F76">
        <v>150</v>
      </c>
    </row>
    <row r="77" spans="1:6" x14ac:dyDescent="0.35">
      <c r="A77" s="1">
        <v>6772</v>
      </c>
      <c r="B77" s="1">
        <v>1346</v>
      </c>
      <c r="C77" s="1">
        <v>35</v>
      </c>
      <c r="D77" t="s">
        <v>1424</v>
      </c>
      <c r="E77" t="s">
        <v>39</v>
      </c>
      <c r="F77">
        <v>150</v>
      </c>
    </row>
    <row r="78" spans="1:6" x14ac:dyDescent="0.35">
      <c r="A78" s="1">
        <v>6783</v>
      </c>
      <c r="B78" s="1">
        <v>1349</v>
      </c>
      <c r="C78" s="1">
        <v>31</v>
      </c>
      <c r="D78" t="s">
        <v>1427</v>
      </c>
      <c r="E78" t="s">
        <v>39</v>
      </c>
      <c r="F78">
        <v>150</v>
      </c>
    </row>
    <row r="79" spans="1:6" x14ac:dyDescent="0.35">
      <c r="A79" s="1">
        <v>6785</v>
      </c>
      <c r="B79" s="1">
        <v>1349</v>
      </c>
      <c r="C79" s="1">
        <v>38</v>
      </c>
      <c r="D79" t="s">
        <v>1427</v>
      </c>
      <c r="E79" t="s">
        <v>39</v>
      </c>
      <c r="F79">
        <v>150</v>
      </c>
    </row>
    <row r="80" spans="1:6" x14ac:dyDescent="0.35">
      <c r="A80" s="1">
        <v>6788</v>
      </c>
      <c r="B80" s="1">
        <v>1349</v>
      </c>
      <c r="C80" s="1">
        <v>32</v>
      </c>
      <c r="D80" t="s">
        <v>1427</v>
      </c>
      <c r="E80" t="s">
        <v>39</v>
      </c>
      <c r="F80">
        <v>150</v>
      </c>
    </row>
    <row r="81" spans="1:6" x14ac:dyDescent="0.35">
      <c r="A81" s="1">
        <v>6795</v>
      </c>
      <c r="B81" s="1">
        <v>1351</v>
      </c>
      <c r="C81" s="1">
        <v>31</v>
      </c>
      <c r="D81" t="s">
        <v>1429</v>
      </c>
      <c r="E81" t="s">
        <v>39</v>
      </c>
      <c r="F81">
        <v>150</v>
      </c>
    </row>
    <row r="82" spans="1:6" x14ac:dyDescent="0.35">
      <c r="A82" s="1">
        <v>6797</v>
      </c>
      <c r="B82" s="1">
        <v>1351</v>
      </c>
      <c r="C82" s="1">
        <v>38</v>
      </c>
      <c r="D82" t="s">
        <v>1429</v>
      </c>
      <c r="E82" t="s">
        <v>39</v>
      </c>
      <c r="F82">
        <v>150</v>
      </c>
    </row>
    <row r="83" spans="1:6" x14ac:dyDescent="0.35">
      <c r="A83" s="1">
        <v>6801</v>
      </c>
      <c r="B83" s="1">
        <v>1352</v>
      </c>
      <c r="C83" s="1">
        <v>38</v>
      </c>
      <c r="D83" t="s">
        <v>1430</v>
      </c>
      <c r="E83" t="s">
        <v>39</v>
      </c>
      <c r="F83">
        <v>150</v>
      </c>
    </row>
    <row r="84" spans="1:6" x14ac:dyDescent="0.35">
      <c r="A84" s="1">
        <v>6828</v>
      </c>
      <c r="B84" s="1">
        <v>1359</v>
      </c>
      <c r="C84" s="1">
        <v>40</v>
      </c>
      <c r="D84" t="s">
        <v>1437</v>
      </c>
      <c r="E84" t="s">
        <v>39</v>
      </c>
      <c r="F84">
        <v>150</v>
      </c>
    </row>
    <row r="85" spans="1:6" x14ac:dyDescent="0.35">
      <c r="A85" s="1">
        <v>6833</v>
      </c>
      <c r="B85" s="1">
        <v>1359</v>
      </c>
      <c r="C85" s="1">
        <v>39</v>
      </c>
      <c r="D85" t="s">
        <v>1437</v>
      </c>
      <c r="E85" t="s">
        <v>39</v>
      </c>
      <c r="F85">
        <v>150</v>
      </c>
    </row>
    <row r="86" spans="1:6" x14ac:dyDescent="0.35">
      <c r="A86" s="1">
        <v>6834</v>
      </c>
      <c r="B86" s="1">
        <v>1359</v>
      </c>
      <c r="C86" s="1">
        <v>39</v>
      </c>
      <c r="D86" t="s">
        <v>1437</v>
      </c>
      <c r="E86" t="s">
        <v>39</v>
      </c>
      <c r="F86">
        <v>150</v>
      </c>
    </row>
    <row r="87" spans="1:6" x14ac:dyDescent="0.35">
      <c r="A87" s="1">
        <v>6837</v>
      </c>
      <c r="B87" s="1">
        <v>1360</v>
      </c>
      <c r="C87" s="1">
        <v>38</v>
      </c>
      <c r="D87" t="s">
        <v>1438</v>
      </c>
      <c r="E87" t="s">
        <v>39</v>
      </c>
      <c r="F87">
        <v>150</v>
      </c>
    </row>
    <row r="88" spans="1:6" x14ac:dyDescent="0.35">
      <c r="A88" s="1">
        <v>6838</v>
      </c>
      <c r="B88" s="1">
        <v>1361</v>
      </c>
      <c r="C88" s="1">
        <v>38</v>
      </c>
      <c r="D88" t="s">
        <v>1439</v>
      </c>
      <c r="E88" t="s">
        <v>39</v>
      </c>
      <c r="F88">
        <v>150</v>
      </c>
    </row>
    <row r="89" spans="1:6" x14ac:dyDescent="0.35">
      <c r="A89" s="1">
        <v>6852</v>
      </c>
      <c r="B89" s="1">
        <v>1364</v>
      </c>
      <c r="C89" s="1">
        <v>33</v>
      </c>
      <c r="D89" t="s">
        <v>1442</v>
      </c>
      <c r="E89" t="s">
        <v>39</v>
      </c>
      <c r="F89">
        <v>150</v>
      </c>
    </row>
    <row r="90" spans="1:6" x14ac:dyDescent="0.35">
      <c r="A90" s="1">
        <v>6867</v>
      </c>
      <c r="B90" s="1">
        <v>1367</v>
      </c>
      <c r="C90" s="1">
        <v>33</v>
      </c>
      <c r="D90" t="s">
        <v>1445</v>
      </c>
      <c r="E90" t="s">
        <v>39</v>
      </c>
      <c r="F90">
        <v>150</v>
      </c>
    </row>
    <row r="91" spans="1:6" x14ac:dyDescent="0.35">
      <c r="A91" s="1">
        <v>6875</v>
      </c>
      <c r="B91" s="1">
        <v>1368</v>
      </c>
      <c r="C91" s="1">
        <v>37</v>
      </c>
      <c r="D91" t="s">
        <v>1446</v>
      </c>
      <c r="E91" t="s">
        <v>39</v>
      </c>
      <c r="F91">
        <v>100</v>
      </c>
    </row>
    <row r="92" spans="1:6" x14ac:dyDescent="0.35">
      <c r="A92" s="1">
        <v>6882</v>
      </c>
      <c r="B92" s="1">
        <v>1370</v>
      </c>
      <c r="C92" s="1">
        <v>36</v>
      </c>
      <c r="D92" t="s">
        <v>1448</v>
      </c>
      <c r="E92" t="s">
        <v>39</v>
      </c>
      <c r="F92">
        <v>150</v>
      </c>
    </row>
    <row r="93" spans="1:6" x14ac:dyDescent="0.35">
      <c r="A93" s="1">
        <v>6899</v>
      </c>
      <c r="B93" s="1">
        <v>1374</v>
      </c>
      <c r="C93" s="1">
        <v>32</v>
      </c>
      <c r="D93" t="s">
        <v>1452</v>
      </c>
      <c r="E93" t="s">
        <v>39</v>
      </c>
      <c r="F93">
        <v>150</v>
      </c>
    </row>
    <row r="94" spans="1:6" x14ac:dyDescent="0.35">
      <c r="A94" s="1">
        <v>6902</v>
      </c>
      <c r="B94" s="1">
        <v>1375</v>
      </c>
      <c r="C94" s="1">
        <v>40</v>
      </c>
      <c r="D94" t="s">
        <v>1453</v>
      </c>
      <c r="E94" t="s">
        <v>39</v>
      </c>
      <c r="F9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Меню</vt:lpstr>
      <vt:lpstr>Официанты</vt:lpstr>
      <vt:lpstr>Заказы</vt:lpstr>
      <vt:lpstr>Состав заказов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Kazeev</cp:lastModifiedBy>
  <dcterms:created xsi:type="dcterms:W3CDTF">2024-05-14T14:49:34Z</dcterms:created>
  <dcterms:modified xsi:type="dcterms:W3CDTF">2026-05-02T11:00:18Z</dcterms:modified>
</cp:coreProperties>
</file>